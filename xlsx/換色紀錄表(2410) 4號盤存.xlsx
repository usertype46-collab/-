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0" documentId="13_ncr:1000001_{40FD683A-4072-C545-BEA2-DCDCBBFB510E}" xr6:coauthVersionLast="47" xr6:coauthVersionMax="47" xr10:uidLastSave="{00000000-0000-0000-0000-000000000000}"/>
  <bookViews>
    <workbookView xWindow="-108" yWindow="-108" windowWidth="30936" windowHeight="12576" firstSheet="1" activeTab="1" xr2:uid="{00000000-000D-0000-FFFF-FFFF00000000}"/>
  </bookViews>
  <sheets>
    <sheet name="庫存查詢表" sheetId="7" r:id="rId1"/>
    <sheet name="每日用粉紀錄表" sheetId="1" r:id="rId2"/>
    <sheet name="當前庫存" sheetId="2" r:id="rId3"/>
    <sheet name="對照表" sheetId="6" r:id="rId4"/>
    <sheet name="期初庫存" sheetId="3" r:id="rId5"/>
    <sheet name="工作表1" sheetId="9" r:id="rId6"/>
    <sheet name="採購入庫" sheetId="4" r:id="rId7"/>
    <sheet name="烤漆色號編碼" sheetId="5" r:id="rId8"/>
    <sheet name="庫存統計" sheetId="8" r:id="rId9"/>
  </sheets>
  <definedNames>
    <definedName name="_xlnm._FilterDatabase" localSheetId="1" hidden="1">每日用粉紀錄表!$B$2:$O$104</definedName>
    <definedName name="_xlnm._FilterDatabase" localSheetId="3" hidden="1">對照表!$B$2:$K$105</definedName>
    <definedName name="_xlnm._FilterDatabase" localSheetId="2" hidden="1">當前庫存!$A$3:$M$3</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4" i="1" l="1"/>
  <c r="H39" i="1"/>
  <c r="J39" i="1"/>
  <c r="G36" i="2"/>
  <c r="E39" i="1"/>
  <c r="D39" i="1"/>
  <c r="D3" i="1"/>
  <c r="E3" i="1"/>
  <c r="H3" i="1"/>
  <c r="J3" i="1"/>
  <c r="D4" i="1"/>
  <c r="E4" i="1"/>
  <c r="H4" i="1"/>
  <c r="J4" i="1"/>
  <c r="D5" i="1"/>
  <c r="G7" i="2"/>
  <c r="E5" i="1"/>
  <c r="H5" i="1"/>
  <c r="J5" i="1"/>
  <c r="D45" i="1"/>
  <c r="E45" i="1"/>
  <c r="D46" i="1"/>
  <c r="G14" i="2"/>
  <c r="E46" i="1"/>
  <c r="D47" i="1"/>
  <c r="G12" i="2"/>
  <c r="E47" i="1"/>
  <c r="D48" i="1"/>
  <c r="E48" i="1"/>
  <c r="D49" i="1"/>
  <c r="E49" i="1"/>
  <c r="D50" i="1"/>
  <c r="G4" i="2"/>
  <c r="E50" i="1"/>
  <c r="G30" i="3"/>
  <c r="G27" i="3"/>
  <c r="G23" i="3"/>
  <c r="G22" i="3"/>
  <c r="G18" i="3"/>
  <c r="G17" i="3"/>
  <c r="G12" i="3"/>
  <c r="G8" i="3"/>
  <c r="H29" i="6"/>
  <c r="H11" i="6"/>
  <c r="H17" i="6"/>
  <c r="H7" i="6"/>
  <c r="H78" i="1"/>
  <c r="J78" i="1"/>
  <c r="H79" i="1"/>
  <c r="J79" i="1"/>
  <c r="H80" i="1"/>
  <c r="J80" i="1"/>
  <c r="H81" i="1"/>
  <c r="J81" i="1"/>
  <c r="H82" i="1"/>
  <c r="J82" i="1"/>
  <c r="H83" i="1"/>
  <c r="J83" i="1"/>
  <c r="H75" i="1"/>
  <c r="J75" i="1"/>
  <c r="H76" i="1"/>
  <c r="J76" i="1"/>
  <c r="H77" i="1"/>
  <c r="J77" i="1"/>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G8" i="2"/>
  <c r="E40" i="1"/>
  <c r="D18" i="1"/>
  <c r="F4" i="2"/>
  <c r="G26" i="2"/>
  <c r="E25" i="1"/>
  <c r="G30" i="2"/>
  <c r="E15" i="1"/>
  <c r="E16" i="1"/>
  <c r="G16" i="2"/>
  <c r="G28" i="2"/>
  <c r="E17" i="1"/>
  <c r="E18" i="1"/>
  <c r="E19" i="1"/>
  <c r="G19" i="2"/>
  <c r="E20" i="1"/>
  <c r="G11" i="2"/>
  <c r="E21" i="1"/>
  <c r="E22" i="1"/>
  <c r="G9" i="2"/>
  <c r="E23" i="1"/>
  <c r="E24" i="1"/>
  <c r="E26" i="1"/>
  <c r="G10" i="2"/>
  <c r="E28" i="1"/>
  <c r="E29" i="1"/>
  <c r="G13" i="2"/>
  <c r="E30" i="1"/>
  <c r="E31" i="1"/>
  <c r="E32" i="1"/>
  <c r="E33" i="1"/>
  <c r="E34" i="1"/>
  <c r="E35" i="1"/>
  <c r="C36" i="6"/>
  <c r="G37" i="2"/>
  <c r="D36" i="6"/>
  <c r="F37" i="2"/>
  <c r="E36" i="6"/>
  <c r="F36" i="6"/>
  <c r="I36" i="6"/>
  <c r="J36" i="6"/>
  <c r="K36" i="6"/>
  <c r="H63" i="1"/>
  <c r="J63" i="1"/>
  <c r="H64" i="1"/>
  <c r="J64" i="1"/>
  <c r="H65" i="1"/>
  <c r="J65" i="1"/>
  <c r="H66" i="1"/>
  <c r="J66" i="1"/>
  <c r="H67" i="1"/>
  <c r="J67" i="1"/>
  <c r="H68" i="1"/>
  <c r="J68" i="1"/>
  <c r="H69" i="1"/>
  <c r="J69" i="1"/>
  <c r="H70" i="1"/>
  <c r="J70" i="1"/>
  <c r="H71" i="1"/>
  <c r="J71" i="1"/>
  <c r="H72" i="1"/>
  <c r="J72" i="1"/>
  <c r="H73" i="1"/>
  <c r="J73" i="1"/>
  <c r="H74" i="1"/>
  <c r="J74" i="1"/>
  <c r="I35" i="8"/>
  <c r="F36" i="2"/>
  <c r="K35" i="8"/>
  <c r="E35" i="8"/>
  <c r="G35" i="8"/>
  <c r="C35" i="8"/>
  <c r="D35" i="8"/>
  <c r="C3" i="8"/>
  <c r="E3" i="8"/>
  <c r="C4" i="8"/>
  <c r="E4" i="8"/>
  <c r="C5" i="8"/>
  <c r="E5" i="8"/>
  <c r="C6" i="8"/>
  <c r="E6" i="8"/>
  <c r="C7" i="8"/>
  <c r="E7" i="8"/>
  <c r="C8" i="8"/>
  <c r="E8" i="8"/>
  <c r="C9" i="8"/>
  <c r="E9" i="8"/>
  <c r="C10" i="8"/>
  <c r="E10" i="8"/>
  <c r="C11" i="8"/>
  <c r="E11" i="8"/>
  <c r="C12" i="8"/>
  <c r="E12" i="8"/>
  <c r="C13" i="8"/>
  <c r="E13" i="8"/>
  <c r="C14" i="8"/>
  <c r="E14" i="8"/>
  <c r="C15" i="8"/>
  <c r="E15" i="8"/>
  <c r="C16" i="8"/>
  <c r="E16" i="8"/>
  <c r="C17" i="8"/>
  <c r="E17" i="8"/>
  <c r="C18" i="8"/>
  <c r="E18" i="8"/>
  <c r="C19" i="8"/>
  <c r="E19" i="8"/>
  <c r="C20" i="8"/>
  <c r="E20" i="8"/>
  <c r="C21" i="8"/>
  <c r="E21" i="8"/>
  <c r="C22" i="8"/>
  <c r="E22" i="8"/>
  <c r="C23" i="8"/>
  <c r="E23" i="8"/>
  <c r="C24" i="8"/>
  <c r="E24" i="8"/>
  <c r="C25" i="8"/>
  <c r="E25" i="8"/>
  <c r="C26" i="8"/>
  <c r="E26" i="8"/>
  <c r="C27" i="8"/>
  <c r="E27" i="8"/>
  <c r="C28" i="8"/>
  <c r="E28" i="8"/>
  <c r="C29" i="8"/>
  <c r="E29" i="8"/>
  <c r="C30" i="8"/>
  <c r="E30" i="8"/>
  <c r="C31" i="8"/>
  <c r="E31" i="8"/>
  <c r="C32" i="8"/>
  <c r="E32" i="8"/>
  <c r="C33" i="8"/>
  <c r="E33" i="8"/>
  <c r="C34" i="8"/>
  <c r="E34" i="8"/>
  <c r="E36"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G36" i="8"/>
  <c r="I3" i="8"/>
  <c r="G5" i="2"/>
  <c r="I4" i="8"/>
  <c r="G6" i="2"/>
  <c r="I5" i="8"/>
  <c r="I6" i="8"/>
  <c r="I7" i="8"/>
  <c r="I8" i="8"/>
  <c r="I9" i="8"/>
  <c r="I10" i="8"/>
  <c r="I11" i="8"/>
  <c r="I12" i="8"/>
  <c r="I13" i="8"/>
  <c r="G15" i="2"/>
  <c r="I14" i="8"/>
  <c r="I15" i="8"/>
  <c r="G17" i="2"/>
  <c r="I16" i="8"/>
  <c r="G18" i="2"/>
  <c r="I17" i="8"/>
  <c r="I18" i="8"/>
  <c r="G20" i="2"/>
  <c r="I19" i="8"/>
  <c r="G21" i="2"/>
  <c r="I20" i="8"/>
  <c r="G22" i="2"/>
  <c r="I21" i="8"/>
  <c r="G23" i="2"/>
  <c r="I22" i="8"/>
  <c r="G24" i="2"/>
  <c r="I23" i="8"/>
  <c r="G25" i="2"/>
  <c r="I24" i="8"/>
  <c r="E27" i="1"/>
  <c r="I25" i="8"/>
  <c r="G27" i="2"/>
  <c r="I26" i="8"/>
  <c r="I27" i="8"/>
  <c r="G29" i="2"/>
  <c r="I28" i="8"/>
  <c r="I29" i="8"/>
  <c r="G31" i="2"/>
  <c r="I30" i="8"/>
  <c r="G32" i="2"/>
  <c r="I31" i="8"/>
  <c r="G33" i="2"/>
  <c r="I32" i="8"/>
  <c r="G34" i="2"/>
  <c r="I33" i="8"/>
  <c r="G35" i="2"/>
  <c r="I34" i="8"/>
  <c r="I36" i="8"/>
  <c r="K3" i="8"/>
  <c r="F5" i="2"/>
  <c r="K4" i="8"/>
  <c r="F6" i="2"/>
  <c r="K5" i="8"/>
  <c r="F7" i="2"/>
  <c r="K6" i="8"/>
  <c r="F8" i="2"/>
  <c r="K7" i="8"/>
  <c r="F9" i="2"/>
  <c r="K8" i="8"/>
  <c r="F10" i="2"/>
  <c r="K9" i="8"/>
  <c r="F11" i="2"/>
  <c r="K10" i="8"/>
  <c r="F12" i="2"/>
  <c r="K11" i="8"/>
  <c r="F13" i="2"/>
  <c r="K12" i="8"/>
  <c r="F14" i="2"/>
  <c r="K13" i="8"/>
  <c r="F15" i="2"/>
  <c r="K14" i="8"/>
  <c r="F16" i="2"/>
  <c r="K15" i="8"/>
  <c r="F17" i="2"/>
  <c r="K16" i="8"/>
  <c r="F18" i="2"/>
  <c r="K17" i="8"/>
  <c r="F19" i="2"/>
  <c r="K18" i="8"/>
  <c r="F20" i="2"/>
  <c r="K19" i="8"/>
  <c r="F21" i="2"/>
  <c r="K20" i="8"/>
  <c r="F22" i="2"/>
  <c r="K21" i="8"/>
  <c r="F23" i="2"/>
  <c r="K22" i="8"/>
  <c r="F24" i="2"/>
  <c r="K23" i="8"/>
  <c r="F25" i="2"/>
  <c r="K24" i="8"/>
  <c r="F26" i="2"/>
  <c r="K25" i="8"/>
  <c r="F27" i="2"/>
  <c r="K26" i="8"/>
  <c r="F28" i="2"/>
  <c r="K27" i="8"/>
  <c r="F29" i="2"/>
  <c r="K28" i="8"/>
  <c r="F30" i="2"/>
  <c r="K29" i="8"/>
  <c r="F31" i="2"/>
  <c r="K30" i="8"/>
  <c r="F32" i="2"/>
  <c r="K31" i="8"/>
  <c r="F33" i="2"/>
  <c r="K32" i="8"/>
  <c r="F34" i="2"/>
  <c r="K33" i="8"/>
  <c r="F35" i="2"/>
  <c r="K34" i="8"/>
  <c r="K36" i="8"/>
  <c r="D37" i="3"/>
  <c r="E37" i="3"/>
  <c r="C37" i="2"/>
  <c r="D37" i="2"/>
  <c r="E37" i="2"/>
  <c r="H51" i="1"/>
  <c r="J51" i="1"/>
  <c r="H52" i="1"/>
  <c r="J52" i="1"/>
  <c r="H53" i="1"/>
  <c r="J53" i="1"/>
  <c r="H54" i="1"/>
  <c r="J54" i="1"/>
  <c r="H55" i="1"/>
  <c r="J55" i="1"/>
  <c r="H56" i="1"/>
  <c r="J56" i="1"/>
  <c r="H57" i="1"/>
  <c r="J57" i="1"/>
  <c r="H58" i="1"/>
  <c r="J58" i="1"/>
  <c r="H59" i="1"/>
  <c r="J59" i="1"/>
  <c r="H60" i="1"/>
  <c r="J60" i="1"/>
  <c r="H61" i="1"/>
  <c r="J61" i="1"/>
  <c r="H62" i="1"/>
  <c r="J62" i="1"/>
  <c r="D28" i="2"/>
  <c r="D29" i="2"/>
  <c r="D30" i="2"/>
  <c r="D36" i="1"/>
  <c r="D36" i="3"/>
  <c r="E36" i="3"/>
  <c r="H36" i="3"/>
  <c r="L36" i="3"/>
  <c r="M36" i="3"/>
  <c r="N36" i="3"/>
  <c r="C35" i="6"/>
  <c r="I35" i="6"/>
  <c r="C36" i="2"/>
  <c r="C4" i="2"/>
  <c r="C5" i="2"/>
  <c r="C6" i="2"/>
  <c r="C7" i="2"/>
  <c r="G2" i="2"/>
  <c r="D4" i="2"/>
  <c r="E4" i="2"/>
  <c r="I4" i="2"/>
  <c r="D5" i="2"/>
  <c r="E5" i="2"/>
  <c r="I5" i="2"/>
  <c r="D6" i="2"/>
  <c r="E6" i="2"/>
  <c r="I6" i="2"/>
  <c r="D7" i="2"/>
  <c r="E7" i="2"/>
  <c r="I7" i="2"/>
  <c r="C8" i="2"/>
  <c r="D8" i="2"/>
  <c r="E8" i="2"/>
  <c r="I8" i="2"/>
  <c r="C9" i="2"/>
  <c r="D9" i="2"/>
  <c r="E9" i="2"/>
  <c r="I9" i="2"/>
  <c r="C10" i="2"/>
  <c r="D10" i="2"/>
  <c r="E10" i="2"/>
  <c r="I10" i="2"/>
  <c r="C11" i="2"/>
  <c r="D11" i="2"/>
  <c r="E11" i="2"/>
  <c r="I11" i="2"/>
  <c r="C12" i="2"/>
  <c r="D12" i="2"/>
  <c r="E12" i="2"/>
  <c r="I12" i="2"/>
  <c r="C13" i="2"/>
  <c r="D13" i="2"/>
  <c r="E13" i="2"/>
  <c r="I13" i="2"/>
  <c r="C14" i="2"/>
  <c r="D14" i="2"/>
  <c r="E14" i="2"/>
  <c r="I14" i="2"/>
  <c r="C15" i="2"/>
  <c r="D15" i="2"/>
  <c r="E15" i="2"/>
  <c r="I15" i="2"/>
  <c r="C16" i="2"/>
  <c r="D16" i="2"/>
  <c r="E16" i="2"/>
  <c r="I16" i="2"/>
  <c r="C17" i="2"/>
  <c r="D17" i="2"/>
  <c r="E17" i="2"/>
  <c r="I17" i="2"/>
  <c r="C18" i="2"/>
  <c r="D18" i="2"/>
  <c r="E18" i="2"/>
  <c r="I18" i="2"/>
  <c r="C19" i="2"/>
  <c r="D19" i="2"/>
  <c r="E19" i="2"/>
  <c r="I19" i="2"/>
  <c r="C20" i="2"/>
  <c r="D20" i="2"/>
  <c r="E20" i="2"/>
  <c r="I20" i="2"/>
  <c r="C21" i="2"/>
  <c r="D21" i="2"/>
  <c r="E21" i="2"/>
  <c r="I21" i="2"/>
  <c r="C22" i="2"/>
  <c r="D22" i="2"/>
  <c r="E22" i="2"/>
  <c r="I22" i="2"/>
  <c r="C23" i="2"/>
  <c r="D23" i="2"/>
  <c r="E23" i="2"/>
  <c r="I23" i="2"/>
  <c r="C24" i="2"/>
  <c r="D24" i="2"/>
  <c r="E24" i="2"/>
  <c r="I24" i="2"/>
  <c r="C25" i="2"/>
  <c r="D25" i="2"/>
  <c r="E25" i="2"/>
  <c r="I25" i="2"/>
  <c r="C26" i="2"/>
  <c r="D26" i="2"/>
  <c r="E26" i="2"/>
  <c r="I26" i="2"/>
  <c r="C27" i="2"/>
  <c r="D27" i="2"/>
  <c r="E27" i="2"/>
  <c r="I27" i="2"/>
  <c r="C28" i="2"/>
  <c r="E28" i="2"/>
  <c r="I28" i="2"/>
  <c r="C29" i="2"/>
  <c r="E29" i="2"/>
  <c r="I29" i="2"/>
  <c r="C30" i="2"/>
  <c r="E30" i="2"/>
  <c r="I30" i="2"/>
  <c r="C31" i="2"/>
  <c r="D31" i="2"/>
  <c r="E31" i="2"/>
  <c r="I31" i="2"/>
  <c r="C32" i="2"/>
  <c r="D32" i="2"/>
  <c r="E32" i="2"/>
  <c r="I32" i="2"/>
  <c r="C33" i="2"/>
  <c r="D33" i="2"/>
  <c r="E33" i="2"/>
  <c r="I33" i="2"/>
  <c r="C34" i="2"/>
  <c r="D34" i="2"/>
  <c r="E34" i="2"/>
  <c r="I34" i="2"/>
  <c r="C35" i="2"/>
  <c r="D35" i="2"/>
  <c r="E35" i="2"/>
  <c r="I35" i="2"/>
  <c r="D36" i="2"/>
  <c r="E36" i="2"/>
  <c r="I36" i="2"/>
  <c r="I37" i="2"/>
  <c r="D38" i="2"/>
  <c r="E38" i="2"/>
  <c r="F38" i="2"/>
  <c r="G38" i="2"/>
  <c r="I38" i="2"/>
  <c r="D39" i="2"/>
  <c r="E39" i="2"/>
  <c r="F39" i="2"/>
  <c r="G39" i="2"/>
  <c r="I39" i="2"/>
  <c r="D40" i="2"/>
  <c r="E40" i="2"/>
  <c r="F40" i="2"/>
  <c r="G40" i="2"/>
  <c r="I40" i="2"/>
  <c r="D41" i="2"/>
  <c r="E41" i="2"/>
  <c r="F41" i="2"/>
  <c r="G41" i="2"/>
  <c r="I41" i="2"/>
  <c r="E42" i="2"/>
  <c r="F42" i="2"/>
  <c r="E43" i="2"/>
  <c r="F43" i="2"/>
  <c r="E44" i="2"/>
  <c r="F44" i="2"/>
  <c r="E45" i="2"/>
  <c r="F45" i="2"/>
  <c r="E46"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D35" i="6"/>
  <c r="E35" i="6"/>
  <c r="F35" i="6"/>
  <c r="K35" i="6"/>
  <c r="I37" i="6"/>
  <c r="E37" i="6"/>
  <c r="F37" i="6"/>
  <c r="K37" i="6"/>
  <c r="I38" i="6"/>
  <c r="E38" i="6"/>
  <c r="F38" i="6"/>
  <c r="K38" i="6"/>
  <c r="I39" i="6"/>
  <c r="E39" i="6"/>
  <c r="F39" i="6"/>
  <c r="K39" i="6"/>
  <c r="I40" i="6"/>
  <c r="E40" i="6"/>
  <c r="J41" i="2"/>
  <c r="D40" i="6"/>
  <c r="F40" i="6"/>
  <c r="K40" i="6"/>
  <c r="I41" i="6"/>
  <c r="E41" i="6"/>
  <c r="J42" i="2"/>
  <c r="D41" i="6"/>
  <c r="F41" i="6"/>
  <c r="K41" i="6"/>
  <c r="I42" i="6"/>
  <c r="E42" i="6"/>
  <c r="J43" i="2"/>
  <c r="D42" i="6"/>
  <c r="F42" i="6"/>
  <c r="K42" i="6"/>
  <c r="I43" i="6"/>
  <c r="E43" i="6"/>
  <c r="J44" i="2"/>
  <c r="D43" i="6"/>
  <c r="F43" i="6"/>
  <c r="K43" i="6"/>
  <c r="I44" i="6"/>
  <c r="E44" i="6"/>
  <c r="J45" i="2"/>
  <c r="D44" i="6"/>
  <c r="F44" i="6"/>
  <c r="K44" i="6"/>
  <c r="I45" i="6"/>
  <c r="E45" i="6"/>
  <c r="J46" i="2"/>
  <c r="D45" i="6"/>
  <c r="F45" i="6"/>
  <c r="K45" i="6"/>
  <c r="I46" i="6"/>
  <c r="E46" i="6"/>
  <c r="J47" i="2"/>
  <c r="D46" i="6"/>
  <c r="F46" i="6"/>
  <c r="K46" i="6"/>
  <c r="I47" i="6"/>
  <c r="E47" i="6"/>
  <c r="J48" i="2"/>
  <c r="D47" i="6"/>
  <c r="F47" i="6"/>
  <c r="K47" i="6"/>
  <c r="I48" i="6"/>
  <c r="E48" i="6"/>
  <c r="J49" i="2"/>
  <c r="D48" i="6"/>
  <c r="F48" i="6"/>
  <c r="K48" i="6"/>
  <c r="I49" i="6"/>
  <c r="E49" i="6"/>
  <c r="J50" i="2"/>
  <c r="D49" i="6"/>
  <c r="F49" i="6"/>
  <c r="K49" i="6"/>
  <c r="I50" i="6"/>
  <c r="E50" i="6"/>
  <c r="J51" i="2"/>
  <c r="D50" i="6"/>
  <c r="F50" i="6"/>
  <c r="K50" i="6"/>
  <c r="I51" i="6"/>
  <c r="E51" i="6"/>
  <c r="J52" i="2"/>
  <c r="D51" i="6"/>
  <c r="F51" i="6"/>
  <c r="K51" i="6"/>
  <c r="I52" i="6"/>
  <c r="E52" i="6"/>
  <c r="J53" i="2"/>
  <c r="D52" i="6"/>
  <c r="F52" i="6"/>
  <c r="K52" i="6"/>
  <c r="I53" i="6"/>
  <c r="E53" i="6"/>
  <c r="J54" i="2"/>
  <c r="D53" i="6"/>
  <c r="F53" i="6"/>
  <c r="K53" i="6"/>
  <c r="I54" i="6"/>
  <c r="E54" i="6"/>
  <c r="J55" i="2"/>
  <c r="D54" i="6"/>
  <c r="F54" i="6"/>
  <c r="K54" i="6"/>
  <c r="I55" i="6"/>
  <c r="E55" i="6"/>
  <c r="J56" i="2"/>
  <c r="D55" i="6"/>
  <c r="F55" i="6"/>
  <c r="K55" i="6"/>
  <c r="I56" i="6"/>
  <c r="E56" i="6"/>
  <c r="J57" i="2"/>
  <c r="D56" i="6"/>
  <c r="F56" i="6"/>
  <c r="K56" i="6"/>
  <c r="I57" i="6"/>
  <c r="E57" i="6"/>
  <c r="J58" i="2"/>
  <c r="D57" i="6"/>
  <c r="F57" i="6"/>
  <c r="K57" i="6"/>
  <c r="I58" i="6"/>
  <c r="E58" i="6"/>
  <c r="J59" i="2"/>
  <c r="D58" i="6"/>
  <c r="F58" i="6"/>
  <c r="K58" i="6"/>
  <c r="I59" i="6"/>
  <c r="E59" i="6"/>
  <c r="J60" i="2"/>
  <c r="D59" i="6"/>
  <c r="F59" i="6"/>
  <c r="K59" i="6"/>
  <c r="I60" i="6"/>
  <c r="E60" i="6"/>
  <c r="J61" i="2"/>
  <c r="D60" i="6"/>
  <c r="F60" i="6"/>
  <c r="K60" i="6"/>
  <c r="I61" i="6"/>
  <c r="E61" i="6"/>
  <c r="J62" i="2"/>
  <c r="D61" i="6"/>
  <c r="F61" i="6"/>
  <c r="K61" i="6"/>
  <c r="I62" i="6"/>
  <c r="E62" i="6"/>
  <c r="J63" i="2"/>
  <c r="D62" i="6"/>
  <c r="F62" i="6"/>
  <c r="K62" i="6"/>
  <c r="I63" i="6"/>
  <c r="E63" i="6"/>
  <c r="J64" i="2"/>
  <c r="D63" i="6"/>
  <c r="F63" i="6"/>
  <c r="K63" i="6"/>
  <c r="I64" i="6"/>
  <c r="E64" i="6"/>
  <c r="J65" i="2"/>
  <c r="D64" i="6"/>
  <c r="F64" i="6"/>
  <c r="K64" i="6"/>
  <c r="I65" i="6"/>
  <c r="E65" i="6"/>
  <c r="J66" i="2"/>
  <c r="D65" i="6"/>
  <c r="F65" i="6"/>
  <c r="K65" i="6"/>
  <c r="I66" i="6"/>
  <c r="E66" i="6"/>
  <c r="J67" i="2"/>
  <c r="D66" i="6"/>
  <c r="F66" i="6"/>
  <c r="K66" i="6"/>
  <c r="I67" i="6"/>
  <c r="E67" i="6"/>
  <c r="J68" i="2"/>
  <c r="D67" i="6"/>
  <c r="F67" i="6"/>
  <c r="K67" i="6"/>
  <c r="I68" i="6"/>
  <c r="E68" i="6"/>
  <c r="J69" i="2"/>
  <c r="D68" i="6"/>
  <c r="F68" i="6"/>
  <c r="K68" i="6"/>
  <c r="I69" i="6"/>
  <c r="E69" i="6"/>
  <c r="J70" i="2"/>
  <c r="D69" i="6"/>
  <c r="F69" i="6"/>
  <c r="K69" i="6"/>
  <c r="I70" i="6"/>
  <c r="E70" i="6"/>
  <c r="J71" i="2"/>
  <c r="D70" i="6"/>
  <c r="F70" i="6"/>
  <c r="K70" i="6"/>
  <c r="I71" i="6"/>
  <c r="E71" i="6"/>
  <c r="J72" i="2"/>
  <c r="D71" i="6"/>
  <c r="F71" i="6"/>
  <c r="K71" i="6"/>
  <c r="I72" i="6"/>
  <c r="E72" i="6"/>
  <c r="J73" i="2"/>
  <c r="D72" i="6"/>
  <c r="F72" i="6"/>
  <c r="K72" i="6"/>
  <c r="I73" i="6"/>
  <c r="E73" i="6"/>
  <c r="J74" i="2"/>
  <c r="D73" i="6"/>
  <c r="F73" i="6"/>
  <c r="K73" i="6"/>
  <c r="I74" i="6"/>
  <c r="E74" i="6"/>
  <c r="J75" i="2"/>
  <c r="D74" i="6"/>
  <c r="F74" i="6"/>
  <c r="K74" i="6"/>
  <c r="I75" i="6"/>
  <c r="E75" i="6"/>
  <c r="J76" i="2"/>
  <c r="D75" i="6"/>
  <c r="F75" i="6"/>
  <c r="K75" i="6"/>
  <c r="I76" i="6"/>
  <c r="E76" i="6"/>
  <c r="J77" i="2"/>
  <c r="D76" i="6"/>
  <c r="F76" i="6"/>
  <c r="K76" i="6"/>
  <c r="I77" i="6"/>
  <c r="E77" i="6"/>
  <c r="J78" i="2"/>
  <c r="D77" i="6"/>
  <c r="F77" i="6"/>
  <c r="K77" i="6"/>
  <c r="I78" i="6"/>
  <c r="E78" i="6"/>
  <c r="J79" i="2"/>
  <c r="D78" i="6"/>
  <c r="F78" i="6"/>
  <c r="K78" i="6"/>
  <c r="I79" i="6"/>
  <c r="E79" i="6"/>
  <c r="J80" i="2"/>
  <c r="D79" i="6"/>
  <c r="F79" i="6"/>
  <c r="K79" i="6"/>
  <c r="I80" i="6"/>
  <c r="E80" i="6"/>
  <c r="J81" i="2"/>
  <c r="D80" i="6"/>
  <c r="F80" i="6"/>
  <c r="K80" i="6"/>
  <c r="I81" i="6"/>
  <c r="E81" i="6"/>
  <c r="J82" i="2"/>
  <c r="D81" i="6"/>
  <c r="F81" i="6"/>
  <c r="K81" i="6"/>
  <c r="I82" i="6"/>
  <c r="E82" i="6"/>
  <c r="J83" i="2"/>
  <c r="D82" i="6"/>
  <c r="F82" i="6"/>
  <c r="K82" i="6"/>
  <c r="I83" i="6"/>
  <c r="E83" i="6"/>
  <c r="J84" i="2"/>
  <c r="D83" i="6"/>
  <c r="F83" i="6"/>
  <c r="K83" i="6"/>
  <c r="I84" i="6"/>
  <c r="E84" i="6"/>
  <c r="J85" i="2"/>
  <c r="D84" i="6"/>
  <c r="F84" i="6"/>
  <c r="K84" i="6"/>
  <c r="I85" i="6"/>
  <c r="E85" i="6"/>
  <c r="J86" i="2"/>
  <c r="D85" i="6"/>
  <c r="F85" i="6"/>
  <c r="K85" i="6"/>
  <c r="I86" i="6"/>
  <c r="E86" i="6"/>
  <c r="J87" i="2"/>
  <c r="D86" i="6"/>
  <c r="F86" i="6"/>
  <c r="K86" i="6"/>
  <c r="I87" i="6"/>
  <c r="E87" i="6"/>
  <c r="J88" i="2"/>
  <c r="D87" i="6"/>
  <c r="F87" i="6"/>
  <c r="K87" i="6"/>
  <c r="I88" i="6"/>
  <c r="E88" i="6"/>
  <c r="J89" i="2"/>
  <c r="D88" i="6"/>
  <c r="F88" i="6"/>
  <c r="K88" i="6"/>
  <c r="I89" i="6"/>
  <c r="E89" i="6"/>
  <c r="J90" i="2"/>
  <c r="D89" i="6"/>
  <c r="F89" i="6"/>
  <c r="K89" i="6"/>
  <c r="I90" i="6"/>
  <c r="E90" i="6"/>
  <c r="J91" i="2"/>
  <c r="D90" i="6"/>
  <c r="F90" i="6"/>
  <c r="K90" i="6"/>
  <c r="I91" i="6"/>
  <c r="E91" i="6"/>
  <c r="J92" i="2"/>
  <c r="D91" i="6"/>
  <c r="F91" i="6"/>
  <c r="K91" i="6"/>
  <c r="I92" i="6"/>
  <c r="E92" i="6"/>
  <c r="J93" i="2"/>
  <c r="D92" i="6"/>
  <c r="F92" i="6"/>
  <c r="K92" i="6"/>
  <c r="I93" i="6"/>
  <c r="E93" i="6"/>
  <c r="J94" i="2"/>
  <c r="D93" i="6"/>
  <c r="F93" i="6"/>
  <c r="K93" i="6"/>
  <c r="I94" i="6"/>
  <c r="E94" i="6"/>
  <c r="J95" i="2"/>
  <c r="D94" i="6"/>
  <c r="F94" i="6"/>
  <c r="K94" i="6"/>
  <c r="I95" i="6"/>
  <c r="E95" i="6"/>
  <c r="J96" i="2"/>
  <c r="D95" i="6"/>
  <c r="F95" i="6"/>
  <c r="K95" i="6"/>
  <c r="I96" i="6"/>
  <c r="E96" i="6"/>
  <c r="J97" i="2"/>
  <c r="D96" i="6"/>
  <c r="F96" i="6"/>
  <c r="K96" i="6"/>
  <c r="I97" i="6"/>
  <c r="E97" i="6"/>
  <c r="J98" i="2"/>
  <c r="D97" i="6"/>
  <c r="F97" i="6"/>
  <c r="K97" i="6"/>
  <c r="I98" i="6"/>
  <c r="E98" i="6"/>
  <c r="J99" i="2"/>
  <c r="D98" i="6"/>
  <c r="F98" i="6"/>
  <c r="K98" i="6"/>
  <c r="I99" i="6"/>
  <c r="E99" i="6"/>
  <c r="J100" i="2"/>
  <c r="D99" i="6"/>
  <c r="F99" i="6"/>
  <c r="K99" i="6"/>
  <c r="I100" i="6"/>
  <c r="E100" i="6"/>
  <c r="J101" i="2"/>
  <c r="D100" i="6"/>
  <c r="F100" i="6"/>
  <c r="K100" i="6"/>
  <c r="I101" i="6"/>
  <c r="E101" i="6"/>
  <c r="J102" i="2"/>
  <c r="D101" i="6"/>
  <c r="F101" i="6"/>
  <c r="K101" i="6"/>
  <c r="I102" i="6"/>
  <c r="E102" i="6"/>
  <c r="J103" i="2"/>
  <c r="D102" i="6"/>
  <c r="F102" i="6"/>
  <c r="K102" i="6"/>
  <c r="I103" i="6"/>
  <c r="E103" i="6"/>
  <c r="F103" i="6"/>
  <c r="K103" i="6"/>
  <c r="I104" i="6"/>
  <c r="E104" i="6"/>
  <c r="F104" i="6"/>
  <c r="K104" i="6"/>
  <c r="I105" i="6"/>
  <c r="E105" i="6"/>
  <c r="F105" i="6"/>
  <c r="K105" i="6"/>
  <c r="J35"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C4" i="6"/>
  <c r="I4" i="6"/>
  <c r="D4" i="6"/>
  <c r="E4" i="6"/>
  <c r="F4" i="6"/>
  <c r="J4" i="6"/>
  <c r="C5" i="6"/>
  <c r="I5" i="6"/>
  <c r="D5" i="6"/>
  <c r="E5" i="6"/>
  <c r="F5" i="6"/>
  <c r="J5" i="6"/>
  <c r="C6" i="6"/>
  <c r="I6" i="6"/>
  <c r="D6" i="6"/>
  <c r="E6" i="6"/>
  <c r="F6" i="6"/>
  <c r="J6" i="6"/>
  <c r="C7" i="6"/>
  <c r="I7" i="6"/>
  <c r="D7" i="6"/>
  <c r="E7" i="6"/>
  <c r="F7" i="6"/>
  <c r="J7" i="6"/>
  <c r="C8" i="6"/>
  <c r="I8" i="6"/>
  <c r="D8" i="6"/>
  <c r="E8" i="6"/>
  <c r="F8" i="6"/>
  <c r="J8" i="6"/>
  <c r="C9" i="6"/>
  <c r="I9" i="6"/>
  <c r="D9" i="6"/>
  <c r="E9" i="6"/>
  <c r="F9" i="6"/>
  <c r="J9" i="6"/>
  <c r="C10" i="6"/>
  <c r="I10" i="6"/>
  <c r="D10" i="6"/>
  <c r="E10" i="6"/>
  <c r="F10" i="6"/>
  <c r="J10" i="6"/>
  <c r="C11" i="6"/>
  <c r="I11" i="6"/>
  <c r="D11" i="6"/>
  <c r="E11" i="6"/>
  <c r="F11" i="6"/>
  <c r="J11" i="6"/>
  <c r="C12" i="6"/>
  <c r="I12" i="6"/>
  <c r="D12" i="6"/>
  <c r="E12" i="6"/>
  <c r="F12" i="6"/>
  <c r="J12" i="6"/>
  <c r="C13" i="6"/>
  <c r="I13" i="6"/>
  <c r="D13" i="6"/>
  <c r="E13" i="6"/>
  <c r="F13" i="6"/>
  <c r="J13" i="6"/>
  <c r="C14" i="6"/>
  <c r="I14" i="6"/>
  <c r="D14" i="6"/>
  <c r="E14" i="6"/>
  <c r="F14" i="6"/>
  <c r="J14" i="6"/>
  <c r="C15" i="6"/>
  <c r="I15" i="6"/>
  <c r="D15" i="6"/>
  <c r="E15" i="6"/>
  <c r="F15" i="6"/>
  <c r="J15" i="6"/>
  <c r="H16" i="6"/>
  <c r="C16" i="6"/>
  <c r="I16" i="6"/>
  <c r="D16" i="6"/>
  <c r="E16" i="6"/>
  <c r="F16" i="6"/>
  <c r="J16" i="6"/>
  <c r="C17" i="6"/>
  <c r="I17" i="6"/>
  <c r="D17" i="6"/>
  <c r="E17" i="6"/>
  <c r="F17" i="6"/>
  <c r="J17" i="6"/>
  <c r="C18" i="6"/>
  <c r="I18" i="6"/>
  <c r="D18" i="6"/>
  <c r="E18" i="6"/>
  <c r="F18" i="6"/>
  <c r="J18" i="6"/>
  <c r="C19" i="6"/>
  <c r="I19" i="6"/>
  <c r="D19" i="6"/>
  <c r="E19" i="6"/>
  <c r="F19" i="6"/>
  <c r="J19" i="6"/>
  <c r="C20" i="6"/>
  <c r="I20" i="6"/>
  <c r="D20" i="6"/>
  <c r="E20" i="6"/>
  <c r="F20" i="6"/>
  <c r="J20" i="6"/>
  <c r="H21" i="6"/>
  <c r="C21" i="6"/>
  <c r="I21" i="6"/>
  <c r="D21" i="6"/>
  <c r="E21" i="6"/>
  <c r="F21" i="6"/>
  <c r="J21" i="6"/>
  <c r="H22" i="6"/>
  <c r="C22" i="6"/>
  <c r="I22" i="6"/>
  <c r="D22" i="6"/>
  <c r="E22" i="6"/>
  <c r="F22" i="6"/>
  <c r="J22" i="6"/>
  <c r="C23" i="6"/>
  <c r="I23" i="6"/>
  <c r="D23" i="6"/>
  <c r="E23" i="6"/>
  <c r="F23" i="6"/>
  <c r="J23" i="6"/>
  <c r="C24" i="6"/>
  <c r="I24" i="6"/>
  <c r="D24" i="6"/>
  <c r="E24" i="6"/>
  <c r="F24" i="6"/>
  <c r="J24" i="6"/>
  <c r="C25" i="6"/>
  <c r="I25" i="6"/>
  <c r="D25" i="6"/>
  <c r="E25" i="6"/>
  <c r="F25" i="6"/>
  <c r="J25" i="6"/>
  <c r="H26" i="6"/>
  <c r="C26" i="6"/>
  <c r="I26" i="6"/>
  <c r="D26" i="6"/>
  <c r="E26" i="6"/>
  <c r="F26" i="6"/>
  <c r="J26" i="6"/>
  <c r="C27" i="6"/>
  <c r="I27" i="6"/>
  <c r="D27" i="6"/>
  <c r="E27" i="6"/>
  <c r="F27" i="6"/>
  <c r="J27" i="6"/>
  <c r="C28" i="6"/>
  <c r="I28" i="6"/>
  <c r="D28" i="6"/>
  <c r="E28" i="6"/>
  <c r="F28" i="6"/>
  <c r="J28" i="6"/>
  <c r="C29" i="6"/>
  <c r="I29" i="6"/>
  <c r="D29" i="6"/>
  <c r="E29" i="6"/>
  <c r="F29" i="6"/>
  <c r="J29" i="6"/>
  <c r="C30" i="6"/>
  <c r="I30" i="6"/>
  <c r="D30" i="6"/>
  <c r="E30" i="6"/>
  <c r="F30" i="6"/>
  <c r="J30" i="6"/>
  <c r="C31" i="6"/>
  <c r="I31" i="6"/>
  <c r="D31" i="6"/>
  <c r="E31" i="6"/>
  <c r="F31" i="6"/>
  <c r="J31" i="6"/>
  <c r="C32" i="6"/>
  <c r="I32" i="6"/>
  <c r="D32" i="6"/>
  <c r="E32" i="6"/>
  <c r="F32" i="6"/>
  <c r="J32" i="6"/>
  <c r="C33" i="6"/>
  <c r="I33" i="6"/>
  <c r="D33" i="6"/>
  <c r="E33" i="6"/>
  <c r="F33" i="6"/>
  <c r="J33" i="6"/>
  <c r="C34" i="6"/>
  <c r="I34" i="6"/>
  <c r="D34" i="6"/>
  <c r="E34" i="6"/>
  <c r="F34" i="6"/>
  <c r="J34" i="6"/>
  <c r="C3" i="6"/>
  <c r="I3" i="6"/>
  <c r="D3" i="6"/>
  <c r="E3" i="6"/>
  <c r="F3" i="6"/>
  <c r="J3" i="6"/>
  <c r="J36" i="2"/>
  <c r="H28" i="1"/>
  <c r="J28" i="1"/>
  <c r="H29" i="1"/>
  <c r="J29" i="1"/>
  <c r="H30" i="1"/>
  <c r="J30" i="1"/>
  <c r="H31" i="1"/>
  <c r="J31" i="1"/>
  <c r="H32" i="1"/>
  <c r="J32" i="1"/>
  <c r="H33" i="1"/>
  <c r="J33" i="1"/>
  <c r="H34" i="1"/>
  <c r="J34" i="1"/>
  <c r="H35" i="1"/>
  <c r="J35" i="1"/>
  <c r="H36" i="1"/>
  <c r="J36" i="1"/>
  <c r="H37" i="1"/>
  <c r="J37" i="1"/>
  <c r="H38" i="1"/>
  <c r="J38" i="1"/>
  <c r="H40" i="1"/>
  <c r="J40" i="1"/>
  <c r="H41" i="1"/>
  <c r="J41" i="1"/>
  <c r="H42" i="1"/>
  <c r="J42" i="1"/>
  <c r="H43" i="1"/>
  <c r="J43" i="1"/>
  <c r="H44" i="1"/>
  <c r="J44" i="1"/>
  <c r="H45" i="1"/>
  <c r="J45" i="1"/>
  <c r="H46" i="1"/>
  <c r="J46" i="1"/>
  <c r="H47" i="1"/>
  <c r="J47" i="1"/>
  <c r="H48" i="1"/>
  <c r="J48" i="1"/>
  <c r="H49" i="1"/>
  <c r="J49" i="1"/>
  <c r="H50" i="1"/>
  <c r="J50" i="1"/>
  <c r="H7" i="1"/>
  <c r="J7" i="1"/>
  <c r="H8" i="1"/>
  <c r="J8" i="1"/>
  <c r="H9" i="1"/>
  <c r="J9" i="1"/>
  <c r="H10" i="1"/>
  <c r="J10" i="1"/>
  <c r="H11" i="1"/>
  <c r="J11" i="1"/>
  <c r="H12" i="1"/>
  <c r="J12" i="1"/>
  <c r="H13" i="1"/>
  <c r="J13" i="1"/>
  <c r="H14" i="1"/>
  <c r="J14" i="1"/>
  <c r="H15" i="1"/>
  <c r="J15" i="1"/>
  <c r="H16" i="1"/>
  <c r="J16" i="1"/>
  <c r="H17" i="1"/>
  <c r="J17" i="1"/>
  <c r="H18" i="1"/>
  <c r="J18" i="1"/>
  <c r="H19" i="1"/>
  <c r="J19" i="1"/>
  <c r="H20" i="1"/>
  <c r="J20" i="1"/>
  <c r="H21" i="1"/>
  <c r="J21" i="1"/>
  <c r="H22" i="1"/>
  <c r="J22" i="1"/>
  <c r="H23" i="1"/>
  <c r="J23" i="1"/>
  <c r="H24" i="1"/>
  <c r="J24" i="1"/>
  <c r="H25" i="1"/>
  <c r="J25" i="1"/>
  <c r="H26" i="1"/>
  <c r="J26" i="1"/>
  <c r="H27" i="1"/>
  <c r="J27" i="1"/>
  <c r="H6" i="1"/>
  <c r="J6" i="1"/>
  <c r="E55" i="1"/>
  <c r="E56" i="1"/>
  <c r="K4" i="6"/>
  <c r="K5" i="6"/>
  <c r="K6" i="6"/>
  <c r="K7" i="6"/>
  <c r="K8" i="6"/>
  <c r="K9" i="6"/>
  <c r="K10" i="6"/>
  <c r="K11" i="6"/>
  <c r="K12" i="6"/>
  <c r="C17" i="7"/>
  <c r="K13" i="6"/>
  <c r="K14" i="6"/>
  <c r="K15" i="6"/>
  <c r="K16" i="6"/>
  <c r="K17" i="6"/>
  <c r="K18" i="6"/>
  <c r="K19" i="6"/>
  <c r="K20" i="6"/>
  <c r="K21" i="6"/>
  <c r="K22" i="6"/>
  <c r="K23" i="6"/>
  <c r="K24" i="6"/>
  <c r="K25" i="6"/>
  <c r="K26" i="6"/>
  <c r="K27" i="6"/>
  <c r="K28" i="6"/>
  <c r="K29" i="6"/>
  <c r="K30" i="6"/>
  <c r="K31" i="6"/>
  <c r="K32" i="6"/>
  <c r="K33" i="6"/>
  <c r="K34" i="6"/>
  <c r="K3" i="6"/>
  <c r="D26" i="1"/>
  <c r="D25" i="1"/>
  <c r="D20" i="1"/>
  <c r="J4" i="2"/>
  <c r="D71" i="1"/>
  <c r="E71" i="1"/>
  <c r="J35" i="2"/>
  <c r="J34" i="2"/>
  <c r="E7" i="1"/>
  <c r="E12" i="1"/>
  <c r="E36" i="1"/>
  <c r="E60"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H84" i="1"/>
  <c r="H85" i="1"/>
  <c r="H86" i="1"/>
  <c r="H87" i="1"/>
  <c r="H88" i="1"/>
  <c r="H89" i="1"/>
  <c r="H90" i="1"/>
  <c r="H91" i="1"/>
  <c r="H92" i="1"/>
  <c r="H93" i="1"/>
  <c r="H94" i="1"/>
  <c r="H95" i="1"/>
  <c r="H96" i="1"/>
  <c r="H97" i="1"/>
  <c r="H98" i="1"/>
  <c r="H99" i="1"/>
  <c r="H100" i="1"/>
  <c r="H101" i="1"/>
  <c r="H102" i="1"/>
  <c r="H103" i="1"/>
  <c r="H104" i="1"/>
  <c r="C15" i="7"/>
  <c r="C14" i="7"/>
  <c r="D6" i="1"/>
  <c r="D35" i="3"/>
  <c r="E35" i="3"/>
  <c r="L35" i="3"/>
  <c r="M35" i="3"/>
  <c r="N35" i="3"/>
  <c r="J37" i="2"/>
  <c r="J38" i="2"/>
  <c r="J39" i="2"/>
  <c r="J40" i="2"/>
  <c r="H37" i="3"/>
  <c r="D38" i="3"/>
  <c r="E38" i="3"/>
  <c r="H38" i="3"/>
  <c r="D39" i="3"/>
  <c r="E39" i="3"/>
  <c r="H39" i="3"/>
  <c r="D40" i="3"/>
  <c r="E40" i="3"/>
  <c r="H40" i="3"/>
  <c r="D41" i="3"/>
  <c r="E41" i="3"/>
  <c r="H41" i="3"/>
  <c r="D42" i="3"/>
  <c r="E42" i="3"/>
  <c r="H42" i="3"/>
  <c r="D43" i="3"/>
  <c r="E43" i="3"/>
  <c r="H43" i="3"/>
  <c r="D44" i="3"/>
  <c r="E44" i="3"/>
  <c r="H44" i="3"/>
  <c r="D45" i="3"/>
  <c r="E45" i="3"/>
  <c r="H45" i="3"/>
  <c r="D46" i="3"/>
  <c r="E46" i="3"/>
  <c r="H46" i="3"/>
  <c r="D47" i="3"/>
  <c r="E47" i="3"/>
  <c r="H47" i="3"/>
  <c r="D48" i="3"/>
  <c r="E48" i="3"/>
  <c r="H48" i="3"/>
  <c r="D49" i="3"/>
  <c r="E49" i="3"/>
  <c r="H49" i="3"/>
  <c r="D50" i="3"/>
  <c r="E50" i="3"/>
  <c r="H50" i="3"/>
  <c r="D51" i="3"/>
  <c r="E51" i="3"/>
  <c r="H51" i="3"/>
  <c r="D52" i="3"/>
  <c r="E52" i="3"/>
  <c r="H52" i="3"/>
  <c r="D53" i="3"/>
  <c r="E53" i="3"/>
  <c r="H53" i="3"/>
  <c r="D54" i="3"/>
  <c r="E54" i="3"/>
  <c r="H54" i="3"/>
  <c r="D55" i="3"/>
  <c r="E55" i="3"/>
  <c r="H55" i="3"/>
  <c r="D56" i="3"/>
  <c r="E56" i="3"/>
  <c r="H56" i="3"/>
  <c r="D57" i="3"/>
  <c r="E57" i="3"/>
  <c r="H57" i="3"/>
  <c r="D58" i="3"/>
  <c r="E58" i="3"/>
  <c r="H58" i="3"/>
  <c r="D59" i="3"/>
  <c r="E59" i="3"/>
  <c r="H59" i="3"/>
  <c r="D60" i="3"/>
  <c r="E60" i="3"/>
  <c r="H60" i="3"/>
  <c r="D61" i="3"/>
  <c r="E61" i="3"/>
  <c r="H61" i="3"/>
  <c r="D62" i="3"/>
  <c r="E62" i="3"/>
  <c r="H62" i="3"/>
  <c r="D63" i="3"/>
  <c r="E63" i="3"/>
  <c r="H63" i="3"/>
  <c r="D64" i="3"/>
  <c r="E64" i="3"/>
  <c r="H64" i="3"/>
  <c r="D65" i="3"/>
  <c r="E65" i="3"/>
  <c r="H65" i="3"/>
  <c r="D66" i="3"/>
  <c r="E66" i="3"/>
  <c r="H66" i="3"/>
  <c r="D67" i="3"/>
  <c r="E67" i="3"/>
  <c r="H67" i="3"/>
  <c r="D68" i="3"/>
  <c r="E68" i="3"/>
  <c r="H68" i="3"/>
  <c r="D69" i="3"/>
  <c r="E69" i="3"/>
  <c r="H69" i="3"/>
  <c r="D70" i="3"/>
  <c r="E70" i="3"/>
  <c r="H70" i="3"/>
  <c r="D71" i="3"/>
  <c r="E71" i="3"/>
  <c r="H71" i="3"/>
  <c r="D72" i="3"/>
  <c r="E72" i="3"/>
  <c r="H72" i="3"/>
  <c r="D73" i="3"/>
  <c r="E73" i="3"/>
  <c r="H73" i="3"/>
  <c r="D74" i="3"/>
  <c r="E74" i="3"/>
  <c r="H74" i="3"/>
  <c r="D75" i="3"/>
  <c r="E75" i="3"/>
  <c r="H75" i="3"/>
  <c r="D76" i="3"/>
  <c r="E76" i="3"/>
  <c r="H76" i="3"/>
  <c r="D77" i="3"/>
  <c r="E77" i="3"/>
  <c r="H77" i="3"/>
  <c r="D78" i="3"/>
  <c r="E78" i="3"/>
  <c r="H78" i="3"/>
  <c r="D79" i="3"/>
  <c r="E79" i="3"/>
  <c r="H79" i="3"/>
  <c r="D80" i="3"/>
  <c r="E80" i="3"/>
  <c r="H80" i="3"/>
  <c r="D81" i="3"/>
  <c r="E81" i="3"/>
  <c r="H81" i="3"/>
  <c r="D82" i="3"/>
  <c r="E82" i="3"/>
  <c r="H82" i="3"/>
  <c r="D83" i="3"/>
  <c r="E83" i="3"/>
  <c r="H83" i="3"/>
  <c r="D84" i="3"/>
  <c r="E84" i="3"/>
  <c r="H84" i="3"/>
  <c r="D85" i="3"/>
  <c r="E85" i="3"/>
  <c r="H85" i="3"/>
  <c r="D86" i="3"/>
  <c r="E86" i="3"/>
  <c r="H86" i="3"/>
  <c r="D87" i="3"/>
  <c r="E87" i="3"/>
  <c r="H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J104" i="1"/>
  <c r="D38" i="1"/>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41" i="3"/>
  <c r="P40" i="3"/>
  <c r="P39"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I45" i="2"/>
  <c r="I44" i="2"/>
  <c r="I43" i="2"/>
  <c r="I42" i="2"/>
  <c r="H2" i="2"/>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0" i="1"/>
  <c r="D69" i="1"/>
  <c r="D68" i="1"/>
  <c r="D67" i="1"/>
  <c r="D66" i="1"/>
  <c r="D65" i="1"/>
  <c r="D64" i="1"/>
  <c r="D63" i="1"/>
  <c r="D62" i="1"/>
  <c r="D61" i="1"/>
  <c r="D60" i="1"/>
  <c r="D59" i="1"/>
  <c r="D58" i="1"/>
  <c r="D57" i="1"/>
  <c r="D56" i="1"/>
  <c r="D55" i="1"/>
  <c r="D54" i="1"/>
  <c r="D53" i="1"/>
  <c r="D52" i="1"/>
  <c r="D51" i="1"/>
  <c r="D44" i="1"/>
  <c r="D43" i="1"/>
  <c r="D42" i="1"/>
  <c r="D41" i="1"/>
  <c r="D40" i="1"/>
  <c r="D37" i="1"/>
  <c r="D35" i="1"/>
  <c r="D34" i="1"/>
  <c r="D33" i="1"/>
  <c r="D29" i="1"/>
  <c r="D28" i="1"/>
  <c r="D27" i="1"/>
  <c r="D24" i="1"/>
  <c r="D23" i="1"/>
  <c r="D22" i="1"/>
  <c r="D21" i="1"/>
  <c r="D19" i="1"/>
  <c r="D17" i="1"/>
  <c r="D16" i="1"/>
  <c r="D15" i="1"/>
  <c r="D14" i="1"/>
  <c r="D13" i="1"/>
  <c r="D12" i="1"/>
  <c r="D11" i="1"/>
  <c r="D10" i="1"/>
  <c r="D9" i="1"/>
  <c r="D8" i="1"/>
  <c r="D7" i="1"/>
  <c r="J33" i="2"/>
  <c r="J31" i="2"/>
  <c r="J30" i="2"/>
  <c r="J32" i="2"/>
  <c r="H30" i="3"/>
  <c r="H31" i="3"/>
  <c r="H32" i="3"/>
  <c r="H33" i="3"/>
  <c r="H34" i="3"/>
  <c r="H35" i="3"/>
  <c r="E76" i="1"/>
  <c r="E75" i="1"/>
  <c r="E74" i="1"/>
  <c r="E73" i="1"/>
  <c r="E72" i="1"/>
  <c r="E70" i="1"/>
  <c r="E69" i="1"/>
  <c r="E68" i="1"/>
  <c r="E67" i="1"/>
  <c r="E66" i="1"/>
  <c r="E65" i="1"/>
  <c r="E64" i="1"/>
  <c r="E63" i="1"/>
  <c r="E62" i="1"/>
  <c r="E61" i="1"/>
  <c r="E59" i="1"/>
  <c r="E58" i="1"/>
  <c r="E57" i="1"/>
  <c r="E54" i="1"/>
  <c r="E53" i="1"/>
  <c r="E52" i="1"/>
  <c r="E51" i="1"/>
  <c r="E44" i="1"/>
  <c r="E43" i="1"/>
  <c r="E42" i="1"/>
  <c r="E41" i="1"/>
  <c r="E38" i="1"/>
  <c r="E37" i="1"/>
  <c r="E14" i="1"/>
  <c r="E13" i="1"/>
  <c r="E11" i="1"/>
  <c r="E10" i="1"/>
  <c r="E9" i="1"/>
  <c r="E8" i="1"/>
  <c r="E6" i="1"/>
  <c r="J28" i="2"/>
  <c r="H4" i="3"/>
  <c r="J29" i="2"/>
  <c r="J27" i="2"/>
  <c r="J25" i="2"/>
  <c r="J23" i="2"/>
  <c r="J21" i="2"/>
  <c r="J19" i="2"/>
  <c r="J17" i="2"/>
  <c r="J15" i="2"/>
  <c r="J13" i="2"/>
  <c r="J11" i="2"/>
  <c r="J9" i="2"/>
  <c r="J6" i="2"/>
  <c r="J5" i="2"/>
  <c r="J26" i="2"/>
  <c r="J24" i="2"/>
  <c r="J22" i="2"/>
  <c r="J20" i="2"/>
  <c r="J18" i="2"/>
  <c r="J16" i="2"/>
  <c r="J14" i="2"/>
  <c r="J10" i="2"/>
  <c r="J8" i="2"/>
  <c r="J7" i="2"/>
  <c r="J12" i="2"/>
  <c r="H5" i="3"/>
  <c r="H6" i="3"/>
  <c r="H7" i="3"/>
  <c r="H8" i="3"/>
  <c r="H9" i="3"/>
  <c r="H10" i="3"/>
  <c r="H11" i="3"/>
  <c r="H12" i="3"/>
  <c r="H13" i="3"/>
  <c r="H14" i="3"/>
  <c r="H15" i="3"/>
  <c r="H16" i="3"/>
  <c r="H17" i="3"/>
  <c r="H18" i="3"/>
  <c r="H19" i="3"/>
  <c r="H20" i="3"/>
  <c r="H21" i="3"/>
  <c r="H22" i="3"/>
  <c r="H23" i="3"/>
  <c r="H24" i="3"/>
  <c r="H25" i="3"/>
  <c r="H26" i="3"/>
  <c r="H27" i="3"/>
  <c r="H28" i="3"/>
  <c r="H29" i="3"/>
  <c r="C18" i="7"/>
  <c r="C19" i="7"/>
</calcChain>
</file>

<file path=xl/sharedStrings.xml><?xml version="1.0" encoding="utf-8"?>
<sst xmlns="http://schemas.openxmlformats.org/spreadsheetml/2006/main" count="5037" uniqueCount="171">
  <si>
    <t>庫存查詢表</t>
  </si>
  <si>
    <t>選擇粉烤色號：</t>
  </si>
  <si>
    <t>EL-0365T</t>
  </si>
  <si>
    <t>粉烤代號：</t>
  </si>
  <si>
    <t>廠商：</t>
  </si>
  <si>
    <t>當前庫存：</t>
  </si>
  <si>
    <t>箱</t>
  </si>
  <si>
    <t>散粉：</t>
  </si>
  <si>
    <t>KG</t>
  </si>
  <si>
    <t>總數量：</t>
  </si>
  <si>
    <t>日期</t>
  </si>
  <si>
    <t>粉號</t>
  </si>
  <si>
    <t>代號</t>
  </si>
  <si>
    <t>庫存</t>
  </si>
  <si>
    <t>出</t>
  </si>
  <si>
    <t>散粉</t>
  </si>
  <si>
    <t>重量(Kg)</t>
  </si>
  <si>
    <t>回庫</t>
  </si>
  <si>
    <t>用量</t>
  </si>
  <si>
    <t>時段</t>
  </si>
  <si>
    <t>烤漆日期</t>
  </si>
  <si>
    <t>回收/不回收</t>
  </si>
  <si>
    <t>備註</t>
  </si>
  <si>
    <t>欄1</t>
  </si>
  <si>
    <t>颱風假</t>
  </si>
  <si>
    <t>4950-502</t>
  </si>
  <si>
    <t>全</t>
  </si>
  <si>
    <t>不回收</t>
  </si>
  <si>
    <t>K-9287S</t>
  </si>
  <si>
    <t>DP-11485</t>
  </si>
  <si>
    <t>回收</t>
  </si>
  <si>
    <t>例假日</t>
  </si>
  <si>
    <t>國定假日</t>
  </si>
  <si>
    <t>4605-505</t>
  </si>
  <si>
    <t>770-739</t>
  </si>
  <si>
    <t>無烤漆</t>
  </si>
  <si>
    <t>已建檔</t>
  </si>
  <si>
    <t>K-91097G</t>
  </si>
  <si>
    <t>員旅</t>
  </si>
  <si>
    <t>008/2H056</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</si>
  <si>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</si>
  <si>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</si>
  <si>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</si>
  <si>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</si>
  <si>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</si>
  <si>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</si>
  <si>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</si>
  <si>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</si>
  <si>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</si>
  <si>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</si>
  <si>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</si>
  <si>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</si>
  <si>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</si>
  <si>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</si>
  <si>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</si>
  <si>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</si>
  <si>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</si>
  <si>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</si>
  <si>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</si>
  <si>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</si>
  <si>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期初數量</t>
  </si>
  <si>
    <t>重量(KG)</t>
  </si>
  <si>
    <t>盤點日期</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</si>
  <si>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</si>
  <si>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</si>
  <si>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</si>
  <si>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</si>
  <si>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</si>
  <si>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</si>
  <si>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</si>
  <si>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淨重</t>
  </si>
  <si>
    <t>廠商</t>
  </si>
  <si>
    <t>WE</t>
  </si>
  <si>
    <t>白亮光</t>
  </si>
  <si>
    <t>國麗</t>
  </si>
  <si>
    <t>DP-1856</t>
  </si>
  <si>
    <t>WE1</t>
  </si>
  <si>
    <t>灰白</t>
  </si>
  <si>
    <t>O-5905</t>
  </si>
  <si>
    <t>YW</t>
  </si>
  <si>
    <t>黃亮光</t>
  </si>
  <si>
    <t>New O-5905</t>
  </si>
  <si>
    <t>790-41540H</t>
  </si>
  <si>
    <t>YWH</t>
  </si>
  <si>
    <t>黃錘紋</t>
  </si>
  <si>
    <t>國邦</t>
  </si>
  <si>
    <t>780-310AT</t>
  </si>
  <si>
    <t>RD</t>
  </si>
  <si>
    <t>紅色</t>
  </si>
  <si>
    <t>LT-90442</t>
  </si>
  <si>
    <t>BE</t>
  </si>
  <si>
    <t>藍色</t>
  </si>
  <si>
    <t>台粉</t>
  </si>
  <si>
    <t>BEG</t>
  </si>
  <si>
    <t>豔藍-孔雀藍</t>
  </si>
  <si>
    <t>BK</t>
  </si>
  <si>
    <t>黑平光</t>
  </si>
  <si>
    <t>EN-402T</t>
  </si>
  <si>
    <t>BKH</t>
  </si>
  <si>
    <t>黑錘紋</t>
  </si>
  <si>
    <t>長誠</t>
  </si>
  <si>
    <t>BKS1</t>
  </si>
  <si>
    <t>新黑砂</t>
  </si>
  <si>
    <t>780-45510H</t>
  </si>
  <si>
    <t>BKS</t>
  </si>
  <si>
    <t>黑砂</t>
  </si>
  <si>
    <t>EBK</t>
  </si>
  <si>
    <t>消光黑</t>
  </si>
  <si>
    <t>O-9850GSNB</t>
  </si>
  <si>
    <t>BKSA</t>
  </si>
  <si>
    <t>黑砂閃銀</t>
  </si>
  <si>
    <t>BKSA1</t>
  </si>
  <si>
    <t>黑閃銀</t>
  </si>
  <si>
    <t>IGS</t>
  </si>
  <si>
    <t>鐵灰砂</t>
  </si>
  <si>
    <t>O-22170G</t>
  </si>
  <si>
    <t>DGS</t>
  </si>
  <si>
    <t>深灰砂</t>
  </si>
  <si>
    <t>O-200SB</t>
  </si>
  <si>
    <t>SAT</t>
  </si>
  <si>
    <t>閃銀</t>
  </si>
  <si>
    <t>K-5257CSB</t>
  </si>
  <si>
    <t>SAT1</t>
  </si>
  <si>
    <t>新閃銀</t>
  </si>
  <si>
    <t>K-4654</t>
  </si>
  <si>
    <t>PEL</t>
  </si>
  <si>
    <t>紫色</t>
  </si>
  <si>
    <t>780-9B65</t>
  </si>
  <si>
    <t>ATG</t>
  </si>
  <si>
    <t>銀灰</t>
  </si>
  <si>
    <t>780-9Q70</t>
  </si>
  <si>
    <t>780-6902</t>
  </si>
  <si>
    <t>GN</t>
  </si>
  <si>
    <t>綠色</t>
  </si>
  <si>
    <t>A-10067</t>
  </si>
  <si>
    <t>OE</t>
  </si>
  <si>
    <t>橘色</t>
  </si>
  <si>
    <t>4605-702A</t>
  </si>
  <si>
    <t>IG</t>
  </si>
  <si>
    <t>鐵灰</t>
  </si>
  <si>
    <t>4900-246</t>
  </si>
  <si>
    <t>GYW</t>
  </si>
  <si>
    <t>鵝黃色</t>
  </si>
  <si>
    <t>4900-149</t>
  </si>
  <si>
    <t>PK</t>
  </si>
  <si>
    <t>粉紅色</t>
  </si>
  <si>
    <t>K-5510SCB</t>
  </si>
  <si>
    <t>GSAT</t>
  </si>
  <si>
    <t>黃金閃銀</t>
  </si>
  <si>
    <t>O-5337H</t>
  </si>
  <si>
    <t>E-BY112</t>
  </si>
  <si>
    <t>灰色</t>
  </si>
  <si>
    <t>樹懋</t>
  </si>
  <si>
    <t>BP-133S</t>
  </si>
  <si>
    <t>SAT2</t>
  </si>
  <si>
    <t>PC-20537Y</t>
  </si>
  <si>
    <t>灰平光</t>
  </si>
  <si>
    <t>高頻</t>
  </si>
  <si>
    <t>YW1</t>
  </si>
  <si>
    <t>老虎</t>
  </si>
  <si>
    <t>008/1H127</t>
  </si>
  <si>
    <t>WE2</t>
  </si>
  <si>
    <t>年假</t>
  </si>
  <si>
    <t>樣粉</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</si>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</sst>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6" x14ac:knownFonts="1">
    <font>
      <sz val="11"/>
      <name val="Arial"/>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s>
  <fills count="3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right/>
      <top style="thin">
        <color indexed="64"/>
      </top>
      <bottom style="thin">
        <color indexed="64"/>
      </bottom>
      <diagonal/>
    </border>
  </borders>
  <cellStyleXfs count="3">
    <xf numFmtId="0" fontId="0" fillId="0" borderId="0">
      <alignment vertical="center"/>
    </xf>
    <xf numFmtId="0" fontId="10" fillId="0" borderId="0">
      <alignment vertical="top"/>
      <protection locked="0"/>
    </xf>
    <xf numFmtId="0" fontId="32" fillId="33" borderId="10">
      <protection locked="0"/>
    </xf>
  </cellStyleXfs>
  <cellXfs count="164">
    <xf numFmtId="0" fontId="0" fillId="0" borderId="0" xfId="0">
      <alignment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3" borderId="1" xfId="0" applyFont="1" applyFill="1" applyBorder="1" applyAlignment="1">
      <alignment horizontal="center" vertical="center"/>
    </xf>
    <xf numFmtId="177" fontId="5"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6"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180" fontId="4"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5"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14" fontId="9" fillId="7" borderId="0" xfId="0" applyNumberFormat="1" applyFont="1" applyFill="1" applyAlignment="1">
      <alignment horizontal="center" vertical="center"/>
    </xf>
    <xf numFmtId="0" fontId="12" fillId="5" borderId="1" xfId="0" applyFont="1" applyFill="1" applyBorder="1" applyAlignment="1">
      <alignment horizontal="center" vertical="center"/>
    </xf>
    <xf numFmtId="0" fontId="12" fillId="8" borderId="1" xfId="0" applyFont="1" applyFill="1" applyBorder="1" applyAlignment="1">
      <alignment horizontal="center" vertical="center"/>
    </xf>
    <xf numFmtId="177" fontId="12" fillId="8" borderId="1" xfId="0" applyNumberFormat="1" applyFont="1" applyFill="1" applyBorder="1" applyAlignment="1">
      <alignment horizontal="center" vertical="center"/>
    </xf>
    <xf numFmtId="178" fontId="12" fillId="8" borderId="1" xfId="0" applyNumberFormat="1" applyFont="1" applyFill="1" applyBorder="1" applyAlignment="1">
      <alignment horizontal="center" vertical="center" wrapText="1"/>
    </xf>
    <xf numFmtId="0" fontId="12" fillId="5" borderId="2" xfId="0" applyFont="1" applyFill="1" applyBorder="1" applyAlignment="1">
      <alignment horizontal="center" vertical="center"/>
    </xf>
    <xf numFmtId="0" fontId="2" fillId="9" borderId="1" xfId="0" applyFont="1" applyFill="1" applyBorder="1" applyAlignment="1">
      <alignment horizontal="center" vertical="center"/>
    </xf>
    <xf numFmtId="0" fontId="3" fillId="9" borderId="1" xfId="0" applyFont="1" applyFill="1" applyBorder="1" applyAlignment="1">
      <alignment horizontal="center" vertical="center"/>
    </xf>
    <xf numFmtId="177" fontId="4" fillId="9" borderId="1" xfId="0" applyNumberFormat="1" applyFont="1" applyFill="1" applyBorder="1" applyAlignment="1">
      <alignment horizontal="center" vertical="center"/>
    </xf>
    <xf numFmtId="177" fontId="3" fillId="9" borderId="1" xfId="0" applyNumberFormat="1" applyFont="1" applyFill="1" applyBorder="1" applyAlignment="1">
      <alignment horizontal="center" vertical="center"/>
    </xf>
    <xf numFmtId="177" fontId="2" fillId="9" borderId="1" xfId="0" applyNumberFormat="1" applyFont="1" applyFill="1" applyBorder="1" applyAlignment="1">
      <alignment horizontal="center" vertical="center"/>
    </xf>
    <xf numFmtId="178" fontId="2" fillId="9" borderId="1" xfId="0" applyNumberFormat="1" applyFont="1" applyFill="1" applyBorder="1" applyAlignment="1">
      <alignment horizontal="center" vertical="center" wrapText="1"/>
    </xf>
    <xf numFmtId="179" fontId="2" fillId="9" borderId="1" xfId="0" applyNumberFormat="1" applyFont="1" applyFill="1" applyBorder="1" applyAlignment="1">
      <alignment horizontal="center" vertical="center"/>
    </xf>
    <xf numFmtId="0" fontId="2" fillId="10" borderId="1" xfId="0" applyFont="1" applyFill="1" applyBorder="1" applyAlignment="1">
      <alignment horizontal="center" vertical="center"/>
    </xf>
    <xf numFmtId="177" fontId="4" fillId="10" borderId="1" xfId="0" applyNumberFormat="1" applyFont="1" applyFill="1" applyBorder="1" applyAlignment="1">
      <alignment horizontal="center" vertical="center"/>
    </xf>
    <xf numFmtId="177" fontId="2" fillId="10" borderId="1" xfId="0" applyNumberFormat="1" applyFont="1" applyFill="1" applyBorder="1" applyAlignment="1">
      <alignment horizontal="center" vertical="center"/>
    </xf>
    <xf numFmtId="178" fontId="2" fillId="10" borderId="1" xfId="0" applyNumberFormat="1" applyFont="1" applyFill="1" applyBorder="1" applyAlignment="1">
      <alignment horizontal="center" vertical="center" wrapText="1"/>
    </xf>
    <xf numFmtId="179" fontId="2"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4" fontId="14" fillId="11" borderId="0" xfId="0" applyNumberFormat="1" applyFont="1" applyFill="1" applyAlignment="1">
      <alignment horizontal="center" vertical="center"/>
    </xf>
    <xf numFmtId="0" fontId="15" fillId="5" borderId="0" xfId="0" applyFont="1" applyFill="1" applyAlignment="1">
      <alignment horizontal="left" vertical="center"/>
    </xf>
    <xf numFmtId="0" fontId="14" fillId="4" borderId="0" xfId="0" applyFont="1" applyFill="1" applyAlignment="1">
      <alignment horizontal="center" vertical="center"/>
    </xf>
    <xf numFmtId="0" fontId="6" fillId="4" borderId="0" xfId="0" applyFont="1" applyFill="1">
      <alignment vertical="center"/>
    </xf>
    <xf numFmtId="0" fontId="16" fillId="4" borderId="0" xfId="0" applyFont="1" applyFill="1">
      <alignment vertical="center"/>
    </xf>
    <xf numFmtId="0" fontId="17" fillId="11" borderId="0" xfId="0" applyFont="1" applyFill="1">
      <alignment vertical="center"/>
    </xf>
    <xf numFmtId="0" fontId="8" fillId="11" borderId="0" xfId="0" applyFont="1" applyFill="1">
      <alignment vertical="center"/>
    </xf>
    <xf numFmtId="0" fontId="8" fillId="12" borderId="0" xfId="0" applyFont="1" applyFill="1" applyAlignment="1">
      <alignment horizontal="center" vertical="center"/>
    </xf>
    <xf numFmtId="0" fontId="7" fillId="12" borderId="0" xfId="0" applyFont="1" applyFill="1" applyAlignment="1">
      <alignment horizontal="center" vertical="center"/>
    </xf>
    <xf numFmtId="0" fontId="8" fillId="11" borderId="0" xfId="0" applyFont="1" applyFill="1" applyAlignment="1">
      <alignment horizontal="center" vertical="center"/>
    </xf>
    <xf numFmtId="0" fontId="15" fillId="6" borderId="0" xfId="0" applyFont="1" applyFill="1" applyAlignment="1">
      <alignment horizontal="center" vertical="center"/>
    </xf>
    <xf numFmtId="181" fontId="18" fillId="13" borderId="0" xfId="0" applyNumberFormat="1" applyFont="1" applyFill="1" applyAlignment="1">
      <alignment horizontal="center" vertical="center"/>
    </xf>
    <xf numFmtId="181" fontId="11" fillId="13" borderId="0" xfId="0" applyNumberFormat="1" applyFont="1" applyFill="1" applyAlignment="1">
      <alignment horizontal="center" vertical="center"/>
    </xf>
    <xf numFmtId="181" fontId="19" fillId="14" borderId="0" xfId="0" applyNumberFormat="1" applyFont="1" applyFill="1" applyAlignment="1">
      <alignment horizontal="center" vertical="center"/>
    </xf>
    <xf numFmtId="181" fontId="20" fillId="13" borderId="0" xfId="0" applyNumberFormat="1" applyFont="1" applyFill="1" applyAlignment="1">
      <alignment horizontal="center" vertical="center"/>
    </xf>
    <xf numFmtId="0" fontId="15" fillId="7" borderId="0" xfId="0" applyFont="1" applyFill="1" applyAlignment="1">
      <alignment horizontal="center" vertical="center"/>
    </xf>
    <xf numFmtId="0" fontId="8" fillId="6" borderId="0" xfId="0" applyFont="1" applyFill="1">
      <alignment vertical="center"/>
    </xf>
    <xf numFmtId="0" fontId="8" fillId="6" borderId="0" xfId="0" applyFont="1" applyFill="1" applyAlignment="1">
      <alignment horizontal="center" vertical="center"/>
    </xf>
    <xf numFmtId="0" fontId="17" fillId="5" borderId="0" xfId="0" applyFont="1" applyFill="1" applyAlignment="1">
      <alignment horizontal="center" vertical="center"/>
    </xf>
    <xf numFmtId="0" fontId="8" fillId="8" borderId="4" xfId="0" applyFont="1" applyFill="1" applyBorder="1" applyAlignment="1">
      <alignment horizontal="center" vertical="center"/>
    </xf>
    <xf numFmtId="0" fontId="21" fillId="15" borderId="5" xfId="0" applyFont="1" applyFill="1" applyBorder="1" applyAlignment="1">
      <alignment horizontal="center" vertical="center"/>
    </xf>
    <xf numFmtId="0" fontId="8" fillId="8" borderId="6" xfId="0" applyFont="1" applyFill="1" applyBorder="1">
      <alignment vertical="center"/>
    </xf>
    <xf numFmtId="0" fontId="22" fillId="16" borderId="1" xfId="0" applyFont="1" applyFill="1" applyBorder="1" applyAlignment="1">
      <alignment horizontal="center" vertical="center"/>
    </xf>
    <xf numFmtId="0" fontId="23" fillId="17" borderId="1" xfId="0" applyFont="1" applyFill="1" applyBorder="1" applyAlignment="1">
      <alignment horizontal="center" vertical="center"/>
    </xf>
    <xf numFmtId="0" fontId="24" fillId="17" borderId="1" xfId="0" applyFont="1" applyFill="1" applyBorder="1" applyAlignment="1">
      <alignment horizontal="center" vertical="center"/>
    </xf>
    <xf numFmtId="182" fontId="23" fillId="17" borderId="1" xfId="0" applyNumberFormat="1" applyFont="1" applyFill="1" applyBorder="1" applyAlignment="1">
      <alignment horizontal="center" vertical="center"/>
    </xf>
    <xf numFmtId="0" fontId="25" fillId="17" borderId="1" xfId="0" applyFont="1" applyFill="1" applyBorder="1" applyAlignment="1">
      <alignment horizontal="center" vertical="center"/>
    </xf>
    <xf numFmtId="0" fontId="1" fillId="11" borderId="0" xfId="0" applyFont="1" applyFill="1">
      <alignment vertical="center"/>
    </xf>
    <xf numFmtId="0" fontId="23" fillId="18" borderId="7" xfId="0" applyFont="1" applyFill="1" applyBorder="1" applyAlignment="1">
      <alignment horizontal="center" vertical="center"/>
    </xf>
    <xf numFmtId="0" fontId="6" fillId="18" borderId="7" xfId="0" applyFont="1" applyFill="1" applyBorder="1" applyAlignment="1">
      <alignment horizontal="center" vertical="center"/>
    </xf>
    <xf numFmtId="182" fontId="23" fillId="18" borderId="7"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1" fillId="18" borderId="7" xfId="0" applyFont="1" applyFill="1" applyBorder="1" applyAlignment="1">
      <alignment horizontal="center" vertical="center"/>
    </xf>
    <xf numFmtId="0" fontId="8" fillId="20" borderId="0" xfId="0" applyFont="1" applyFill="1" applyAlignment="1">
      <alignment horizontal="center" vertical="center"/>
    </xf>
    <xf numFmtId="0" fontId="1" fillId="21" borderId="0" xfId="0" applyFont="1" applyFill="1" applyAlignment="1">
      <alignment horizontal="center" vertical="center"/>
    </xf>
    <xf numFmtId="0" fontId="6" fillId="22" borderId="7" xfId="0" applyFont="1" applyFill="1" applyBorder="1" applyAlignment="1">
      <alignment horizontal="center" vertical="center"/>
    </xf>
    <xf numFmtId="0" fontId="6" fillId="21" borderId="0" xfId="0" applyFont="1" applyFill="1" applyAlignment="1">
      <alignment horizontal="center" vertical="center"/>
    </xf>
    <xf numFmtId="0" fontId="6" fillId="0" borderId="0" xfId="0" applyFont="1">
      <alignment vertical="center"/>
    </xf>
    <xf numFmtId="0" fontId="7" fillId="0" borderId="0" xfId="0" applyFont="1">
      <alignment vertical="center"/>
    </xf>
    <xf numFmtId="0" fontId="7" fillId="23" borderId="0" xfId="0" applyFont="1" applyFill="1" applyAlignment="1">
      <alignment horizontal="center" vertical="center"/>
    </xf>
    <xf numFmtId="0" fontId="6" fillId="23" borderId="0" xfId="0" applyFont="1" applyFill="1" applyAlignment="1">
      <alignment horizontal="center" vertical="center"/>
    </xf>
    <xf numFmtId="181" fontId="7" fillId="13" borderId="0" xfId="0" applyNumberFormat="1" applyFont="1" applyFill="1" applyAlignment="1">
      <alignment horizontal="center" vertical="center"/>
    </xf>
    <xf numFmtId="181" fontId="6" fillId="13" borderId="0" xfId="0" applyNumberFormat="1" applyFont="1" applyFill="1" applyAlignment="1">
      <alignment horizontal="center" vertical="center"/>
    </xf>
    <xf numFmtId="0" fontId="7" fillId="15" borderId="5" xfId="0" applyFont="1" applyFill="1" applyBorder="1" applyAlignment="1">
      <alignment horizontal="center" vertical="center"/>
    </xf>
    <xf numFmtId="0" fontId="7" fillId="24" borderId="0" xfId="0" applyFont="1" applyFill="1">
      <alignment vertical="center"/>
    </xf>
    <xf numFmtId="0" fontId="7" fillId="15" borderId="4" xfId="0" applyFont="1" applyFill="1" applyBorder="1" applyAlignment="1">
      <alignment horizontal="center" vertical="center"/>
    </xf>
    <xf numFmtId="0" fontId="7" fillId="15" borderId="6" xfId="0" applyFont="1" applyFill="1" applyBorder="1" applyAlignment="1">
      <alignment horizontal="center" vertical="center"/>
    </xf>
    <xf numFmtId="14" fontId="8" fillId="25" borderId="8" xfId="0" applyNumberFormat="1" applyFont="1" applyFill="1" applyBorder="1" applyAlignment="1">
      <alignment horizontal="center" vertical="center"/>
    </xf>
    <xf numFmtId="0" fontId="24" fillId="26" borderId="4" xfId="0" applyFont="1" applyFill="1" applyBorder="1" applyAlignment="1">
      <alignment horizontal="center" vertical="center"/>
    </xf>
    <xf numFmtId="0" fontId="24" fillId="17" borderId="4" xfId="0" applyFont="1" applyFill="1" applyBorder="1" applyAlignment="1">
      <alignment horizontal="center" vertical="center"/>
    </xf>
    <xf numFmtId="0" fontId="6" fillId="27" borderId="7" xfId="0" applyFont="1" applyFill="1" applyBorder="1" applyAlignment="1">
      <alignment horizontal="center" vertical="center"/>
    </xf>
    <xf numFmtId="176" fontId="6" fillId="0" borderId="0" xfId="0" applyNumberFormat="1" applyFont="1">
      <alignment vertical="center"/>
    </xf>
    <xf numFmtId="176" fontId="6" fillId="23" borderId="0" xfId="0" applyNumberFormat="1" applyFont="1" applyFill="1" applyAlignment="1">
      <alignment horizontal="center" vertical="center"/>
    </xf>
    <xf numFmtId="181" fontId="26" fillId="13" borderId="0" xfId="0" applyNumberFormat="1" applyFont="1" applyFill="1" applyAlignment="1">
      <alignment horizontal="center" vertical="center"/>
    </xf>
    <xf numFmtId="176" fontId="7" fillId="15" borderId="5" xfId="0" applyNumberFormat="1" applyFont="1" applyFill="1" applyBorder="1" applyAlignment="1">
      <alignment horizontal="center" vertical="center"/>
    </xf>
    <xf numFmtId="176" fontId="24" fillId="17" borderId="1" xfId="0" applyNumberFormat="1" applyFont="1" applyFill="1" applyBorder="1" applyAlignment="1">
      <alignment horizontal="center" vertical="center"/>
    </xf>
    <xf numFmtId="0" fontId="24" fillId="26" borderId="8" xfId="0" applyFont="1" applyFill="1" applyBorder="1" applyAlignment="1">
      <alignment horizontal="center" vertical="center"/>
    </xf>
    <xf numFmtId="0" fontId="24" fillId="17" borderId="8" xfId="0" applyFont="1" applyFill="1" applyBorder="1" applyAlignment="1">
      <alignment horizontal="center" vertical="center"/>
    </xf>
    <xf numFmtId="176" fontId="24" fillId="26" borderId="4" xfId="0" applyNumberFormat="1" applyFont="1" applyFill="1" applyBorder="1" applyAlignment="1">
      <alignment horizontal="center" vertical="center"/>
    </xf>
    <xf numFmtId="176" fontId="24" fillId="17" borderId="4" xfId="0" applyNumberFormat="1" applyFont="1" applyFill="1" applyBorder="1" applyAlignment="1">
      <alignment horizontal="center" vertical="center"/>
    </xf>
    <xf numFmtId="0" fontId="7" fillId="28" borderId="4" xfId="0" applyFont="1" applyFill="1" applyBorder="1" applyAlignment="1">
      <alignment horizontal="center" vertical="center"/>
    </xf>
    <xf numFmtId="176" fontId="6" fillId="27" borderId="7" xfId="0" applyNumberFormat="1" applyFont="1" applyFill="1" applyBorder="1" applyAlignment="1">
      <alignment horizontal="center" vertical="center"/>
    </xf>
    <xf numFmtId="0" fontId="14" fillId="0" borderId="0" xfId="0" applyFont="1" applyAlignment="1">
      <alignment horizontal="center" vertical="center"/>
    </xf>
    <xf numFmtId="0" fontId="27" fillId="0" borderId="0" xfId="0" applyFont="1" applyAlignment="1">
      <alignment horizontal="center" vertical="center"/>
    </xf>
    <xf numFmtId="0" fontId="28" fillId="29" borderId="4" xfId="0" applyFont="1" applyFill="1" applyBorder="1" applyAlignment="1">
      <alignment horizontal="center" vertical="center"/>
    </xf>
    <xf numFmtId="0" fontId="14" fillId="30" borderId="4" xfId="0" applyFont="1" applyFill="1" applyBorder="1" applyAlignment="1">
      <alignment horizontal="center" vertical="center"/>
    </xf>
    <xf numFmtId="0" fontId="14" fillId="31" borderId="4" xfId="0" applyFont="1" applyFill="1" applyBorder="1" applyAlignment="1">
      <alignment horizontal="center" vertical="center"/>
    </xf>
    <xf numFmtId="0" fontId="29" fillId="30" borderId="4" xfId="0" applyFont="1" applyFill="1" applyBorder="1" applyAlignment="1">
      <alignment horizontal="center" vertical="center"/>
    </xf>
    <xf numFmtId="0" fontId="29" fillId="31" borderId="4" xfId="0" applyFont="1" applyFill="1" applyBorder="1" applyAlignment="1">
      <alignment horizontal="center" vertical="center"/>
    </xf>
    <xf numFmtId="0" fontId="11" fillId="0" borderId="0" xfId="0" applyFont="1" applyAlignment="1">
      <alignment horizontal="center" vertical="center"/>
    </xf>
    <xf numFmtId="0" fontId="1"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1" fillId="15" borderId="1" xfId="0" applyFont="1" applyFill="1" applyBorder="1" applyAlignment="1">
      <alignment horizontal="center" vertical="center"/>
    </xf>
    <xf numFmtId="0" fontId="8" fillId="32" borderId="1" xfId="0" applyFont="1" applyFill="1" applyBorder="1" applyAlignment="1">
      <alignment horizontal="center" vertical="center"/>
    </xf>
    <xf numFmtId="0" fontId="32" fillId="33" borderId="9" xfId="2" applyBorder="1" applyAlignment="1" applyProtection="1">
      <alignment horizontal="center" vertical="center"/>
    </xf>
    <xf numFmtId="0" fontId="25" fillId="9" borderId="1" xfId="0" applyFont="1" applyFill="1" applyBorder="1" applyAlignment="1">
      <alignment horizontal="center" vertical="center"/>
    </xf>
    <xf numFmtId="0" fontId="8" fillId="8" borderId="1" xfId="0" applyFont="1" applyFill="1" applyBorder="1" applyAlignment="1">
      <alignment horizontal="center" vertical="center"/>
    </xf>
    <xf numFmtId="0" fontId="1" fillId="0" borderId="11" xfId="0" applyFont="1" applyBorder="1">
      <alignment vertical="center"/>
    </xf>
    <xf numFmtId="176" fontId="12" fillId="8" borderId="2" xfId="0" applyNumberFormat="1" applyFont="1" applyFill="1" applyBorder="1" applyAlignment="1">
      <alignment horizontal="center" vertical="center"/>
    </xf>
    <xf numFmtId="176" fontId="2" fillId="9"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xf>
    <xf numFmtId="176" fontId="2" fillId="2" borderId="2" xfId="0" applyNumberFormat="1" applyFont="1" applyFill="1" applyBorder="1" applyAlignment="1">
      <alignment horizontal="center" vertical="center"/>
    </xf>
    <xf numFmtId="0" fontId="13" fillId="8" borderId="11" xfId="0" applyFont="1" applyFill="1" applyBorder="1" applyAlignment="1">
      <alignment horizontal="center" vertical="center"/>
    </xf>
    <xf numFmtId="0" fontId="8" fillId="8" borderId="11" xfId="0" applyFont="1" applyFill="1" applyBorder="1">
      <alignment vertical="center"/>
    </xf>
    <xf numFmtId="0" fontId="34" fillId="17" borderId="1" xfId="0" applyFont="1" applyFill="1" applyBorder="1" applyAlignment="1">
      <alignment horizontal="center" vertical="center"/>
    </xf>
    <xf numFmtId="0" fontId="21" fillId="15" borderId="7" xfId="0" applyFont="1" applyFill="1" applyBorder="1" applyAlignment="1">
      <alignment horizontal="center" vertical="center"/>
    </xf>
    <xf numFmtId="0" fontId="21" fillId="15" borderId="4" xfId="0" applyFont="1" applyFill="1" applyBorder="1" applyAlignment="1">
      <alignment horizontal="center" vertical="center"/>
    </xf>
    <xf numFmtId="0" fontId="21" fillId="19" borderId="4" xfId="0" applyFont="1" applyFill="1" applyBorder="1" applyAlignment="1">
      <alignment horizontal="center" vertical="center"/>
    </xf>
    <xf numFmtId="176" fontId="24" fillId="17" borderId="7" xfId="0" applyNumberFormat="1" applyFont="1" applyFill="1" applyBorder="1" applyAlignment="1">
      <alignment horizontal="center" vertical="center"/>
    </xf>
    <xf numFmtId="0" fontId="24" fillId="17" borderId="7" xfId="0" applyFont="1" applyFill="1" applyBorder="1" applyAlignment="1">
      <alignment horizontal="center" vertical="center"/>
    </xf>
    <xf numFmtId="0" fontId="25" fillId="30" borderId="4" xfId="0" applyFont="1" applyFill="1" applyBorder="1" applyAlignment="1">
      <alignment horizontal="center" vertical="center"/>
    </xf>
    <xf numFmtId="0" fontId="0" fillId="34" borderId="0" xfId="0" applyFill="1">
      <alignment vertical="center"/>
    </xf>
    <xf numFmtId="0" fontId="36" fillId="34" borderId="0" xfId="0" applyFont="1" applyFill="1" applyAlignment="1">
      <alignment horizontal="center" vertical="center"/>
    </xf>
    <xf numFmtId="0" fontId="38" fillId="9" borderId="1" xfId="0" applyFont="1" applyFill="1" applyBorder="1" applyAlignment="1">
      <alignment horizontal="center" vertical="center"/>
    </xf>
    <xf numFmtId="0" fontId="37" fillId="34" borderId="0" xfId="0" applyFont="1" applyFill="1">
      <alignment vertical="center"/>
    </xf>
    <xf numFmtId="0" fontId="39" fillId="9" borderId="1" xfId="0" applyFont="1" applyFill="1" applyBorder="1" applyAlignment="1">
      <alignment horizontal="center" vertical="center"/>
    </xf>
    <xf numFmtId="0" fontId="40" fillId="34" borderId="0" xfId="0" applyFont="1" applyFill="1">
      <alignment vertical="center"/>
    </xf>
    <xf numFmtId="0" fontId="35" fillId="34" borderId="0" xfId="0" applyFont="1" applyFill="1">
      <alignment vertical="center"/>
    </xf>
    <xf numFmtId="0" fontId="37" fillId="34" borderId="0" xfId="0" applyFont="1" applyFill="1" applyAlignment="1">
      <alignment horizontal="center" vertical="center"/>
    </xf>
    <xf numFmtId="0" fontId="40" fillId="35" borderId="0" xfId="0" applyFont="1" applyFill="1" applyAlignment="1">
      <alignment horizontal="right"/>
    </xf>
    <xf numFmtId="0" fontId="40" fillId="35" borderId="0" xfId="0" applyFont="1" applyFill="1" applyAlignment="1">
      <alignment horizontal="left" vertical="top"/>
    </xf>
    <xf numFmtId="0" fontId="0" fillId="0" borderId="0" xfId="0" applyAlignment="1">
      <alignment horizontal="center" vertical="center"/>
    </xf>
    <xf numFmtId="0" fontId="43" fillId="36" borderId="12" xfId="0" applyFont="1" applyFill="1" applyBorder="1" applyAlignment="1">
      <alignment horizontal="center" vertical="center"/>
    </xf>
    <xf numFmtId="0" fontId="37" fillId="34" borderId="12" xfId="0" applyFont="1" applyFill="1" applyBorder="1" applyAlignment="1">
      <alignment horizontal="center" vertical="center"/>
    </xf>
    <xf numFmtId="0" fontId="37" fillId="35" borderId="12" xfId="0" applyFont="1" applyFill="1" applyBorder="1" applyAlignment="1">
      <alignment horizontal="center" vertical="center"/>
    </xf>
    <xf numFmtId="0" fontId="37" fillId="38" borderId="12" xfId="0" applyFont="1" applyFill="1" applyBorder="1" applyAlignment="1">
      <alignment horizontal="center" vertical="center"/>
    </xf>
    <xf numFmtId="0" fontId="44" fillId="0" borderId="0" xfId="0" applyFont="1">
      <alignment vertical="center"/>
    </xf>
    <xf numFmtId="0" fontId="45" fillId="37" borderId="12" xfId="0" applyFont="1" applyFill="1" applyBorder="1" applyAlignment="1">
      <alignment horizontal="center" vertical="center"/>
    </xf>
    <xf numFmtId="0" fontId="42" fillId="34" borderId="0" xfId="0" applyFont="1" applyFill="1" applyAlignment="1">
      <alignment horizontal="center" vertical="center"/>
    </xf>
    <xf numFmtId="0" fontId="3" fillId="9" borderId="1" xfId="0" applyFont="1" applyFill="1" applyBorder="1" applyAlignment="1">
      <alignment horizontal="center" vertical="center" wrapText="1"/>
    </xf>
    <xf numFmtId="0" fontId="2" fillId="35" borderId="1" xfId="0" applyFont="1" applyFill="1" applyBorder="1" applyAlignment="1">
      <alignment horizontal="center" vertical="center"/>
    </xf>
    <xf numFmtId="0" fontId="2" fillId="9" borderId="12" xfId="0" applyFont="1" applyFill="1" applyBorder="1" applyAlignment="1">
      <alignment horizontal="center" vertical="center"/>
    </xf>
    <xf numFmtId="0" fontId="3" fillId="9" borderId="2" xfId="0" applyFont="1" applyFill="1" applyBorder="1" applyAlignment="1">
      <alignment horizontal="center" vertical="center"/>
    </xf>
    <xf numFmtId="0" fontId="3" fillId="9" borderId="2" xfId="0" applyFont="1" applyFill="1" applyBorder="1" applyAlignment="1">
      <alignment horizontal="center" vertical="center" wrapText="1"/>
    </xf>
    <xf numFmtId="0" fontId="2" fillId="9" borderId="3" xfId="0" applyFont="1" applyFill="1" applyBorder="1" applyAlignment="1">
      <alignment horizontal="center" vertical="center"/>
    </xf>
    <xf numFmtId="0" fontId="2" fillId="9" borderId="13" xfId="0" applyFont="1" applyFill="1" applyBorder="1" applyAlignment="1">
      <alignment horizontal="center" vertical="center"/>
    </xf>
    <xf numFmtId="176" fontId="2" fillId="9" borderId="14" xfId="0" applyNumberFormat="1" applyFont="1" applyFill="1" applyBorder="1" applyAlignment="1">
      <alignment horizontal="center" vertical="center"/>
    </xf>
    <xf numFmtId="0" fontId="6" fillId="28" borderId="7" xfId="0" applyFont="1" applyFill="1" applyBorder="1" applyAlignment="1">
      <alignment horizontal="center" vertical="center"/>
    </xf>
    <xf numFmtId="0" fontId="41" fillId="36" borderId="0" xfId="0" applyFont="1" applyFill="1" applyAlignment="1">
      <alignment horizontal="center" vertical="center"/>
    </xf>
    <xf numFmtId="0" fontId="7" fillId="28" borderId="7" xfId="0" applyFont="1" applyFill="1" applyBorder="1" applyAlignment="1">
      <alignment horizontal="center" vertical="center"/>
    </xf>
    <xf numFmtId="176" fontId="6" fillId="28" borderId="7" xfId="0" applyNumberFormat="1" applyFont="1" applyFill="1" applyBorder="1" applyAlignment="1">
      <alignment horizontal="center" vertical="center"/>
    </xf>
    <xf numFmtId="0" fontId="6" fillId="28" borderId="7" xfId="0" applyFont="1" applyFill="1" applyBorder="1" applyAlignment="1">
      <alignment horizontal="center" vertical="center"/>
    </xf>
  </cellXfs>
  <cellStyles count="3">
    <cellStyle name="Hyperlink" xfId="1" xr:uid="{00000000-0005-0000-0000-000001000000}"/>
    <cellStyle name="一般" xfId="0" builtinId="0"/>
    <cellStyle name="檢查儲存格" xfId="2" xr:uid="{00000000-0005-0000-0000-000002000000}"/>
  </cellStyles>
  <dxfs count="79">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calcChain" Target="calcChain.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sharedStrings" Target="sharedStrings.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tyles" Target="styles.xml" /><Relationship Id="rId5" Type="http://schemas.openxmlformats.org/officeDocument/2006/relationships/worksheet" Target="worksheets/sheet5.xml" /><Relationship Id="rId10" Type="http://schemas.openxmlformats.org/officeDocument/2006/relationships/theme" Target="theme/theme1.xml" /><Relationship Id="rId4" Type="http://schemas.openxmlformats.org/officeDocument/2006/relationships/worksheet" Target="worksheets/sheet4.xml" /><Relationship Id="rId9" Type="http://schemas.openxmlformats.org/officeDocument/2006/relationships/worksheet" Target="worksheets/sheet9.xml" /><Relationship Id="rId14" Type="http://www.wps.cn/officeDocument/2020/cellImage" Target="NUL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04" headerRowDxfId="78" headerRowBorderDxfId="77" tableBorderDxfId="76" totalsRowBorderDxfId="75">
  <autoFilter ref="B2:O104" xr:uid="{00000000-0009-0000-0100-000001000000}"/>
  <tableColumns count="14">
    <tableColumn id="1" xr3:uid="{00000000-0010-0000-0000-000001000000}" name="日期" dataDxfId="74"/>
    <tableColumn id="2" xr3:uid="{00000000-0010-0000-0000-000002000000}" name="粉號" dataDxfId="73"/>
    <tableColumn id="3" xr3:uid="{00000000-0010-0000-0000-000003000000}" name="代號" dataDxfId="72"/>
    <tableColumn id="4" xr3:uid="{00000000-0010-0000-0000-000004000000}" name="庫存" dataDxfId="71"/>
    <tableColumn id="5" xr3:uid="{00000000-0010-0000-0000-000005000000}" name="出" dataDxfId="70"/>
    <tableColumn id="6" xr3:uid="{00000000-0010-0000-0000-000006000000}" name="散粉" dataDxfId="69"/>
    <tableColumn id="7" xr3:uid="{00000000-0010-0000-0000-000007000000}" name="重量(Kg)" dataDxfId="68"/>
    <tableColumn id="8" xr3:uid="{00000000-0010-0000-0000-000008000000}" name="回庫" dataDxfId="67"/>
    <tableColumn id="9" xr3:uid="{00000000-0010-0000-0000-000009000000}" name="用量" dataDxfId="66"/>
    <tableColumn id="10" xr3:uid="{00000000-0010-0000-0000-00000A000000}" name="時段" dataDxfId="65"/>
    <tableColumn id="11" xr3:uid="{00000000-0010-0000-0000-00000B000000}" name="烤漆日期" dataDxfId="64"/>
    <tableColumn id="12" xr3:uid="{00000000-0010-0000-0000-00000C000000}" name="回收/不回收" dataDxfId="63"/>
    <tableColumn id="13" xr3:uid="{00000000-0010-0000-0000-00000D000000}" name="備註" dataDxfId="62"/>
    <tableColumn id="14" xr3:uid="{00000000-0010-0000-0000-00000E000000}" name="欄1" dataDxfId="6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0" tableBorderDxfId="59">
  <autoFilter ref="B2:K105" xr:uid="{00000000-0009-0000-0100-000002000000}"/>
  <tableColumns count="10">
    <tableColumn id="1" xr3:uid="{00000000-0010-0000-0100-000001000000}" name="NO:" totalsRowLabel="合計" dataDxfId="58" totalsRowDxfId="57"/>
    <tableColumn id="2" xr3:uid="{00000000-0010-0000-0100-000002000000}" name="粉號" dataDxfId="56" totalsRowDxfId="55"/>
    <tableColumn id="3" xr3:uid="{00000000-0010-0000-0100-000003000000}" name="當前庫存" dataDxfId="54" totalsRowDxfId="53"/>
    <tableColumn id="9" xr3:uid="{6F9C61C9-81CC-414F-A5E8-27D190EDAA4C}" name="欄1" dataDxfId="52" totalsRowDxfId="51">
      <calculatedColumnFormula>IFERROR(VLOOKUP($C3,當前庫存!$C:$I,4,FALSE),"-")</calculatedColumnFormula>
    </tableColumn>
    <tableColumn id="10" xr3:uid="{49985858-CAE7-1644-9333-BA61B4585E73}" name="欄2" dataDxfId="50" totalsRowDxfId="49">
      <calculatedColumnFormula>IFERROR(VLOOKUP($C3,烤漆色號編碼!$A:$D,4,FALSE)*表格3[[#This Row],[當前庫存]]+表格3[[#This Row],[欄1]],"-")</calculatedColumnFormula>
    </tableColumn>
    <tableColumn id="8" xr3:uid="{00000000-0010-0000-0100-000008000000}" name="箱數" totalsRowDxfId="48"/>
    <tableColumn id="7" xr3:uid="{00000000-0010-0000-0100-000007000000}" name="散粉" dataDxfId="47" totalsRowDxfId="46"/>
    <tableColumn id="4" xr3:uid="{00000000-0010-0000-0100-000004000000}" name="本期盤存" dataDxfId="45"/>
    <tableColumn id="5" xr3:uid="{00000000-0010-0000-0100-000005000000}" name="誤差類別" dataDxfId="44" totalsRowDxfId="43"/>
    <tableColumn id="6" xr3:uid="{00000000-0010-0000-0100-000006000000}" name="誤差值" totalsRowFunction="sum" dataDxfId="42" totalsRowDxfId="41"/>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2"/>
  <sheetViews>
    <sheetView topLeftCell="B1" zoomScaleNormal="60" zoomScaleSheetLayoutView="100" workbookViewId="0">
      <selection activeCell="C13" sqref="C13"/>
    </sheetView>
  </sheetViews>
  <sheetFormatPr defaultColWidth="8.82421875" defaultRowHeight="22.5" x14ac:dyDescent="0.15"/>
  <cols>
    <col min="1" max="1" width="2.44921875" style="133" customWidth="1"/>
    <col min="2" max="2" width="22.80078125" style="133" customWidth="1"/>
    <col min="3" max="3" width="20.10546875" style="133" customWidth="1"/>
    <col min="4" max="4" width="5.8828125" style="136" bestFit="1" customWidth="1"/>
    <col min="5" max="6" width="16.3046875" style="133" bestFit="1" customWidth="1"/>
    <col min="7" max="7" width="10.41796875" style="133" bestFit="1" customWidth="1"/>
    <col min="8" max="16384" width="8.82421875" style="133"/>
  </cols>
  <sheetData>
    <row r="1" spans="1:8" ht="13.5" customHeight="1" x14ac:dyDescent="0.15">
      <c r="A1" s="160" t="s">
        <v>0</v>
      </c>
      <c r="B1" s="160"/>
      <c r="C1" s="160"/>
      <c r="D1" s="160"/>
      <c r="E1" s="160"/>
      <c r="F1" s="139"/>
      <c r="G1" s="139"/>
      <c r="H1" s="139"/>
    </row>
    <row r="2" spans="1:8" ht="13.5" customHeight="1" x14ac:dyDescent="0.15">
      <c r="A2" s="160"/>
      <c r="B2" s="160"/>
      <c r="C2" s="160"/>
      <c r="D2" s="160"/>
      <c r="E2" s="160"/>
      <c r="F2" s="139"/>
      <c r="G2" s="139"/>
      <c r="H2" s="139"/>
    </row>
    <row r="3" spans="1:8" ht="13.5" customHeight="1" x14ac:dyDescent="0.15">
      <c r="A3" s="160"/>
      <c r="B3" s="160"/>
      <c r="C3" s="160"/>
      <c r="D3" s="160"/>
      <c r="E3" s="160"/>
      <c r="F3" s="139"/>
      <c r="G3" s="139"/>
      <c r="H3" s="139"/>
    </row>
    <row r="4" spans="1:8" ht="13.5" customHeight="1" x14ac:dyDescent="0.15">
      <c r="A4" s="160"/>
      <c r="B4" s="160"/>
      <c r="C4" s="160"/>
      <c r="D4" s="160"/>
      <c r="E4" s="160"/>
      <c r="F4" s="139"/>
      <c r="G4" s="139"/>
      <c r="H4" s="139"/>
    </row>
    <row r="5" spans="1:8" ht="13.5" customHeight="1" x14ac:dyDescent="0.15">
      <c r="A5" s="160"/>
      <c r="B5" s="160"/>
      <c r="C5" s="160"/>
      <c r="D5" s="160"/>
      <c r="E5" s="160"/>
      <c r="F5" s="139"/>
      <c r="G5" s="139"/>
      <c r="H5" s="139"/>
    </row>
    <row r="6" spans="1:8" ht="13.5" customHeight="1" x14ac:dyDescent="0.15">
      <c r="A6" s="160"/>
      <c r="B6" s="160"/>
      <c r="C6" s="160"/>
      <c r="D6" s="160"/>
      <c r="E6" s="160"/>
      <c r="F6" s="139"/>
      <c r="G6" s="139"/>
      <c r="H6" s="139"/>
    </row>
    <row r="7" spans="1:8" ht="13.5" customHeight="1" x14ac:dyDescent="0.15">
      <c r="A7" s="160"/>
      <c r="B7" s="160"/>
      <c r="C7" s="160"/>
      <c r="D7" s="160"/>
      <c r="E7" s="160"/>
      <c r="F7" s="139"/>
      <c r="G7" s="139"/>
      <c r="H7" s="139"/>
    </row>
    <row r="8" spans="1:8" ht="13.5" customHeight="1" x14ac:dyDescent="0.15">
      <c r="A8" s="160"/>
      <c r="B8" s="160"/>
      <c r="C8" s="160"/>
      <c r="D8" s="160"/>
      <c r="E8" s="160"/>
      <c r="F8" s="139"/>
      <c r="G8" s="139"/>
      <c r="H8" s="139"/>
    </row>
    <row r="9" spans="1:8" ht="13.5" customHeight="1" x14ac:dyDescent="0.15">
      <c r="A9" s="160"/>
      <c r="B9" s="160"/>
      <c r="C9" s="160"/>
      <c r="D9" s="160"/>
      <c r="E9" s="160"/>
      <c r="F9" s="139"/>
      <c r="G9" s="139"/>
      <c r="H9" s="139"/>
    </row>
    <row r="10" spans="1:8" ht="13.5" x14ac:dyDescent="0.15">
      <c r="A10" s="160"/>
      <c r="B10" s="160"/>
      <c r="C10" s="160"/>
      <c r="D10" s="160"/>
      <c r="E10" s="160"/>
    </row>
    <row r="13" spans="1:8" s="134" customFormat="1" x14ac:dyDescent="0.25">
      <c r="B13" s="141" t="s">
        <v>1</v>
      </c>
      <c r="C13" s="135" t="s">
        <v>2</v>
      </c>
      <c r="D13" s="140"/>
    </row>
    <row r="14" spans="1:8" s="134" customFormat="1" x14ac:dyDescent="0.25">
      <c r="B14" s="141" t="s">
        <v>3</v>
      </c>
      <c r="C14" s="135" t="str">
        <f>IFERROR(VLOOKUP(C13,烤漆色號編碼!$A:$C,2,FALSE),"-")</f>
        <v>IGS</v>
      </c>
      <c r="D14" s="140"/>
    </row>
    <row r="15" spans="1:8" x14ac:dyDescent="0.25">
      <c r="B15" s="141" t="s">
        <v>4</v>
      </c>
      <c r="C15" s="135" t="str">
        <f>IFERROR(VLOOKUP(C13,烤漆色號編碼!$A:$E,5,FALSE),"-")</f>
        <v>長誠</v>
      </c>
    </row>
    <row r="16" spans="1:8" x14ac:dyDescent="0.15">
      <c r="B16" s="138"/>
      <c r="C16" s="136"/>
    </row>
    <row r="17" spans="2:4" x14ac:dyDescent="0.25">
      <c r="B17" s="141" t="s">
        <v>5</v>
      </c>
      <c r="C17" s="137">
        <f>IFERROR(VLOOKUP(C13,當前庫存!$C:$I,5,FALSE),"-")</f>
        <v>4</v>
      </c>
      <c r="D17" s="142" t="s">
        <v>6</v>
      </c>
    </row>
    <row r="18" spans="2:4" x14ac:dyDescent="0.25">
      <c r="B18" s="141" t="s">
        <v>7</v>
      </c>
      <c r="C18" s="137">
        <f>IFERROR(VLOOKUP(C13,當前庫存!$C:$I,4,FALSE),"-")</f>
        <v>23</v>
      </c>
      <c r="D18" s="142" t="s">
        <v>8</v>
      </c>
    </row>
    <row r="19" spans="2:4" x14ac:dyDescent="0.25">
      <c r="B19" s="141" t="s">
        <v>9</v>
      </c>
      <c r="C19" s="137">
        <f>IFERROR(VLOOKUP(C13,烤漆色號編碼!$A:$D,4,FALSE)*C17+C18,"-")</f>
        <v>123</v>
      </c>
      <c r="D19" s="142" t="s">
        <v>8</v>
      </c>
    </row>
    <row r="22" spans="2:4" s="150" customFormat="1" ht="13.5" x14ac:dyDescent="0.15"/>
  </sheetData>
  <mergeCells count="1">
    <mergeCell ref="A1:E10"/>
  </mergeCells>
  <conditionalFormatting sqref="C13">
    <cfRule type="containsText" dxfId="40" priority="3" operator="containsText" text="樣粉">
      <formula>NOT(ISERROR(SEARCH("樣粉",C13)))</formula>
    </cfRule>
    <cfRule type="containsText" dxfId="39" priority="4" operator="containsText" text="無烤漆">
      <formula>NOT(ISERROR(SEARCH("無烤漆",C13)))</formula>
    </cfRule>
    <cfRule type="containsText" dxfId="38" priority="5" operator="containsText" text="颱風">
      <formula>NOT(ISERROR(SEARCH("颱風",C13)))</formula>
    </cfRule>
    <cfRule type="containsText" dxfId="37" priority="6" operator="containsText" text="例">
      <formula>NOT(ISERROR(SEARCH("例",C13)))</formula>
    </cfRule>
    <cfRule type="containsText" dxfId="36" priority="7" operator="containsText" text="國定">
      <formula>NOT(ISERROR(SEARCH("國定",C13)))</formula>
    </cfRule>
    <cfRule type="containsText" dxfId="35" priority="8" operator="containsText" text="年假">
      <formula>NOT(ISERROR(SEARCH("年假",C13)))</formula>
    </cfRule>
    <cfRule type="containsText" dxfId="34" priority="9" operator="containsText" text="例假日">
      <formula>NOT(ISERROR(SEARCH("例假日",C13)))</formula>
    </cfRule>
    <cfRule type="containsText" dxfId="33" priority="10" operator="containsText" text="颱風假">
      <formula>NOT(ISERROR(SEARCH("颱風假",C13)))</formula>
    </cfRule>
    <cfRule type="containsText" dxfId="32" priority="11" operator="containsText" text="無烤漆">
      <formula>NOT(ISERROR(SEARCH("無烤漆",C13)))</formula>
    </cfRule>
    <cfRule type="containsText" dxfId="31" priority="12" operator="containsText" text="國定假日">
      <formula>NOT(ISERROR(SEARCH("國定假日",C13)))</formula>
    </cfRule>
  </conditionalFormatting>
  <conditionalFormatting sqref="C17:C18">
    <cfRule type="cellIs" dxfId="30"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04"/>
  <sheetViews>
    <sheetView tabSelected="1" zoomScale="87" workbookViewId="0">
      <pane ySplit="2" topLeftCell="A3" activePane="bottomLeft" state="frozen"/>
      <selection activeCell="B1" sqref="B1"/>
      <selection pane="bottomLeft" activeCell="B58" sqref="B58:B59"/>
    </sheetView>
  </sheetViews>
  <sheetFormatPr defaultColWidth="10.05078125" defaultRowHeight="13.5" x14ac:dyDescent="0.15"/>
  <cols>
    <col min="1" max="1" width="2.6953125" style="119" customWidth="1"/>
    <col min="2" max="2" width="11.5234375" style="123" customWidth="1"/>
    <col min="3" max="3" width="11.64453125" style="1" bestFit="1" customWidth="1"/>
    <col min="4" max="4" width="10.05078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10.05078125" style="4" customWidth="1"/>
    <col min="11" max="11" width="8.578125" style="6" customWidth="1"/>
    <col min="12" max="12" width="9.4375" style="7" customWidth="1"/>
    <col min="13" max="13" width="14.21875" style="8" customWidth="1"/>
    <col min="14" max="14" width="15.445312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7" customFormat="1" x14ac:dyDescent="0.15">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24.75" x14ac:dyDescent="0.15">
      <c r="A2" s="124"/>
      <c r="B2" s="120" t="s">
        <v>10</v>
      </c>
      <c r="C2" s="23" t="s">
        <v>11</v>
      </c>
      <c r="D2" s="23" t="s">
        <v>12</v>
      </c>
      <c r="E2" s="23" t="s">
        <v>13</v>
      </c>
      <c r="F2" s="23" t="s">
        <v>14</v>
      </c>
      <c r="G2" s="23" t="s">
        <v>15</v>
      </c>
      <c r="H2" s="23" t="s">
        <v>16</v>
      </c>
      <c r="I2" s="23" t="s">
        <v>17</v>
      </c>
      <c r="J2" s="23" t="s">
        <v>18</v>
      </c>
      <c r="K2" s="24" t="s">
        <v>19</v>
      </c>
      <c r="L2" s="25" t="s">
        <v>20</v>
      </c>
      <c r="M2" s="23" t="s">
        <v>21</v>
      </c>
      <c r="N2" s="23" t="s">
        <v>22</v>
      </c>
      <c r="O2" s="23" t="s">
        <v>23</v>
      </c>
      <c r="AH2" s="26"/>
    </row>
    <row r="3" spans="1:257" x14ac:dyDescent="0.15">
      <c r="A3" s="125"/>
      <c r="B3" s="121">
        <v>45566</v>
      </c>
      <c r="C3" s="27" t="s">
        <v>24</v>
      </c>
      <c r="D3" s="27" t="str">
        <f>IFERROR(VLOOKUP($C3,烤漆色號編碼!$A:$C,2,FALSE),"-")</f>
        <v>-</v>
      </c>
      <c r="E3" s="27" t="str">
        <f>IFERROR(VLOOKUP($C3,當前庫存!$C:$I,5,FALSE),"-")</f>
        <v>-</v>
      </c>
      <c r="F3" s="28"/>
      <c r="G3" s="28"/>
      <c r="H3" s="27" t="str">
        <f>IFERROR(VLOOKUP($C3,烤漆色號編碼!$A:$D,4,FALSE)*表格2[[#This Row],[出]]+表格2[[#This Row],[散粉]],"-")</f>
        <v>-</v>
      </c>
      <c r="I3" s="29"/>
      <c r="J3" s="30" t="str">
        <f>IFERROR(表格2[[#This Row],[重量(Kg)]]-表格2[[#This Row],[回庫]],"-")</f>
        <v>-</v>
      </c>
      <c r="K3" s="31"/>
      <c r="L3" s="32"/>
      <c r="M3" s="33"/>
      <c r="N3" s="27"/>
      <c r="O3" s="27"/>
    </row>
    <row r="4" spans="1:257" x14ac:dyDescent="0.15">
      <c r="A4" s="125"/>
      <c r="B4" s="121">
        <v>45567</v>
      </c>
      <c r="C4" s="27" t="s">
        <v>24</v>
      </c>
      <c r="D4" s="27" t="str">
        <f>IFERROR(VLOOKUP($C4,烤漆色號編碼!$A:$C,2,FALSE),"-")</f>
        <v>-</v>
      </c>
      <c r="E4" s="27" t="str">
        <f>IFERROR(VLOOKUP($C4,當前庫存!$C:$I,5,FALSE),"-")</f>
        <v>-</v>
      </c>
      <c r="F4" s="28"/>
      <c r="G4" s="28"/>
      <c r="H4" s="27" t="str">
        <f>IFERROR(VLOOKUP($C4,烤漆色號編碼!$A:$D,4,FALSE)*表格2[[#This Row],[出]]+表格2[[#This Row],[散粉]],"-")</f>
        <v>-</v>
      </c>
      <c r="I4" s="29"/>
      <c r="J4" s="30" t="str">
        <f>IFERROR(表格2[[#This Row],[重量(Kg)]]-表格2[[#This Row],[回庫]],"-")</f>
        <v>-</v>
      </c>
      <c r="K4" s="31"/>
      <c r="L4" s="32"/>
      <c r="M4" s="33"/>
      <c r="N4" s="27"/>
      <c r="O4" s="27"/>
    </row>
    <row r="5" spans="1:257" x14ac:dyDescent="0.15">
      <c r="A5" s="125"/>
      <c r="B5" s="121">
        <v>45568</v>
      </c>
      <c r="C5" s="27" t="s">
        <v>24</v>
      </c>
      <c r="D5" s="27" t="str">
        <f>IFERROR(VLOOKUP($C5,烤漆色號編碼!$A:$C,2,FALSE),"-")</f>
        <v>-</v>
      </c>
      <c r="E5" s="27" t="str">
        <f>IFERROR(VLOOKUP($C5,當前庫存!$C:$I,5,FALSE),"-")</f>
        <v>-</v>
      </c>
      <c r="F5" s="28"/>
      <c r="G5" s="28"/>
      <c r="H5" s="27" t="str">
        <f>IFERROR(VLOOKUP($C5,烤漆色號編碼!$A:$D,4,FALSE)*表格2[[#This Row],[出]]+表格2[[#This Row],[散粉]],"-")</f>
        <v>-</v>
      </c>
      <c r="I5" s="29"/>
      <c r="J5" s="30" t="str">
        <f>IFERROR(表格2[[#This Row],[重量(Kg)]]-表格2[[#This Row],[回庫]],"-")</f>
        <v>-</v>
      </c>
      <c r="K5" s="31"/>
      <c r="L5" s="32"/>
      <c r="M5" s="33"/>
      <c r="N5" s="27"/>
      <c r="O5" s="27"/>
    </row>
    <row r="6" spans="1:257" x14ac:dyDescent="0.15">
      <c r="A6" s="125"/>
      <c r="B6" s="121">
        <v>45569</v>
      </c>
      <c r="C6" s="27" t="s">
        <v>25</v>
      </c>
      <c r="D6" s="27" t="str">
        <f>IFERROR(VLOOKUP($C6,烤漆色號編碼!$A:$C,2,FALSE),"-")</f>
        <v>BK</v>
      </c>
      <c r="E6" s="27">
        <f>IFERROR(VLOOKUP($C6,當前庫存!$C:$I,5,FALSE),"-")</f>
        <v>1</v>
      </c>
      <c r="F6" s="28"/>
      <c r="G6" s="28">
        <v>15</v>
      </c>
      <c r="H6" s="27">
        <f>IFERROR(VLOOKUP($C6,烤漆色號編碼!$A:$D,4,FALSE)*表格2[[#This Row],[出]]+表格2[[#This Row],[散粉]],"-")</f>
        <v>15</v>
      </c>
      <c r="I6" s="29">
        <v>15</v>
      </c>
      <c r="J6" s="30">
        <f>IFERROR(表格2[[#This Row],[重量(Kg)]]-表格2[[#This Row],[回庫]],"-")</f>
        <v>0</v>
      </c>
      <c r="K6" s="31" t="s">
        <v>26</v>
      </c>
      <c r="L6" s="32"/>
      <c r="M6" s="33" t="s">
        <v>27</v>
      </c>
      <c r="N6" s="27"/>
      <c r="O6" s="27"/>
    </row>
    <row r="7" spans="1:257" x14ac:dyDescent="0.15">
      <c r="A7" s="125"/>
      <c r="B7" s="121">
        <v>45569</v>
      </c>
      <c r="C7" s="27" t="s">
        <v>28</v>
      </c>
      <c r="D7" s="27" t="str">
        <f>IFERROR(VLOOKUP($C7,烤漆色號編碼!$A:$C,2,FALSE),"-")</f>
        <v>BKSA1</v>
      </c>
      <c r="E7" s="27">
        <f>IFERROR(VLOOKUP($C7,當前庫存!$C:$I,5,FALSE),"-")</f>
        <v>2</v>
      </c>
      <c r="F7" s="28"/>
      <c r="G7" s="28">
        <v>18</v>
      </c>
      <c r="H7" s="27">
        <f>IFERROR(VLOOKUP($C7,烤漆色號編碼!$A:$D,4,FALSE)*表格2[[#This Row],[出]]+表格2[[#This Row],[散粉]],"-")</f>
        <v>18</v>
      </c>
      <c r="I7" s="29">
        <v>6</v>
      </c>
      <c r="J7" s="30">
        <f>IFERROR(表格2[[#This Row],[重量(Kg)]]-表格2[[#This Row],[回庫]],"-")</f>
        <v>12</v>
      </c>
      <c r="K7" s="31" t="s">
        <v>26</v>
      </c>
      <c r="L7" s="32"/>
      <c r="M7" s="33" t="s">
        <v>27</v>
      </c>
      <c r="N7" s="27"/>
      <c r="O7" s="27"/>
    </row>
    <row r="8" spans="1:257" x14ac:dyDescent="0.15">
      <c r="A8" s="125"/>
      <c r="B8" s="121">
        <v>45569</v>
      </c>
      <c r="C8" s="27" t="s">
        <v>29</v>
      </c>
      <c r="D8" s="27" t="str">
        <f>IFERROR(VLOOKUP($C8,烤漆色號編碼!$A:$C,2,FALSE),"-")</f>
        <v>WE</v>
      </c>
      <c r="E8" s="27">
        <f>IFERROR(VLOOKUP($C8,當前庫存!$C:$I,5,FALSE),"-")</f>
        <v>10</v>
      </c>
      <c r="F8" s="28">
        <v>2</v>
      </c>
      <c r="G8" s="28"/>
      <c r="H8" s="27">
        <f>IFERROR(VLOOKUP($C8,烤漆色號編碼!$A:$D,4,FALSE)*表格2[[#This Row],[出]]+表格2[[#This Row],[散粉]],"-")</f>
        <v>50</v>
      </c>
      <c r="I8" s="29"/>
      <c r="J8" s="30">
        <f>IFERROR(表格2[[#This Row],[重量(Kg)]]-表格2[[#This Row],[回庫]],"-")</f>
        <v>50</v>
      </c>
      <c r="K8" s="31" t="s">
        <v>26</v>
      </c>
      <c r="L8" s="32"/>
      <c r="M8" s="33" t="s">
        <v>30</v>
      </c>
      <c r="N8" s="27"/>
      <c r="O8" s="27"/>
    </row>
    <row r="9" spans="1:257" x14ac:dyDescent="0.15">
      <c r="A9" s="125"/>
      <c r="B9" s="121">
        <v>45570</v>
      </c>
      <c r="C9" s="27" t="s">
        <v>31</v>
      </c>
      <c r="D9" s="27" t="str">
        <f>IFERROR(VLOOKUP($C9,烤漆色號編碼!$A:$C,2,FALSE),"-")</f>
        <v>-</v>
      </c>
      <c r="E9" s="27" t="str">
        <f>IFERROR(VLOOKUP($C9,當前庫存!$C:$I,5,FALSE),"-")</f>
        <v>-</v>
      </c>
      <c r="F9" s="28"/>
      <c r="G9" s="28"/>
      <c r="H9" s="27" t="str">
        <f>IFERROR(VLOOKUP($C9,烤漆色號編碼!$A:$D,4,FALSE)*表格2[[#This Row],[出]]+表格2[[#This Row],[散粉]],"-")</f>
        <v>-</v>
      </c>
      <c r="I9" s="29"/>
      <c r="J9" s="30" t="str">
        <f>IFERROR(表格2[[#This Row],[重量(Kg)]]-表格2[[#This Row],[回庫]],"-")</f>
        <v>-</v>
      </c>
      <c r="K9" s="31"/>
      <c r="L9" s="32"/>
      <c r="M9" s="33"/>
      <c r="N9" s="27"/>
      <c r="O9" s="27"/>
    </row>
    <row r="10" spans="1:257" x14ac:dyDescent="0.15">
      <c r="A10" s="125"/>
      <c r="B10" s="121">
        <v>45571</v>
      </c>
      <c r="C10" s="27" t="s">
        <v>31</v>
      </c>
      <c r="D10" s="27" t="str">
        <f>IFERROR(VLOOKUP($C10,烤漆色號編碼!$A:$C,2,FALSE),"-")</f>
        <v>-</v>
      </c>
      <c r="E10" s="27" t="str">
        <f>IFERROR(VLOOKUP($C10,當前庫存!$C:$I,5,FALSE),"-")</f>
        <v>-</v>
      </c>
      <c r="F10" s="28"/>
      <c r="G10" s="28"/>
      <c r="H10" s="27" t="str">
        <f>IFERROR(VLOOKUP($C10,烤漆色號編碼!$A:$D,4,FALSE)*表格2[[#This Row],[出]]+表格2[[#This Row],[散粉]],"-")</f>
        <v>-</v>
      </c>
      <c r="I10" s="29"/>
      <c r="J10" s="30" t="str">
        <f>IFERROR(表格2[[#This Row],[重量(Kg)]]-表格2[[#This Row],[回庫]],"-")</f>
        <v>-</v>
      </c>
      <c r="K10" s="31"/>
      <c r="L10" s="32"/>
      <c r="M10" s="33"/>
      <c r="N10" s="27"/>
      <c r="O10" s="27"/>
    </row>
    <row r="11" spans="1:257" x14ac:dyDescent="0.15">
      <c r="A11" s="125"/>
      <c r="B11" s="121">
        <v>45572</v>
      </c>
      <c r="C11" s="27" t="s">
        <v>29</v>
      </c>
      <c r="D11" s="27" t="str">
        <f>IFERROR(VLOOKUP($C11,烤漆色號編碼!$A:$C,2,FALSE),"-")</f>
        <v>WE</v>
      </c>
      <c r="E11" s="27">
        <f>IFERROR(VLOOKUP($C11,當前庫存!$C:$I,5,FALSE),"-")</f>
        <v>10</v>
      </c>
      <c r="F11" s="28">
        <v>2</v>
      </c>
      <c r="G11" s="28"/>
      <c r="H11" s="27">
        <f>IFERROR(VLOOKUP($C11,烤漆色號編碼!$A:$D,4,FALSE)*表格2[[#This Row],[出]]+表格2[[#This Row],[散粉]],"-")</f>
        <v>50</v>
      </c>
      <c r="I11" s="29"/>
      <c r="J11" s="30">
        <f>IFERROR(表格2[[#This Row],[重量(Kg)]]-表格2[[#This Row],[回庫]],"-")</f>
        <v>50</v>
      </c>
      <c r="K11" s="31" t="s">
        <v>26</v>
      </c>
      <c r="L11" s="32"/>
      <c r="M11" s="33" t="s">
        <v>30</v>
      </c>
      <c r="N11" s="27"/>
      <c r="O11" s="27"/>
    </row>
    <row r="12" spans="1:257" x14ac:dyDescent="0.15">
      <c r="A12" s="125"/>
      <c r="B12" s="121">
        <v>45573</v>
      </c>
      <c r="C12" s="27" t="s">
        <v>28</v>
      </c>
      <c r="D12" s="27" t="str">
        <f>IFERROR(VLOOKUP($C12,烤漆色號編碼!$A:$C,2,FALSE),"-")</f>
        <v>BKSA1</v>
      </c>
      <c r="E12" s="27">
        <f>IFERROR(VLOOKUP($C12,當前庫存!$C:$I,5,FALSE),"-")</f>
        <v>2</v>
      </c>
      <c r="F12" s="28">
        <v>1</v>
      </c>
      <c r="G12" s="28">
        <v>6</v>
      </c>
      <c r="H12" s="27">
        <f>IFERROR(VLOOKUP($C12,烤漆色號編碼!$A:$D,4,FALSE)*表格2[[#This Row],[出]]+表格2[[#This Row],[散粉]],"-")</f>
        <v>31</v>
      </c>
      <c r="I12" s="29">
        <v>3</v>
      </c>
      <c r="J12" s="30">
        <f>IFERROR(表格2[[#This Row],[重量(Kg)]]-表格2[[#This Row],[回庫]],"-")</f>
        <v>28</v>
      </c>
      <c r="K12" s="31" t="s">
        <v>26</v>
      </c>
      <c r="L12" s="32"/>
      <c r="M12" s="33" t="s">
        <v>27</v>
      </c>
      <c r="N12" s="27"/>
      <c r="O12" s="27"/>
    </row>
    <row r="13" spans="1:257" x14ac:dyDescent="0.15">
      <c r="A13" s="125"/>
      <c r="B13" s="121">
        <v>45573</v>
      </c>
      <c r="C13" s="27" t="s">
        <v>2</v>
      </c>
      <c r="D13" s="27" t="str">
        <f>IFERROR(VLOOKUP($C13,烤漆色號編碼!$A:$C,2,FALSE),"-")</f>
        <v>IGS</v>
      </c>
      <c r="E13" s="27">
        <f>IFERROR(VLOOKUP($C13,當前庫存!$C:$I,5,FALSE),"-")</f>
        <v>4</v>
      </c>
      <c r="F13" s="28">
        <v>3</v>
      </c>
      <c r="G13" s="28">
        <v>21</v>
      </c>
      <c r="H13" s="27">
        <f>IFERROR(VLOOKUP($C13,烤漆色號編碼!$A:$D,4,FALSE)*表格2[[#This Row],[出]]+表格2[[#This Row],[散粉]],"-")</f>
        <v>96</v>
      </c>
      <c r="I13" s="29"/>
      <c r="J13" s="30">
        <f>IFERROR(表格2[[#This Row],[重量(Kg)]]-表格2[[#This Row],[回庫]],"-")</f>
        <v>96</v>
      </c>
      <c r="K13" s="31" t="s">
        <v>26</v>
      </c>
      <c r="L13" s="32"/>
      <c r="M13" s="33" t="s">
        <v>30</v>
      </c>
      <c r="N13" s="27"/>
      <c r="O13" s="27"/>
    </row>
    <row r="14" spans="1:257" x14ac:dyDescent="0.15">
      <c r="A14" s="125"/>
      <c r="B14" s="121">
        <v>45573</v>
      </c>
      <c r="C14" s="27" t="s">
        <v>29</v>
      </c>
      <c r="D14" s="27" t="str">
        <f>IFERROR(VLOOKUP($C14,烤漆色號編碼!$A:$C,2,FALSE),"-")</f>
        <v>WE</v>
      </c>
      <c r="E14" s="27">
        <f>IFERROR(VLOOKUP($C14,當前庫存!$C:$I,5,FALSE),"-")</f>
        <v>10</v>
      </c>
      <c r="F14" s="28">
        <v>1</v>
      </c>
      <c r="G14" s="28"/>
      <c r="H14" s="27">
        <f>IFERROR(VLOOKUP($C14,烤漆色號編碼!$A:$D,4,FALSE)*表格2[[#This Row],[出]]+表格2[[#This Row],[散粉]],"-")</f>
        <v>25</v>
      </c>
      <c r="I14" s="29"/>
      <c r="J14" s="30">
        <f>IFERROR(表格2[[#This Row],[重量(Kg)]]-表格2[[#This Row],[回庫]],"-")</f>
        <v>25</v>
      </c>
      <c r="K14" s="31" t="s">
        <v>26</v>
      </c>
      <c r="L14" s="32"/>
      <c r="M14" s="33" t="s">
        <v>30</v>
      </c>
      <c r="N14" s="27"/>
      <c r="O14" s="27"/>
    </row>
    <row r="15" spans="1:257" x14ac:dyDescent="0.15">
      <c r="A15" s="125"/>
      <c r="B15" s="121">
        <v>45574</v>
      </c>
      <c r="C15" s="27" t="s">
        <v>29</v>
      </c>
      <c r="D15" s="27" t="str">
        <f>IFERROR(VLOOKUP($C15,烤漆色號編碼!$A:$C,2,FALSE),"-")</f>
        <v>WE</v>
      </c>
      <c r="E15" s="27">
        <f>IFERROR(VLOOKUP($C15,當前庫存!$C:$I,5,FALSE),"-")</f>
        <v>10</v>
      </c>
      <c r="F15" s="28">
        <v>4</v>
      </c>
      <c r="G15" s="28"/>
      <c r="H15" s="27">
        <f>IFERROR(VLOOKUP($C15,烤漆色號編碼!$A:$D,4,FALSE)*表格2[[#This Row],[出]]+表格2[[#This Row],[散粉]],"-")</f>
        <v>100</v>
      </c>
      <c r="I15" s="29"/>
      <c r="J15" s="30">
        <f>IFERROR(表格2[[#This Row],[重量(Kg)]]-表格2[[#This Row],[回庫]],"-")</f>
        <v>100</v>
      </c>
      <c r="K15" s="31" t="s">
        <v>26</v>
      </c>
      <c r="L15" s="32"/>
      <c r="M15" s="33" t="s">
        <v>30</v>
      </c>
      <c r="N15" s="27"/>
      <c r="O15" s="27"/>
    </row>
    <row r="16" spans="1:257" x14ac:dyDescent="0.15">
      <c r="A16" s="125"/>
      <c r="B16" s="121">
        <v>45575</v>
      </c>
      <c r="C16" s="27" t="s">
        <v>32</v>
      </c>
      <c r="D16" s="27" t="str">
        <f>IFERROR(VLOOKUP($C16,烤漆色號編碼!$A:$C,2,FALSE),"-")</f>
        <v>-</v>
      </c>
      <c r="E16" s="27" t="str">
        <f>IFERROR(VLOOKUP($C16,當前庫存!$C:$I,5,FALSE),"-")</f>
        <v>-</v>
      </c>
      <c r="F16" s="28"/>
      <c r="G16" s="28"/>
      <c r="H16" s="27" t="str">
        <f>IFERROR(VLOOKUP($C16,烤漆色號編碼!$A:$D,4,FALSE)*表格2[[#This Row],[出]]+表格2[[#This Row],[散粉]],"-")</f>
        <v>-</v>
      </c>
      <c r="I16" s="29"/>
      <c r="J16" s="30" t="str">
        <f>IFERROR(表格2[[#This Row],[重量(Kg)]]-表格2[[#This Row],[回庫]],"-")</f>
        <v>-</v>
      </c>
      <c r="K16" s="31"/>
      <c r="L16" s="32"/>
      <c r="M16" s="33"/>
      <c r="N16" s="27"/>
      <c r="O16" s="27"/>
    </row>
    <row r="17" spans="1:15" x14ac:dyDescent="0.15">
      <c r="A17" s="125"/>
      <c r="B17" s="121">
        <v>45576</v>
      </c>
      <c r="C17" s="27" t="s">
        <v>29</v>
      </c>
      <c r="D17" s="27" t="str">
        <f>IFERROR(VLOOKUP($C17,烤漆色號編碼!$A:$C,2,FALSE),"-")</f>
        <v>WE</v>
      </c>
      <c r="E17" s="27">
        <f>IFERROR(VLOOKUP($C17,當前庫存!$C:$I,5,FALSE),"-")</f>
        <v>10</v>
      </c>
      <c r="F17" s="28">
        <v>4</v>
      </c>
      <c r="G17" s="28"/>
      <c r="H17" s="27">
        <f>IFERROR(VLOOKUP($C17,烤漆色號編碼!$A:$D,4,FALSE)*表格2[[#This Row],[出]]+表格2[[#This Row],[散粉]],"-")</f>
        <v>100</v>
      </c>
      <c r="I17" s="29"/>
      <c r="J17" s="30">
        <f>IFERROR(表格2[[#This Row],[重量(Kg)]]-表格2[[#This Row],[回庫]],"-")</f>
        <v>100</v>
      </c>
      <c r="K17" s="31" t="s">
        <v>26</v>
      </c>
      <c r="L17" s="32"/>
      <c r="M17" s="33"/>
      <c r="N17" s="27"/>
      <c r="O17" s="27"/>
    </row>
    <row r="18" spans="1:15" x14ac:dyDescent="0.15">
      <c r="A18" s="125"/>
      <c r="B18" s="121">
        <v>45577</v>
      </c>
      <c r="C18" s="27" t="s">
        <v>31</v>
      </c>
      <c r="D18" s="27" t="str">
        <f>IFERROR(VLOOKUP($C18,烤漆色號編碼!$A:$C,2,FALSE),"-")</f>
        <v>-</v>
      </c>
      <c r="E18" s="27" t="str">
        <f>IFERROR(VLOOKUP($C18,當前庫存!$C:$I,5,FALSE),"-")</f>
        <v>-</v>
      </c>
      <c r="F18" s="28"/>
      <c r="G18" s="28"/>
      <c r="H18" s="27" t="str">
        <f>IFERROR(VLOOKUP($C18,烤漆色號編碼!$A:$D,4,FALSE)*表格2[[#This Row],[出]]+表格2[[#This Row],[散粉]],"-")</f>
        <v>-</v>
      </c>
      <c r="I18" s="29"/>
      <c r="J18" s="30" t="str">
        <f>IFERROR(表格2[[#This Row],[重量(Kg)]]-表格2[[#This Row],[回庫]],"-")</f>
        <v>-</v>
      </c>
      <c r="K18" s="31"/>
      <c r="L18" s="32"/>
      <c r="M18" s="33"/>
      <c r="N18" s="27"/>
      <c r="O18" s="27"/>
    </row>
    <row r="19" spans="1:15" x14ac:dyDescent="0.15">
      <c r="A19" s="125"/>
      <c r="B19" s="121">
        <v>45578</v>
      </c>
      <c r="C19" s="27" t="s">
        <v>31</v>
      </c>
      <c r="D19" s="27" t="str">
        <f>IFERROR(VLOOKUP($C19,烤漆色號編碼!$A:$C,2,FALSE),"-")</f>
        <v>-</v>
      </c>
      <c r="E19" s="27" t="str">
        <f>IFERROR(VLOOKUP($C19,當前庫存!$C:$I,5,FALSE),"-")</f>
        <v>-</v>
      </c>
      <c r="F19" s="28"/>
      <c r="G19" s="28"/>
      <c r="H19" s="27" t="str">
        <f>IFERROR(VLOOKUP($C19,烤漆色號編碼!$A:$D,4,FALSE)*表格2[[#This Row],[出]]+表格2[[#This Row],[散粉]],"-")</f>
        <v>-</v>
      </c>
      <c r="I19" s="29"/>
      <c r="J19" s="30" t="str">
        <f>IFERROR(表格2[[#This Row],[重量(Kg)]]-表格2[[#This Row],[回庫]],"-")</f>
        <v>-</v>
      </c>
      <c r="K19" s="31"/>
      <c r="L19" s="32"/>
      <c r="M19" s="33"/>
      <c r="N19" s="27"/>
      <c r="O19" s="27"/>
    </row>
    <row r="20" spans="1:15" x14ac:dyDescent="0.15">
      <c r="A20" s="125"/>
      <c r="B20" s="121">
        <v>45579</v>
      </c>
      <c r="C20" s="27" t="s">
        <v>33</v>
      </c>
      <c r="D20" s="27" t="str">
        <f>IFERROR(VLOOKUP($C20,烤漆色號編碼!$A:$C,2,FALSE),"-")</f>
        <v>EBK</v>
      </c>
      <c r="E20" s="27">
        <f>IFERROR(VLOOKUP($C20,當前庫存!$C:$I,5,FALSE),"-")</f>
        <v>3</v>
      </c>
      <c r="F20" s="28"/>
      <c r="G20" s="28">
        <v>19</v>
      </c>
      <c r="H20" s="27">
        <f>IFERROR(VLOOKUP($C20,烤漆色號編碼!$A:$D,4,FALSE)*表格2[[#This Row],[出]]+表格2[[#This Row],[散粉]],"-")</f>
        <v>19</v>
      </c>
      <c r="I20" s="29">
        <v>18</v>
      </c>
      <c r="J20" s="30">
        <f>IFERROR(表格2[[#This Row],[重量(Kg)]]-表格2[[#This Row],[回庫]],"-")</f>
        <v>1</v>
      </c>
      <c r="K20" s="31" t="s">
        <v>26</v>
      </c>
      <c r="L20" s="32"/>
      <c r="M20" s="33" t="s">
        <v>27</v>
      </c>
      <c r="N20" s="27"/>
      <c r="O20" s="27"/>
    </row>
    <row r="21" spans="1:15" x14ac:dyDescent="0.15">
      <c r="A21" s="125"/>
      <c r="B21" s="121">
        <v>45579</v>
      </c>
      <c r="C21" s="27" t="s">
        <v>34</v>
      </c>
      <c r="D21" s="27" t="str">
        <f>IFERROR(VLOOKUP($C21,烤漆色號編碼!$A:$C,2,FALSE),"-")</f>
        <v>BEG</v>
      </c>
      <c r="E21" s="27">
        <f>IFERROR(VLOOKUP($C21,當前庫存!$C:$I,5,FALSE),"-")</f>
        <v>1</v>
      </c>
      <c r="F21" s="28"/>
      <c r="G21" s="28">
        <v>10</v>
      </c>
      <c r="H21" s="27">
        <f>IFERROR(VLOOKUP($C21,烤漆色號編碼!$A:$D,4,FALSE)*表格2[[#This Row],[出]]+表格2[[#This Row],[散粉]],"-")</f>
        <v>10</v>
      </c>
      <c r="I21" s="29">
        <v>3</v>
      </c>
      <c r="J21" s="30">
        <f>IFERROR(表格2[[#This Row],[重量(Kg)]]-表格2[[#This Row],[回庫]],"-")</f>
        <v>7</v>
      </c>
      <c r="K21" s="31" t="s">
        <v>26</v>
      </c>
      <c r="L21" s="32"/>
      <c r="M21" s="33" t="s">
        <v>27</v>
      </c>
      <c r="N21" s="27"/>
      <c r="O21" s="27"/>
    </row>
    <row r="22" spans="1:15" x14ac:dyDescent="0.15">
      <c r="A22" s="125"/>
      <c r="B22" s="121">
        <v>45579</v>
      </c>
      <c r="C22" s="27" t="s">
        <v>29</v>
      </c>
      <c r="D22" s="27" t="str">
        <f>IFERROR(VLOOKUP($C22,烤漆色號編碼!$A:$C,2,FALSE),"-")</f>
        <v>WE</v>
      </c>
      <c r="E22" s="27">
        <f>IFERROR(VLOOKUP($C22,當前庫存!$C:$I,5,FALSE),"-")</f>
        <v>10</v>
      </c>
      <c r="F22" s="28">
        <v>5</v>
      </c>
      <c r="G22" s="28"/>
      <c r="H22" s="27">
        <f>IFERROR(VLOOKUP($C22,烤漆色號編碼!$A:$D,4,FALSE)*表格2[[#This Row],[出]]+表格2[[#This Row],[散粉]],"-")</f>
        <v>125</v>
      </c>
      <c r="I22" s="29"/>
      <c r="J22" s="30">
        <f>IFERROR(表格2[[#This Row],[重量(Kg)]]-表格2[[#This Row],[回庫]],"-")</f>
        <v>125</v>
      </c>
      <c r="K22" s="31" t="s">
        <v>26</v>
      </c>
      <c r="L22" s="32"/>
      <c r="M22" s="33" t="s">
        <v>30</v>
      </c>
      <c r="N22" s="27"/>
      <c r="O22" s="27"/>
    </row>
    <row r="23" spans="1:15" x14ac:dyDescent="0.15">
      <c r="A23" s="125"/>
      <c r="B23" s="121">
        <v>45580</v>
      </c>
      <c r="C23" s="27" t="s">
        <v>35</v>
      </c>
      <c r="D23" s="27" t="str">
        <f>IFERROR(VLOOKUP($C23,烤漆色號編碼!$A:$C,2,FALSE),"-")</f>
        <v>-</v>
      </c>
      <c r="E23" s="27" t="str">
        <f>IFERROR(VLOOKUP($C23,當前庫存!$C:$I,5,FALSE),"-")</f>
        <v>-</v>
      </c>
      <c r="F23" s="28"/>
      <c r="G23" s="28"/>
      <c r="H23" s="27" t="str">
        <f>IFERROR(VLOOKUP($C23,烤漆色號編碼!$A:$D,4,FALSE)*表格2[[#This Row],[出]]+表格2[[#This Row],[散粉]],"-")</f>
        <v>-</v>
      </c>
      <c r="I23" s="29"/>
      <c r="J23" s="30" t="str">
        <f>IFERROR(表格2[[#This Row],[重量(Kg)]]-表格2[[#This Row],[回庫]],"-")</f>
        <v>-</v>
      </c>
      <c r="K23" s="31"/>
      <c r="L23" s="32"/>
      <c r="M23" s="33"/>
      <c r="N23" s="27"/>
      <c r="O23" s="27"/>
    </row>
    <row r="24" spans="1:15" x14ac:dyDescent="0.15">
      <c r="A24" s="125"/>
      <c r="B24" s="121">
        <v>45581</v>
      </c>
      <c r="C24" s="27" t="s">
        <v>29</v>
      </c>
      <c r="D24" s="27" t="str">
        <f>IFERROR(VLOOKUP($C24,烤漆色號編碼!$A:$C,2,FALSE),"-")</f>
        <v>WE</v>
      </c>
      <c r="E24" s="27">
        <f>IFERROR(VLOOKUP($C24,當前庫存!$C:$I,5,FALSE),"-")</f>
        <v>10</v>
      </c>
      <c r="F24" s="28">
        <v>5</v>
      </c>
      <c r="G24" s="28"/>
      <c r="H24" s="27">
        <f>IFERROR(VLOOKUP($C24,烤漆色號編碼!$A:$D,4,FALSE)*表格2[[#This Row],[出]]+表格2[[#This Row],[散粉]],"-")</f>
        <v>125</v>
      </c>
      <c r="I24" s="29"/>
      <c r="J24" s="30">
        <f>IFERROR(表格2[[#This Row],[重量(Kg)]]-表格2[[#This Row],[回庫]],"-")</f>
        <v>125</v>
      </c>
      <c r="K24" s="31" t="s">
        <v>26</v>
      </c>
      <c r="L24" s="32"/>
      <c r="M24" s="33" t="s">
        <v>30</v>
      </c>
      <c r="N24" s="27"/>
      <c r="O24" s="27"/>
    </row>
    <row r="25" spans="1:15" x14ac:dyDescent="0.15">
      <c r="A25" s="125"/>
      <c r="B25" s="121">
        <v>45582</v>
      </c>
      <c r="C25" s="27" t="s">
        <v>25</v>
      </c>
      <c r="D25" s="27" t="str">
        <f>IFERROR(VLOOKUP($C25,烤漆色號編碼!$A:$C,2,FALSE),"-")</f>
        <v>BK</v>
      </c>
      <c r="E25" s="27">
        <f>IFERROR(VLOOKUP($C25,當前庫存!$C:$I,5,FALSE),"-")</f>
        <v>1</v>
      </c>
      <c r="F25" s="28"/>
      <c r="G25" s="28">
        <v>15</v>
      </c>
      <c r="H25" s="27">
        <f>IFERROR(VLOOKUP($C25,烤漆色號編碼!$A:$D,4,FALSE)*表格2[[#This Row],[出]]+表格2[[#This Row],[散粉]],"-")</f>
        <v>15</v>
      </c>
      <c r="I25" s="29">
        <v>10</v>
      </c>
      <c r="J25" s="30">
        <f>IFERROR(表格2[[#This Row],[重量(Kg)]]-表格2[[#This Row],[回庫]],"-")</f>
        <v>5</v>
      </c>
      <c r="K25" s="31" t="s">
        <v>26</v>
      </c>
      <c r="L25" s="32"/>
      <c r="M25" s="33" t="s">
        <v>27</v>
      </c>
      <c r="N25" s="27"/>
      <c r="O25" s="27"/>
    </row>
    <row r="26" spans="1:15" x14ac:dyDescent="0.15">
      <c r="A26" s="125"/>
      <c r="B26" s="121">
        <v>45582</v>
      </c>
      <c r="C26" s="27" t="s">
        <v>33</v>
      </c>
      <c r="D26" s="27" t="str">
        <f>IFERROR(VLOOKUP($C26,烤漆色號編碼!$A:$C,2,FALSE),"-")</f>
        <v>EBK</v>
      </c>
      <c r="E26" s="27">
        <f>IFERROR(VLOOKUP($C26,當前庫存!$C:$I,5,FALSE),"-")</f>
        <v>3</v>
      </c>
      <c r="F26" s="151"/>
      <c r="G26" s="28">
        <v>18</v>
      </c>
      <c r="H26" s="27">
        <f>IFERROR(VLOOKUP($C26,烤漆色號編碼!$A:$D,4,FALSE)*表格2[[#This Row],[出]]+表格2[[#This Row],[散粉]],"-")</f>
        <v>18</v>
      </c>
      <c r="I26" s="29">
        <v>16</v>
      </c>
      <c r="J26" s="30">
        <f>IFERROR(表格2[[#This Row],[重量(Kg)]]-表格2[[#This Row],[回庫]],"-")</f>
        <v>2</v>
      </c>
      <c r="K26" s="31" t="s">
        <v>26</v>
      </c>
      <c r="L26" s="32"/>
      <c r="M26" s="33" t="s">
        <v>27</v>
      </c>
      <c r="N26" s="152" t="s">
        <v>36</v>
      </c>
      <c r="O26" s="27"/>
    </row>
    <row r="27" spans="1:15" x14ac:dyDescent="0.15">
      <c r="A27" s="125"/>
      <c r="B27" s="121">
        <v>45582</v>
      </c>
      <c r="C27" s="27" t="s">
        <v>29</v>
      </c>
      <c r="D27" s="27" t="str">
        <f>IFERROR(VLOOKUP($C27,烤漆色號編碼!$A:$C,2,FALSE),"-")</f>
        <v>WE</v>
      </c>
      <c r="E27" s="27">
        <f>IFERROR(VLOOKUP($C27,當前庫存!$C:$I,5,FALSE),"-")</f>
        <v>10</v>
      </c>
      <c r="F27" s="28">
        <v>2</v>
      </c>
      <c r="G27" s="28"/>
      <c r="H27" s="27">
        <f>IFERROR(VLOOKUP($C27,烤漆色號編碼!$A:$D,4,FALSE)*表格2[[#This Row],[出]]+表格2[[#This Row],[散粉]],"-")</f>
        <v>50</v>
      </c>
      <c r="I27" s="29"/>
      <c r="J27" s="30">
        <f>IFERROR(表格2[[#This Row],[重量(Kg)]]-表格2[[#This Row],[回庫]],"-")</f>
        <v>50</v>
      </c>
      <c r="K27" s="31" t="s">
        <v>26</v>
      </c>
      <c r="L27" s="32"/>
      <c r="M27" s="33" t="s">
        <v>30</v>
      </c>
      <c r="N27" s="27"/>
      <c r="O27" s="27"/>
    </row>
    <row r="28" spans="1:15" x14ac:dyDescent="0.15">
      <c r="A28" s="125"/>
      <c r="B28" s="121">
        <v>45583</v>
      </c>
      <c r="C28" s="27" t="s">
        <v>29</v>
      </c>
      <c r="D28" s="27" t="str">
        <f>IFERROR(VLOOKUP($C28,烤漆色號編碼!$A:$C,2,FALSE),"-")</f>
        <v>WE</v>
      </c>
      <c r="E28" s="27">
        <f>IFERROR(VLOOKUP($C28,當前庫存!$C:$I,5,FALSE),"-")</f>
        <v>10</v>
      </c>
      <c r="F28" s="28">
        <v>1</v>
      </c>
      <c r="G28" s="28"/>
      <c r="H28" s="27">
        <f>IFERROR(VLOOKUP($C28,烤漆色號編碼!$A:$D,4,FALSE)*表格2[[#This Row],[出]]+表格2[[#This Row],[散粉]],"-")</f>
        <v>25</v>
      </c>
      <c r="I28" s="29"/>
      <c r="J28" s="30">
        <f>IFERROR(表格2[[#This Row],[重量(Kg)]]-表格2[[#This Row],[回庫]],"-")</f>
        <v>25</v>
      </c>
      <c r="K28" s="31" t="s">
        <v>26</v>
      </c>
      <c r="L28" s="32"/>
      <c r="M28" s="33" t="s">
        <v>30</v>
      </c>
      <c r="N28" s="27"/>
      <c r="O28" s="27"/>
    </row>
    <row r="29" spans="1:15" x14ac:dyDescent="0.15">
      <c r="A29" s="125"/>
      <c r="B29" s="121">
        <v>45583</v>
      </c>
      <c r="C29" s="27" t="s">
        <v>37</v>
      </c>
      <c r="D29" s="27" t="str">
        <f>IFERROR(VLOOKUP($C29,烤漆色號編碼!$A:$C,2,FALSE),"-")</f>
        <v>BKS1</v>
      </c>
      <c r="E29" s="27">
        <f>IFERROR(VLOOKUP($C29,當前庫存!$C:$I,5,FALSE),"-")</f>
        <v>22</v>
      </c>
      <c r="F29" s="28">
        <v>2</v>
      </c>
      <c r="G29" s="28"/>
      <c r="H29" s="27">
        <f>IFERROR(VLOOKUP($C29,烤漆色號編碼!$A:$D,4,FALSE)*表格2[[#This Row],[出]]+表格2[[#This Row],[散粉]],"-")</f>
        <v>50</v>
      </c>
      <c r="I29" s="29"/>
      <c r="J29" s="30">
        <f>IFERROR(表格2[[#This Row],[重量(Kg)]]-表格2[[#This Row],[回庫]],"-")</f>
        <v>50</v>
      </c>
      <c r="K29" s="31" t="s">
        <v>26</v>
      </c>
      <c r="L29" s="32"/>
      <c r="M29" s="33" t="s">
        <v>30</v>
      </c>
      <c r="N29" s="27"/>
      <c r="O29" s="27"/>
    </row>
    <row r="30" spans="1:15" x14ac:dyDescent="0.15">
      <c r="A30" s="125"/>
      <c r="B30" s="121">
        <v>45584</v>
      </c>
      <c r="C30" s="27"/>
      <c r="D30" s="152" t="s">
        <v>38</v>
      </c>
      <c r="E30" s="27" t="str">
        <f>IFERROR(VLOOKUP($C30,當前庫存!$C:$I,5,FALSE),"-")</f>
        <v>-</v>
      </c>
      <c r="F30" s="28"/>
      <c r="G30" s="28"/>
      <c r="H30" s="27" t="str">
        <f>IFERROR(VLOOKUP($C30,烤漆色號編碼!$A:$D,4,FALSE)*表格2[[#This Row],[出]]+表格2[[#This Row],[散粉]],"-")</f>
        <v>-</v>
      </c>
      <c r="I30" s="29"/>
      <c r="J30" s="30" t="str">
        <f>IFERROR(表格2[[#This Row],[重量(Kg)]]-表格2[[#This Row],[回庫]],"-")</f>
        <v>-</v>
      </c>
      <c r="K30" s="31"/>
      <c r="L30" s="32"/>
      <c r="M30" s="33"/>
      <c r="N30" s="27"/>
      <c r="O30" s="27"/>
    </row>
    <row r="31" spans="1:15" x14ac:dyDescent="0.15">
      <c r="A31" s="125"/>
      <c r="B31" s="121">
        <v>45585</v>
      </c>
      <c r="C31" s="27"/>
      <c r="D31" s="152" t="s">
        <v>38</v>
      </c>
      <c r="E31" s="27" t="str">
        <f>IFERROR(VLOOKUP($C31,當前庫存!$C:$I,5,FALSE),"-")</f>
        <v>-</v>
      </c>
      <c r="F31" s="28"/>
      <c r="G31" s="28"/>
      <c r="H31" s="27" t="str">
        <f>IFERROR(VLOOKUP($C31,烤漆色號編碼!$A:$D,4,FALSE)*表格2[[#This Row],[出]]+表格2[[#This Row],[散粉]],"-")</f>
        <v>-</v>
      </c>
      <c r="I31" s="29"/>
      <c r="J31" s="30" t="str">
        <f>IFERROR(表格2[[#This Row],[重量(Kg)]]-表格2[[#This Row],[回庫]],"-")</f>
        <v>-</v>
      </c>
      <c r="K31" s="31"/>
      <c r="L31" s="32"/>
      <c r="M31" s="33"/>
      <c r="N31" s="27"/>
      <c r="O31" s="27"/>
    </row>
    <row r="32" spans="1:15" x14ac:dyDescent="0.15">
      <c r="A32" s="125"/>
      <c r="B32" s="121">
        <v>45586</v>
      </c>
      <c r="C32" s="27"/>
      <c r="D32" s="152" t="s">
        <v>38</v>
      </c>
      <c r="E32" s="27" t="str">
        <f>IFERROR(VLOOKUP($C32,當前庫存!$C:$I,5,FALSE),"-")</f>
        <v>-</v>
      </c>
      <c r="F32" s="28"/>
      <c r="G32" s="28"/>
      <c r="H32" s="27" t="str">
        <f>IFERROR(VLOOKUP($C32,烤漆色號編碼!$A:$D,4,FALSE)*表格2[[#This Row],[出]]+表格2[[#This Row],[散粉]],"-")</f>
        <v>-</v>
      </c>
      <c r="I32" s="29"/>
      <c r="J32" s="30" t="str">
        <f>IFERROR(表格2[[#This Row],[重量(Kg)]]-表格2[[#This Row],[回庫]],"-")</f>
        <v>-</v>
      </c>
      <c r="K32" s="31"/>
      <c r="L32" s="32"/>
      <c r="M32" s="33"/>
      <c r="N32" s="27"/>
      <c r="O32" s="27"/>
    </row>
    <row r="33" spans="1:15" x14ac:dyDescent="0.15">
      <c r="A33" s="125"/>
      <c r="B33" s="121">
        <v>45587</v>
      </c>
      <c r="C33" s="27" t="s">
        <v>37</v>
      </c>
      <c r="D33" s="27" t="str">
        <f>IFERROR(VLOOKUP($C33,烤漆色號編碼!$A:$C,2,FALSE),"-")</f>
        <v>BKS1</v>
      </c>
      <c r="E33" s="27">
        <f>IFERROR(VLOOKUP($C33,當前庫存!$C:$I,5,FALSE),"-")</f>
        <v>22</v>
      </c>
      <c r="F33" s="28">
        <v>3</v>
      </c>
      <c r="G33" s="28"/>
      <c r="H33" s="27">
        <f>IFERROR(VLOOKUP($C33,烤漆色號編碼!$A:$D,4,FALSE)*表格2[[#This Row],[出]]+表格2[[#This Row],[散粉]],"-")</f>
        <v>75</v>
      </c>
      <c r="I33" s="29"/>
      <c r="J33" s="30">
        <f>IFERROR(表格2[[#This Row],[重量(Kg)]]-表格2[[#This Row],[回庫]],"-")</f>
        <v>75</v>
      </c>
      <c r="K33" s="31" t="s">
        <v>26</v>
      </c>
      <c r="L33" s="32"/>
      <c r="M33" s="33" t="s">
        <v>30</v>
      </c>
      <c r="N33" s="27"/>
      <c r="O33" s="27"/>
    </row>
    <row r="34" spans="1:15" x14ac:dyDescent="0.15">
      <c r="A34" s="125"/>
      <c r="B34" s="121">
        <v>45587</v>
      </c>
      <c r="C34" s="27" t="s">
        <v>29</v>
      </c>
      <c r="D34" s="27" t="str">
        <f>IFERROR(VLOOKUP($C34,烤漆色號編碼!$A:$C,2,FALSE),"-")</f>
        <v>WE</v>
      </c>
      <c r="E34" s="27">
        <f>IFERROR(VLOOKUP($C34,當前庫存!$C:$I,5,FALSE),"-")</f>
        <v>10</v>
      </c>
      <c r="F34" s="28"/>
      <c r="G34" s="28"/>
      <c r="H34" s="27">
        <f>IFERROR(VLOOKUP($C34,烤漆色號編碼!$A:$D,4,FALSE)*表格2[[#This Row],[出]]+表格2[[#This Row],[散粉]],"-")</f>
        <v>0</v>
      </c>
      <c r="I34" s="29"/>
      <c r="J34" s="30">
        <f>IFERROR(表格2[[#This Row],[重量(Kg)]]-表格2[[#This Row],[回庫]],"-")</f>
        <v>0</v>
      </c>
      <c r="K34" s="31" t="s">
        <v>26</v>
      </c>
      <c r="L34" s="32"/>
      <c r="M34" s="33" t="s">
        <v>27</v>
      </c>
      <c r="N34" s="27"/>
      <c r="O34" s="27"/>
    </row>
    <row r="35" spans="1:15" x14ac:dyDescent="0.15">
      <c r="A35" s="125"/>
      <c r="B35" s="121">
        <v>45587</v>
      </c>
      <c r="C35" s="27" t="s">
        <v>25</v>
      </c>
      <c r="D35" s="27" t="str">
        <f>IFERROR(VLOOKUP($C35,烤漆色號編碼!$A:$C,2,FALSE),"-")</f>
        <v>BK</v>
      </c>
      <c r="E35" s="27">
        <f>IFERROR(VLOOKUP($C35,當前庫存!$C:$I,5,FALSE),"-")</f>
        <v>1</v>
      </c>
      <c r="F35" s="28"/>
      <c r="G35" s="28">
        <v>16</v>
      </c>
      <c r="H35" s="27">
        <f>IFERROR(VLOOKUP($C35,烤漆色號編碼!$A:$D,4,FALSE)*表格2[[#This Row],[出]]+表格2[[#This Row],[散粉]],"-")</f>
        <v>16</v>
      </c>
      <c r="I35" s="29">
        <v>6</v>
      </c>
      <c r="J35" s="30">
        <f>IFERROR(表格2[[#This Row],[重量(Kg)]]-表格2[[#This Row],[回庫]],"-")</f>
        <v>10</v>
      </c>
      <c r="K35" s="31" t="s">
        <v>26</v>
      </c>
      <c r="L35" s="32"/>
      <c r="M35" s="33" t="s">
        <v>27</v>
      </c>
      <c r="N35" s="27"/>
      <c r="O35" s="27"/>
    </row>
    <row r="36" spans="1:15" x14ac:dyDescent="0.15">
      <c r="A36" s="125"/>
      <c r="B36" s="121">
        <v>45587</v>
      </c>
      <c r="C36" s="27" t="s">
        <v>2</v>
      </c>
      <c r="D36" s="27" t="str">
        <f>IFERROR(VLOOKUP($C36,烤漆色號編碼!$A:$C,2,FALSE),"-")</f>
        <v>IGS</v>
      </c>
      <c r="E36" s="27">
        <f>IFERROR(VLOOKUP($C36,當前庫存!$C:$I,5,FALSE),"-")</f>
        <v>4</v>
      </c>
      <c r="F36" s="28"/>
      <c r="G36" s="28"/>
      <c r="H36" s="27">
        <f>IFERROR(VLOOKUP($C36,烤漆色號編碼!$A:$D,4,FALSE)*表格2[[#This Row],[出]]+表格2[[#This Row],[散粉]],"-")</f>
        <v>0</v>
      </c>
      <c r="I36" s="29"/>
      <c r="J36" s="30">
        <f>IFERROR(表格2[[#This Row],[重量(Kg)]]-表格2[[#This Row],[回庫]],"-")</f>
        <v>0</v>
      </c>
      <c r="K36" s="31" t="s">
        <v>26</v>
      </c>
      <c r="L36" s="32"/>
      <c r="M36" s="33" t="s">
        <v>27</v>
      </c>
      <c r="N36" s="27"/>
      <c r="O36" s="27"/>
    </row>
    <row r="37" spans="1:15" x14ac:dyDescent="0.15">
      <c r="A37" s="125"/>
      <c r="B37" s="121">
        <v>45587</v>
      </c>
      <c r="C37" s="27" t="s">
        <v>39</v>
      </c>
      <c r="D37" s="27" t="str">
        <f>IFERROR(VLOOKUP($C37,烤漆色號編碼!$A:$C,2,FALSE),"-")</f>
        <v>YW1</v>
      </c>
      <c r="E37" s="27">
        <f>IFERROR(VLOOKUP($C37,當前庫存!$C:$I,5,FALSE),"-")</f>
        <v>1</v>
      </c>
      <c r="F37" s="28">
        <v>1</v>
      </c>
      <c r="G37" s="28">
        <v>6</v>
      </c>
      <c r="H37" s="27">
        <f>IFERROR(VLOOKUP($C37,烤漆色號編碼!$A:$D,4,FALSE)*表格2[[#This Row],[出]]+表格2[[#This Row],[散粉]],"-")</f>
        <v>31</v>
      </c>
      <c r="I37" s="29"/>
      <c r="J37" s="30">
        <f>IFERROR(表格2[[#This Row],[重量(Kg)]]-表格2[[#This Row],[回庫]],"-")</f>
        <v>31</v>
      </c>
      <c r="K37" s="31" t="s">
        <v>26</v>
      </c>
      <c r="L37" s="32"/>
      <c r="M37" s="33" t="s">
        <v>30</v>
      </c>
      <c r="N37" s="27"/>
      <c r="O37" s="27"/>
    </row>
    <row r="38" spans="1:15" x14ac:dyDescent="0.15">
      <c r="A38" s="125"/>
      <c r="B38" s="121">
        <v>45588</v>
      </c>
      <c r="C38" s="27" t="s">
        <v>35</v>
      </c>
      <c r="D38" s="27" t="str">
        <f>IFERROR(VLOOKUP($C38,烤漆色號編碼!$A:$C,2,FALSE),"-")</f>
        <v>-</v>
      </c>
      <c r="E38" s="27" t="str">
        <f>IFERROR(VLOOKUP($C38,當前庫存!$C:$I,5,FALSE),"-")</f>
        <v>-</v>
      </c>
      <c r="F38" s="28"/>
      <c r="G38" s="28"/>
      <c r="H38" s="27" t="str">
        <f>IFERROR(VLOOKUP($C38,烤漆色號編碼!$A:$D,4,FALSE)*表格2[[#This Row],[出]]+表格2[[#This Row],[散粉]],"-")</f>
        <v>-</v>
      </c>
      <c r="I38" s="29"/>
      <c r="J38" s="30" t="str">
        <f>IFERROR(表格2[[#This Row],[重量(Kg)]]-表格2[[#This Row],[回庫]],"-")</f>
        <v>-</v>
      </c>
      <c r="K38" s="31"/>
      <c r="L38" s="32"/>
      <c r="M38" s="33"/>
      <c r="N38" s="27"/>
      <c r="O38" s="27"/>
    </row>
    <row r="39" spans="1:15" x14ac:dyDescent="0.15">
      <c r="A39" s="125"/>
      <c r="B39" s="121">
        <v>45589</v>
      </c>
      <c r="C39" s="27" t="s">
        <v>39</v>
      </c>
      <c r="D39" s="27" t="str">
        <f>IFERROR(VLOOKUP($C39,烤漆色號編碼!$A:$C,2,FALSE),"-")</f>
        <v>YW1</v>
      </c>
      <c r="E39" s="27">
        <f>IFERROR(VLOOKUP($C39,當前庫存!$C:$I,5,FALSE),"-")</f>
        <v>1</v>
      </c>
      <c r="F39" s="28">
        <v>1</v>
      </c>
      <c r="G39" s="28">
        <v>6</v>
      </c>
      <c r="H39" s="27">
        <f>IFERROR(VLOOKUP($C39,烤漆色號編碼!$A:$D,4,FALSE)*表格2[[#This Row],[出]]+表格2[[#This Row],[散粉]],"-")</f>
        <v>31</v>
      </c>
      <c r="I39" s="29"/>
      <c r="J39" s="30">
        <f>IFERROR(表格2[[#This Row],[重量(Kg)]]-表格2[[#This Row],[回庫]],"-")</f>
        <v>31</v>
      </c>
      <c r="K39" s="31" t="s">
        <v>26</v>
      </c>
      <c r="L39" s="32"/>
      <c r="M39" s="33"/>
      <c r="N39" s="27"/>
      <c r="O39" s="27"/>
    </row>
    <row r="40" spans="1:15" x14ac:dyDescent="0.15">
      <c r="A40" s="125"/>
      <c r="B40" s="121">
        <v>45589</v>
      </c>
      <c r="C40" s="27" t="s">
        <v>37</v>
      </c>
      <c r="D40" s="27" t="str">
        <f>IFERROR(VLOOKUP($C40,烤漆色號編碼!$A:$C,2,FALSE),"-")</f>
        <v>BKS1</v>
      </c>
      <c r="E40" s="27">
        <f>IFERROR(VLOOKUP($C40,當前庫存!$C:$I,5,FALSE),"-")</f>
        <v>22</v>
      </c>
      <c r="F40" s="28">
        <v>2</v>
      </c>
      <c r="G40" s="28"/>
      <c r="H40" s="27">
        <f>IFERROR(VLOOKUP($C40,烤漆色號編碼!$A:$D,4,FALSE)*表格2[[#This Row],[出]]+表格2[[#This Row],[散粉]],"-")</f>
        <v>50</v>
      </c>
      <c r="I40" s="29">
        <v>26</v>
      </c>
      <c r="J40" s="30">
        <f>IFERROR(表格2[[#This Row],[重量(Kg)]]-表格2[[#This Row],[回庫]],"-")</f>
        <v>24</v>
      </c>
      <c r="K40" s="31" t="s">
        <v>26</v>
      </c>
      <c r="L40" s="32"/>
      <c r="M40" s="33"/>
      <c r="N40" s="27"/>
      <c r="O40" s="27"/>
    </row>
    <row r="41" spans="1:15" x14ac:dyDescent="0.15">
      <c r="A41" s="125"/>
      <c r="B41" s="121">
        <v>45589</v>
      </c>
      <c r="C41" s="27" t="s">
        <v>25</v>
      </c>
      <c r="D41" s="27" t="str">
        <f>IFERROR(VLOOKUP($C41,烤漆色號編碼!$A:$C,2,FALSE),"-")</f>
        <v>BK</v>
      </c>
      <c r="E41" s="27">
        <f>IFERROR(VLOOKUP($C41,當前庫存!$C:$I,5,FALSE),"-")</f>
        <v>1</v>
      </c>
      <c r="F41" s="28"/>
      <c r="G41" s="28">
        <v>6</v>
      </c>
      <c r="H41" s="27">
        <f>IFERROR(VLOOKUP($C41,烤漆色號編碼!$A:$D,4,FALSE)*表格2[[#This Row],[出]]+表格2[[#This Row],[散粉]],"-")</f>
        <v>6</v>
      </c>
      <c r="I41" s="29">
        <v>5</v>
      </c>
      <c r="J41" s="30">
        <f>IFERROR(表格2[[#This Row],[重量(Kg)]]-表格2[[#This Row],[回庫]],"-")</f>
        <v>1</v>
      </c>
      <c r="K41" s="31" t="s">
        <v>26</v>
      </c>
      <c r="L41" s="32"/>
      <c r="M41" s="33"/>
      <c r="N41" s="27"/>
      <c r="O41" s="27"/>
    </row>
    <row r="42" spans="1:15" x14ac:dyDescent="0.15">
      <c r="A42" s="125"/>
      <c r="B42" s="121">
        <v>45589</v>
      </c>
      <c r="C42" s="27" t="s">
        <v>2</v>
      </c>
      <c r="D42" s="27" t="str">
        <f>IFERROR(VLOOKUP($C42,烤漆色號編碼!$A:$C,2,FALSE),"-")</f>
        <v>IGS</v>
      </c>
      <c r="E42" s="27">
        <f>IFERROR(VLOOKUP($C42,當前庫存!$C:$I,5,FALSE),"-")</f>
        <v>4</v>
      </c>
      <c r="F42" s="28">
        <v>1</v>
      </c>
      <c r="G42" s="28"/>
      <c r="H42" s="27">
        <f>IFERROR(VLOOKUP($C42,烤漆色號編碼!$A:$D,4,FALSE)*表格2[[#This Row],[出]]+表格2[[#This Row],[散粉]],"-")</f>
        <v>25</v>
      </c>
      <c r="I42" s="29">
        <v>23</v>
      </c>
      <c r="J42" s="30">
        <f>IFERROR(表格2[[#This Row],[重量(Kg)]]-表格2[[#This Row],[回庫]],"-")</f>
        <v>2</v>
      </c>
      <c r="K42" s="31" t="s">
        <v>26</v>
      </c>
      <c r="L42" s="32"/>
      <c r="M42" s="33"/>
      <c r="N42" s="27"/>
      <c r="O42" s="27"/>
    </row>
    <row r="43" spans="1:15" x14ac:dyDescent="0.15">
      <c r="A43" s="125"/>
      <c r="B43" s="121">
        <v>45589</v>
      </c>
      <c r="C43" s="27" t="s">
        <v>29</v>
      </c>
      <c r="D43" s="27" t="str">
        <f>IFERROR(VLOOKUP($C43,烤漆色號編碼!$A:$C,2,FALSE),"-")</f>
        <v>WE</v>
      </c>
      <c r="E43" s="27">
        <f>IFERROR(VLOOKUP($C43,當前庫存!$C:$I,5,FALSE),"-")</f>
        <v>10</v>
      </c>
      <c r="F43" s="28"/>
      <c r="G43" s="28"/>
      <c r="H43" s="27">
        <f>IFERROR(VLOOKUP($C43,烤漆色號編碼!$A:$D,4,FALSE)*表格2[[#This Row],[出]]+表格2[[#This Row],[散粉]],"-")</f>
        <v>0</v>
      </c>
      <c r="I43" s="29"/>
      <c r="J43" s="30">
        <f>IFERROR(表格2[[#This Row],[重量(Kg)]]-表格2[[#This Row],[回庫]],"-")</f>
        <v>0</v>
      </c>
      <c r="K43" s="31"/>
      <c r="L43" s="32"/>
      <c r="M43" s="33"/>
      <c r="N43" s="27"/>
      <c r="O43" s="27"/>
    </row>
    <row r="44" spans="1:15" x14ac:dyDescent="0.15">
      <c r="A44" s="125"/>
      <c r="B44" s="121">
        <v>45590</v>
      </c>
      <c r="C44" s="156" t="s">
        <v>29</v>
      </c>
      <c r="D44" s="156" t="str">
        <f>IFERROR(VLOOKUP($C44,烤漆色號編碼!$A:$C,2,FALSE),"-")</f>
        <v>WE</v>
      </c>
      <c r="E44" s="156">
        <f>IFERROR(VLOOKUP($C44,當前庫存!$C:$I,5,FALSE),"-")</f>
        <v>10</v>
      </c>
      <c r="F44" s="28">
        <v>4</v>
      </c>
      <c r="G44" s="28"/>
      <c r="H44" s="27">
        <f>IFERROR(VLOOKUP($C44,烤漆色號編碼!$A:$D,4,FALSE)*表格2[[#This Row],[出]]+表格2[[#This Row],[散粉]],"-")</f>
        <v>100</v>
      </c>
      <c r="I44" s="29"/>
      <c r="J44" s="30">
        <f>IFERROR(表格2[[#This Row],[重量(Kg)]]-表格2[[#This Row],[回庫]],"-")</f>
        <v>100</v>
      </c>
      <c r="K44" s="31"/>
      <c r="L44" s="32"/>
      <c r="M44" s="33"/>
      <c r="N44" s="27"/>
      <c r="O44" s="27"/>
    </row>
    <row r="45" spans="1:15" x14ac:dyDescent="0.15">
      <c r="A45" s="125"/>
      <c r="B45" s="121">
        <v>45590</v>
      </c>
      <c r="C45" s="153" t="s">
        <v>39</v>
      </c>
      <c r="D45" s="156" t="str">
        <f>IFERROR(VLOOKUP($C45,烤漆色號編碼!$A:$C,2,FALSE),"-")</f>
        <v>YW1</v>
      </c>
      <c r="E45" s="156">
        <f>IFERROR(VLOOKUP($C45,當前庫存!$C:$I,5,FALSE),"-")</f>
        <v>1</v>
      </c>
      <c r="F45" s="154"/>
      <c r="G45" s="28"/>
      <c r="H45" s="27">
        <f>IFERROR(VLOOKUP($C45,烤漆色號編碼!$A:$D,4,FALSE)*表格2[[#This Row],[出]]+表格2[[#This Row],[散粉]],"-")</f>
        <v>0</v>
      </c>
      <c r="I45" s="29">
        <v>2</v>
      </c>
      <c r="J45" s="30">
        <f>IFERROR(表格2[[#This Row],[重量(Kg)]]-表格2[[#This Row],[回庫]],"-")</f>
        <v>-2</v>
      </c>
      <c r="K45" s="31"/>
      <c r="L45" s="32"/>
      <c r="M45" s="33"/>
      <c r="N45" s="27"/>
      <c r="O45" s="27"/>
    </row>
    <row r="46" spans="1:15" x14ac:dyDescent="0.15">
      <c r="A46" s="125"/>
      <c r="B46" s="121">
        <v>45590</v>
      </c>
      <c r="C46" s="153" t="s">
        <v>37</v>
      </c>
      <c r="D46" s="156" t="str">
        <f>IFERROR(VLOOKUP($C46,烤漆色號編碼!$A:$C,2,FALSE),"-")</f>
        <v>BKS1</v>
      </c>
      <c r="E46" s="156">
        <f>IFERROR(VLOOKUP($C46,當前庫存!$C:$I,5,FALSE),"-")</f>
        <v>22</v>
      </c>
      <c r="F46" s="154"/>
      <c r="G46" s="28">
        <v>26</v>
      </c>
      <c r="H46" s="27">
        <f>IFERROR(VLOOKUP($C46,烤漆色號編碼!$A:$D,4,FALSE)*表格2[[#This Row],[出]]+表格2[[#This Row],[散粉]],"-")</f>
        <v>26</v>
      </c>
      <c r="I46" s="29">
        <v>22</v>
      </c>
      <c r="J46" s="30">
        <f>IFERROR(表格2[[#This Row],[重量(Kg)]]-表格2[[#This Row],[回庫]],"-")</f>
        <v>4</v>
      </c>
      <c r="K46" s="31"/>
      <c r="L46" s="32"/>
      <c r="M46" s="33"/>
      <c r="N46" s="27"/>
      <c r="O46" s="27"/>
    </row>
    <row r="47" spans="1:15" x14ac:dyDescent="0.15">
      <c r="A47" s="125"/>
      <c r="B47" s="121">
        <v>45590</v>
      </c>
      <c r="C47" s="153" t="s">
        <v>25</v>
      </c>
      <c r="D47" s="156" t="str">
        <f>IFERROR(VLOOKUP($C47,烤漆色號編碼!$A:$C,2,FALSE),"-")</f>
        <v>BK</v>
      </c>
      <c r="E47" s="156">
        <f>IFERROR(VLOOKUP($C47,當前庫存!$C:$I,5,FALSE),"-")</f>
        <v>1</v>
      </c>
      <c r="F47" s="155"/>
      <c r="G47" s="28">
        <v>5</v>
      </c>
      <c r="H47" s="27">
        <f>IFERROR(VLOOKUP($C47,烤漆色號編碼!$A:$D,4,FALSE)*表格2[[#This Row],[出]]+表格2[[#This Row],[散粉]],"-")</f>
        <v>5</v>
      </c>
      <c r="I47" s="29"/>
      <c r="J47" s="30">
        <f>IFERROR(表格2[[#This Row],[重量(Kg)]]-表格2[[#This Row],[回庫]],"-")</f>
        <v>5</v>
      </c>
      <c r="K47" s="31"/>
      <c r="L47" s="32"/>
      <c r="M47" s="33"/>
      <c r="N47" s="27"/>
      <c r="O47" s="27"/>
    </row>
    <row r="48" spans="1:15" x14ac:dyDescent="0.15">
      <c r="A48" s="125"/>
      <c r="B48" s="158">
        <v>45591</v>
      </c>
      <c r="C48" s="153" t="s">
        <v>31</v>
      </c>
      <c r="D48" s="156" t="str">
        <f>IFERROR(VLOOKUP($C48,烤漆色號編碼!$A:$C,2,FALSE),"-")</f>
        <v>-</v>
      </c>
      <c r="E48" s="156" t="str">
        <f>IFERROR(VLOOKUP($C48,當前庫存!$C:$I,5,FALSE),"-")</f>
        <v>-</v>
      </c>
      <c r="F48" s="154"/>
      <c r="G48" s="28"/>
      <c r="H48" s="27" t="str">
        <f>IFERROR(VLOOKUP($C48,烤漆色號編碼!$A:$D,4,FALSE)*表格2[[#This Row],[出]]+表格2[[#This Row],[散粉]],"-")</f>
        <v>-</v>
      </c>
      <c r="I48" s="29"/>
      <c r="J48" s="30" t="str">
        <f>IFERROR(表格2[[#This Row],[重量(Kg)]]-表格2[[#This Row],[回庫]],"-")</f>
        <v>-</v>
      </c>
      <c r="K48" s="31"/>
      <c r="L48" s="32"/>
      <c r="M48" s="33"/>
      <c r="N48" s="27"/>
      <c r="O48" s="27"/>
    </row>
    <row r="49" spans="1:15" x14ac:dyDescent="0.15">
      <c r="A49" s="125"/>
      <c r="B49" s="158">
        <v>45592</v>
      </c>
      <c r="C49" s="153" t="s">
        <v>31</v>
      </c>
      <c r="D49" s="156" t="str">
        <f>IFERROR(VLOOKUP($C49,烤漆色號編碼!$A:$C,2,FALSE),"-")</f>
        <v>-</v>
      </c>
      <c r="E49" s="156" t="str">
        <f>IFERROR(VLOOKUP($C49,當前庫存!$C:$I,5,FALSE),"-")</f>
        <v>-</v>
      </c>
      <c r="F49" s="154"/>
      <c r="G49" s="28"/>
      <c r="H49" s="27" t="str">
        <f>IFERROR(VLOOKUP($C49,烤漆色號編碼!$A:$D,4,FALSE)*表格2[[#This Row],[出]]+表格2[[#This Row],[散粉]],"-")</f>
        <v>-</v>
      </c>
      <c r="I49" s="29"/>
      <c r="J49" s="30" t="str">
        <f>IFERROR(表格2[[#This Row],[重量(Kg)]]-表格2[[#This Row],[回庫]],"-")</f>
        <v>-</v>
      </c>
      <c r="K49" s="31"/>
      <c r="L49" s="32"/>
      <c r="M49" s="33"/>
      <c r="N49" s="27"/>
      <c r="O49" s="27"/>
    </row>
    <row r="50" spans="1:15" ht="13.5" customHeight="1" x14ac:dyDescent="0.15">
      <c r="A50" s="125"/>
      <c r="B50" s="121">
        <v>45593</v>
      </c>
      <c r="C50" s="157" t="s">
        <v>29</v>
      </c>
      <c r="D50" s="156" t="str">
        <f>IFERROR(VLOOKUP($C50,烤漆色號編碼!$A:$C,2,FALSE),"-")</f>
        <v>WE</v>
      </c>
      <c r="E50" s="156">
        <f>IFERROR(VLOOKUP($C50,當前庫存!$C:$I,5,FALSE),"-")</f>
        <v>10</v>
      </c>
      <c r="F50" s="28">
        <v>4</v>
      </c>
      <c r="G50" s="28"/>
      <c r="H50" s="27">
        <f>IFERROR(VLOOKUP($C50,烤漆色號編碼!$A:$D,4,FALSE)*表格2[[#This Row],[出]]+表格2[[#This Row],[散粉]],"-")</f>
        <v>100</v>
      </c>
      <c r="I50" s="29"/>
      <c r="J50" s="30">
        <f>IFERROR(表格2[[#This Row],[重量(Kg)]]-表格2[[#This Row],[回庫]],"-")</f>
        <v>100</v>
      </c>
      <c r="K50" s="31" t="s">
        <v>26</v>
      </c>
      <c r="L50" s="32"/>
      <c r="M50" s="33" t="s">
        <v>30</v>
      </c>
      <c r="N50" s="27"/>
      <c r="O50" s="27"/>
    </row>
    <row r="51" spans="1:15" x14ac:dyDescent="0.15">
      <c r="A51" s="125"/>
      <c r="B51" s="121">
        <v>45593</v>
      </c>
      <c r="C51" s="27" t="s">
        <v>37</v>
      </c>
      <c r="D51" s="27" t="str">
        <f>IFERROR(VLOOKUP($C51,烤漆色號編碼!$A:$C,2,FALSE),"-")</f>
        <v>BKS1</v>
      </c>
      <c r="E51" s="27">
        <f>IFERROR(VLOOKUP($C51,當前庫存!$C:$I,5,FALSE),"-")</f>
        <v>22</v>
      </c>
      <c r="F51" s="28"/>
      <c r="G51" s="28"/>
      <c r="H51" s="27">
        <f>IFERROR(VLOOKUP($C51,烤漆色號編碼!$A:$D,4,FALSE)*表格2[[#This Row],[出]]+表格2[[#This Row],[散粉]],"-")</f>
        <v>0</v>
      </c>
      <c r="I51" s="29"/>
      <c r="J51" s="30">
        <f>IFERROR(表格2[[#This Row],[重量(Kg)]]-表格2[[#This Row],[回庫]],"-")</f>
        <v>0</v>
      </c>
      <c r="K51" s="31" t="s">
        <v>26</v>
      </c>
      <c r="L51" s="32"/>
      <c r="M51" s="33" t="s">
        <v>27</v>
      </c>
      <c r="N51" s="27"/>
      <c r="O51" s="27"/>
    </row>
    <row r="52" spans="1:15" x14ac:dyDescent="0.15">
      <c r="A52" s="125"/>
      <c r="B52" s="121">
        <v>45594</v>
      </c>
      <c r="C52" s="27" t="s">
        <v>39</v>
      </c>
      <c r="D52" s="27" t="str">
        <f>IFERROR(VLOOKUP($C52,烤漆色號編碼!$A:$C,2,FALSE),"-")</f>
        <v>YW1</v>
      </c>
      <c r="E52" s="27">
        <f>IFERROR(VLOOKUP($C52,當前庫存!$C:$I,5,FALSE),"-")</f>
        <v>1</v>
      </c>
      <c r="F52" s="28">
        <v>2</v>
      </c>
      <c r="G52" s="28">
        <v>2</v>
      </c>
      <c r="H52" s="27">
        <f>IFERROR(VLOOKUP($C52,烤漆色號編碼!$A:$D,4,FALSE)*表格2[[#This Row],[出]]+表格2[[#This Row],[散粉]],"-")</f>
        <v>52</v>
      </c>
      <c r="I52" s="29">
        <v>5</v>
      </c>
      <c r="J52" s="30">
        <f>IFERROR(表格2[[#This Row],[重量(Kg)]]-表格2[[#This Row],[回庫]],"-")</f>
        <v>47</v>
      </c>
      <c r="K52" s="31"/>
      <c r="L52" s="32"/>
      <c r="M52" s="33"/>
      <c r="N52" s="27"/>
      <c r="O52" s="27"/>
    </row>
    <row r="53" spans="1:15" x14ac:dyDescent="0.15">
      <c r="A53" s="125"/>
      <c r="B53" s="121">
        <v>45594</v>
      </c>
      <c r="C53" s="27" t="s">
        <v>33</v>
      </c>
      <c r="D53" s="27" t="str">
        <f>IFERROR(VLOOKUP($C53,烤漆色號編碼!$A:$C,2,FALSE),"-")</f>
        <v>EBK</v>
      </c>
      <c r="E53" s="27">
        <f>IFERROR(VLOOKUP($C53,當前庫存!$C:$I,5,FALSE),"-")</f>
        <v>3</v>
      </c>
      <c r="F53" s="28"/>
      <c r="G53" s="28">
        <v>16</v>
      </c>
      <c r="H53" s="27">
        <f>IFERROR(VLOOKUP($C53,烤漆色號編碼!$A:$D,4,FALSE)*表格2[[#This Row],[出]]+表格2[[#This Row],[散粉]],"-")</f>
        <v>16</v>
      </c>
      <c r="I53" s="29">
        <v>11</v>
      </c>
      <c r="J53" s="30">
        <f>IFERROR(表格2[[#This Row],[重量(Kg)]]-表格2[[#This Row],[回庫]],"-")</f>
        <v>5</v>
      </c>
      <c r="K53" s="31"/>
      <c r="L53" s="32"/>
      <c r="M53" s="33"/>
      <c r="N53" s="27"/>
      <c r="O53" s="27"/>
    </row>
    <row r="54" spans="1:15" x14ac:dyDescent="0.15">
      <c r="A54" s="125"/>
      <c r="B54" s="121">
        <v>45594</v>
      </c>
      <c r="C54" s="27" t="s">
        <v>25</v>
      </c>
      <c r="D54" s="27" t="str">
        <f>IFERROR(VLOOKUP($C54,烤漆色號編碼!$A:$C,2,FALSE),"-")</f>
        <v>BK</v>
      </c>
      <c r="E54" s="27">
        <f>IFERROR(VLOOKUP($C54,當前庫存!$C:$I,5,FALSE),"-")</f>
        <v>1</v>
      </c>
      <c r="F54" s="28">
        <v>1</v>
      </c>
      <c r="G54" s="28">
        <v>8</v>
      </c>
      <c r="H54" s="27">
        <f>IFERROR(VLOOKUP($C54,烤漆色號編碼!$A:$D,4,FALSE)*表格2[[#This Row],[出]]+表格2[[#This Row],[散粉]],"-")</f>
        <v>33</v>
      </c>
      <c r="I54" s="29">
        <f>12+7</f>
        <v>19</v>
      </c>
      <c r="J54" s="30">
        <f>IFERROR(表格2[[#This Row],[重量(Kg)]]-表格2[[#This Row],[回庫]],"-")</f>
        <v>14</v>
      </c>
      <c r="K54" s="31"/>
      <c r="L54" s="32"/>
      <c r="M54" s="33"/>
      <c r="N54" s="27"/>
      <c r="O54" s="27"/>
    </row>
    <row r="55" spans="1:15" x14ac:dyDescent="0.15">
      <c r="A55" s="125"/>
      <c r="B55" s="121">
        <v>45594</v>
      </c>
      <c r="C55" s="27" t="s">
        <v>29</v>
      </c>
      <c r="D55" s="27" t="str">
        <f>IFERROR(VLOOKUP($C55,烤漆色號編碼!$A:$C,2,FALSE),"-")</f>
        <v>WE</v>
      </c>
      <c r="E55" s="27">
        <f>IFERROR(VLOOKUP($C55,當前庫存!$C:$I,5,FALSE),"-")</f>
        <v>10</v>
      </c>
      <c r="F55" s="28"/>
      <c r="G55" s="28"/>
      <c r="H55" s="27">
        <f>IFERROR(VLOOKUP($C55,烤漆色號編碼!$A:$D,4,FALSE)*表格2[[#This Row],[出]]+表格2[[#This Row],[散粉]],"-")</f>
        <v>0</v>
      </c>
      <c r="I55" s="29"/>
      <c r="J55" s="30">
        <f>IFERROR(表格2[[#This Row],[重量(Kg)]]-表格2[[#This Row],[回庫]],"-")</f>
        <v>0</v>
      </c>
      <c r="K55" s="31"/>
      <c r="L55" s="32"/>
      <c r="M55" s="33"/>
      <c r="N55" s="27"/>
      <c r="O55" s="27"/>
    </row>
    <row r="56" spans="1:15" x14ac:dyDescent="0.15">
      <c r="A56" s="125"/>
      <c r="B56" s="121">
        <v>45595</v>
      </c>
      <c r="C56" s="27" t="s">
        <v>29</v>
      </c>
      <c r="D56" s="27" t="str">
        <f>IFERROR(VLOOKUP($C56,烤漆色號編碼!$A:$C,2,FALSE),"-")</f>
        <v>WE</v>
      </c>
      <c r="E56" s="27">
        <f>IFERROR(VLOOKUP($C56,當前庫存!$C:$I,5,FALSE),"-")</f>
        <v>10</v>
      </c>
      <c r="F56" s="28">
        <v>6</v>
      </c>
      <c r="G56" s="28"/>
      <c r="H56" s="27">
        <f>IFERROR(VLOOKUP($C56,烤漆色號編碼!$A:$D,4,FALSE)*表格2[[#This Row],[出]]+表格2[[#This Row],[散粉]],"-")</f>
        <v>150</v>
      </c>
      <c r="I56" s="29"/>
      <c r="J56" s="30">
        <f>IFERROR(表格2[[#This Row],[重量(Kg)]]-表格2[[#This Row],[回庫]],"-")</f>
        <v>150</v>
      </c>
      <c r="K56" s="31"/>
      <c r="L56" s="32"/>
      <c r="M56" s="33"/>
      <c r="N56" s="27"/>
      <c r="O56" s="27"/>
    </row>
    <row r="57" spans="1:15" x14ac:dyDescent="0.15">
      <c r="A57" s="125"/>
      <c r="B57" s="121">
        <v>45596</v>
      </c>
      <c r="C57" s="27" t="s">
        <v>29</v>
      </c>
      <c r="D57" s="27" t="str">
        <f>IFERROR(VLOOKUP($C57,烤漆色號編碼!$A:$C,2,FALSE),"-")</f>
        <v>WE</v>
      </c>
      <c r="E57" s="27">
        <f>IFERROR(VLOOKUP($C57,當前庫存!$C:$I,5,FALSE),"-")</f>
        <v>10</v>
      </c>
      <c r="F57" s="28">
        <v>3</v>
      </c>
      <c r="G57" s="28"/>
      <c r="H57" s="27">
        <f>IFERROR(VLOOKUP($C57,烤漆色號編碼!$A:$D,4,FALSE)*表格2[[#This Row],[出]]+表格2[[#This Row],[散粉]],"-")</f>
        <v>75</v>
      </c>
      <c r="I57" s="29"/>
      <c r="J57" s="30">
        <f>IFERROR(表格2[[#This Row],[重量(Kg)]]-表格2[[#This Row],[回庫]],"-")</f>
        <v>75</v>
      </c>
      <c r="K57" s="31" t="s">
        <v>26</v>
      </c>
      <c r="L57" s="32"/>
      <c r="M57" s="33" t="s">
        <v>30</v>
      </c>
      <c r="N57" s="27"/>
      <c r="O57" s="27"/>
    </row>
    <row r="58" spans="1:15" x14ac:dyDescent="0.15">
      <c r="A58" s="125"/>
      <c r="B58" s="121">
        <v>45597</v>
      </c>
      <c r="C58" s="27" t="s">
        <v>39</v>
      </c>
      <c r="D58" s="27" t="str">
        <f>IFERROR(VLOOKUP($C58,烤漆色號編碼!$A:$C,2,FALSE),"-")</f>
        <v>YW1</v>
      </c>
      <c r="E58" s="27">
        <f>IFERROR(VLOOKUP($C58,當前庫存!$C:$I,5,FALSE),"-")</f>
        <v>1</v>
      </c>
      <c r="F58" s="28">
        <v>3</v>
      </c>
      <c r="G58" s="28">
        <v>5</v>
      </c>
      <c r="H58" s="27">
        <f>IFERROR(VLOOKUP($C58,烤漆色號編碼!$A:$D,4,FALSE)*表格2[[#This Row],[出]]+表格2[[#This Row],[散粉]],"-")</f>
        <v>80</v>
      </c>
      <c r="I58" s="29">
        <v>12</v>
      </c>
      <c r="J58" s="30">
        <f>IFERROR(表格2[[#This Row],[重量(Kg)]]-表格2[[#This Row],[回庫]],"-")</f>
        <v>68</v>
      </c>
      <c r="K58" s="31" t="s">
        <v>26</v>
      </c>
      <c r="L58" s="32"/>
      <c r="M58" s="33" t="s">
        <v>30</v>
      </c>
      <c r="N58" s="27"/>
      <c r="O58" s="27"/>
    </row>
    <row r="59" spans="1:15" x14ac:dyDescent="0.15">
      <c r="A59" s="125"/>
      <c r="B59" s="121">
        <v>45597</v>
      </c>
      <c r="C59" s="27" t="s">
        <v>29</v>
      </c>
      <c r="D59" s="27" t="str">
        <f>IFERROR(VLOOKUP($C59,烤漆色號編碼!$A:$C,2,FALSE),"-")</f>
        <v>WE</v>
      </c>
      <c r="E59" s="27">
        <f>IFERROR(VLOOKUP($C59,當前庫存!$C:$I,5,FALSE),"-")</f>
        <v>10</v>
      </c>
      <c r="F59" s="28">
        <v>1</v>
      </c>
      <c r="G59" s="28"/>
      <c r="H59" s="27">
        <f>IFERROR(VLOOKUP($C59,烤漆色號編碼!$A:$D,4,FALSE)*表格2[[#This Row],[出]]+表格2[[#This Row],[散粉]],"-")</f>
        <v>25</v>
      </c>
      <c r="I59" s="29"/>
      <c r="J59" s="30">
        <f>IFERROR(表格2[[#This Row],[重量(Kg)]]-表格2[[#This Row],[回庫]],"-")</f>
        <v>25</v>
      </c>
      <c r="K59" s="31"/>
      <c r="L59" s="32"/>
      <c r="M59" s="33" t="s">
        <v>30</v>
      </c>
      <c r="N59" s="27"/>
      <c r="O59" s="27"/>
    </row>
    <row r="60" spans="1:15" x14ac:dyDescent="0.15">
      <c r="A60" s="125"/>
      <c r="B60" s="121"/>
      <c r="C60" s="27"/>
      <c r="D60" s="27" t="str">
        <f>IFERROR(VLOOKUP($C60,烤漆色號編碼!$A:$C,2,FALSE),"-")</f>
        <v>-</v>
      </c>
      <c r="E60" s="27" t="str">
        <f>IFERROR(VLOOKUP($C60,當前庫存!$C:$I,5,FALSE),"-")</f>
        <v>-</v>
      </c>
      <c r="F60" s="28"/>
      <c r="G60" s="28"/>
      <c r="H60" s="27" t="str">
        <f>IFERROR(VLOOKUP($C60,烤漆色號編碼!$A:$D,4,FALSE)*表格2[[#This Row],[出]]+表格2[[#This Row],[散粉]],"-")</f>
        <v>-</v>
      </c>
      <c r="I60" s="29"/>
      <c r="J60" s="30" t="str">
        <f>IFERROR(表格2[[#This Row],[重量(Kg)]]-表格2[[#This Row],[回庫]],"-")</f>
        <v>-</v>
      </c>
      <c r="K60" s="31"/>
      <c r="L60" s="32"/>
      <c r="M60" s="33"/>
      <c r="N60" s="27"/>
      <c r="O60" s="27"/>
    </row>
    <row r="61" spans="1:15" x14ac:dyDescent="0.15">
      <c r="A61" s="125"/>
      <c r="B61" s="121"/>
      <c r="C61" s="27"/>
      <c r="D61" s="27" t="str">
        <f>IFERROR(VLOOKUP($C61,烤漆色號編碼!$A:$C,2,FALSE),"-")</f>
        <v>-</v>
      </c>
      <c r="E61" s="27" t="str">
        <f>IFERROR(VLOOKUP($C61,當前庫存!$C:$I,5,FALSE),"-")</f>
        <v>-</v>
      </c>
      <c r="F61" s="28"/>
      <c r="G61" s="28"/>
      <c r="H61" s="27" t="str">
        <f>IFERROR(VLOOKUP($C61,烤漆色號編碼!$A:$D,4,FALSE)*表格2[[#This Row],[出]]+表格2[[#This Row],[散粉]],"-")</f>
        <v>-</v>
      </c>
      <c r="I61" s="29"/>
      <c r="J61" s="30" t="str">
        <f>IFERROR(表格2[[#This Row],[重量(Kg)]]-表格2[[#This Row],[回庫]],"-")</f>
        <v>-</v>
      </c>
      <c r="K61" s="31"/>
      <c r="L61" s="32"/>
      <c r="M61" s="33"/>
      <c r="N61" s="27"/>
      <c r="O61" s="27"/>
    </row>
    <row r="62" spans="1:15" x14ac:dyDescent="0.15">
      <c r="A62" s="125"/>
      <c r="B62" s="121"/>
      <c r="C62" s="27"/>
      <c r="D62" s="27" t="str">
        <f>IFERROR(VLOOKUP($C62,烤漆色號編碼!$A:$C,2,FALSE),"-")</f>
        <v>-</v>
      </c>
      <c r="E62" s="27" t="str">
        <f>IFERROR(VLOOKUP($C62,當前庫存!$C:$I,5,FALSE),"-")</f>
        <v>-</v>
      </c>
      <c r="F62" s="28"/>
      <c r="G62" s="28"/>
      <c r="H62" s="27" t="str">
        <f>IFERROR(VLOOKUP($C62,烤漆色號編碼!$A:$D,4,FALSE)*表格2[[#This Row],[出]]+表格2[[#This Row],[散粉]],"-")</f>
        <v>-</v>
      </c>
      <c r="I62" s="29"/>
      <c r="J62" s="30" t="str">
        <f>IFERROR(表格2[[#This Row],[重量(Kg)]]-表格2[[#This Row],[回庫]],"-")</f>
        <v>-</v>
      </c>
      <c r="K62" s="31"/>
      <c r="L62" s="32"/>
      <c r="M62" s="33"/>
      <c r="N62" s="27"/>
      <c r="O62" s="27"/>
    </row>
    <row r="63" spans="1:15" x14ac:dyDescent="0.15">
      <c r="A63" s="125"/>
      <c r="B63" s="121"/>
      <c r="C63" s="27"/>
      <c r="D63" s="27" t="str">
        <f>IFERROR(VLOOKUP($C63,烤漆色號編碼!$A:$C,2,FALSE),"-")</f>
        <v>-</v>
      </c>
      <c r="E63" s="27" t="str">
        <f>IFERROR(VLOOKUP($C63,當前庫存!$C:$I,5,FALSE),"-")</f>
        <v>-</v>
      </c>
      <c r="F63" s="28"/>
      <c r="G63" s="28"/>
      <c r="H63" s="27" t="str">
        <f>IFERROR(VLOOKUP($C63,烤漆色號編碼!$A:$D,4,FALSE)*表格2[[#This Row],[出]]+表格2[[#This Row],[散粉]],"-")</f>
        <v>-</v>
      </c>
      <c r="I63" s="29"/>
      <c r="J63" s="30" t="str">
        <f>IFERROR(表格2[[#This Row],[重量(Kg)]]-表格2[[#This Row],[回庫]],"-")</f>
        <v>-</v>
      </c>
      <c r="K63" s="31"/>
      <c r="L63" s="32"/>
      <c r="M63" s="33"/>
      <c r="N63" s="27"/>
      <c r="O63" s="27"/>
    </row>
    <row r="64" spans="1:15" x14ac:dyDescent="0.15">
      <c r="A64" s="125"/>
      <c r="B64" s="121"/>
      <c r="C64" s="27"/>
      <c r="D64" s="27" t="str">
        <f>IFERROR(VLOOKUP($C64,烤漆色號編碼!$A:$C,2,FALSE),"-")</f>
        <v>-</v>
      </c>
      <c r="E64" s="27" t="str">
        <f>IFERROR(VLOOKUP($C64,當前庫存!$C:$I,5,FALSE),"-")</f>
        <v>-</v>
      </c>
      <c r="F64" s="28"/>
      <c r="G64" s="28"/>
      <c r="H64" s="27" t="str">
        <f>IFERROR(VLOOKUP($C64,烤漆色號編碼!$A:$D,4,FALSE)*表格2[[#This Row],[出]]+表格2[[#This Row],[散粉]],"-")</f>
        <v>-</v>
      </c>
      <c r="I64" s="29"/>
      <c r="J64" s="30" t="str">
        <f>IFERROR(表格2[[#This Row],[重量(Kg)]]-表格2[[#This Row],[回庫]],"-")</f>
        <v>-</v>
      </c>
      <c r="K64" s="31"/>
      <c r="L64" s="32"/>
      <c r="M64" s="33"/>
      <c r="N64" s="27"/>
      <c r="O64" s="27"/>
    </row>
    <row r="65" spans="1:15" x14ac:dyDescent="0.15">
      <c r="A65" s="125"/>
      <c r="B65" s="121"/>
      <c r="C65" s="27"/>
      <c r="D65" s="27" t="str">
        <f>IFERROR(VLOOKUP($C65,烤漆色號編碼!$A:$C,2,FALSE),"-")</f>
        <v>-</v>
      </c>
      <c r="E65" s="27" t="str">
        <f>IFERROR(VLOOKUP($C65,當前庫存!$C:$I,5,FALSE),"-")</f>
        <v>-</v>
      </c>
      <c r="F65" s="28"/>
      <c r="G65" s="28"/>
      <c r="H65" s="27" t="str">
        <f>IFERROR(VLOOKUP($C65,烤漆色號編碼!$A:$D,4,FALSE)*表格2[[#This Row],[出]]+表格2[[#This Row],[散粉]],"-")</f>
        <v>-</v>
      </c>
      <c r="I65" s="29"/>
      <c r="J65" s="30" t="str">
        <f>IFERROR(表格2[[#This Row],[重量(Kg)]]-表格2[[#This Row],[回庫]],"-")</f>
        <v>-</v>
      </c>
      <c r="K65" s="31"/>
      <c r="L65" s="32"/>
      <c r="M65" s="33"/>
      <c r="N65" s="27"/>
      <c r="O65" s="27"/>
    </row>
    <row r="66" spans="1:15" x14ac:dyDescent="0.15">
      <c r="A66" s="125"/>
      <c r="B66" s="121"/>
      <c r="C66" s="27"/>
      <c r="D66" s="27" t="str">
        <f>IFERROR(VLOOKUP($C66,烤漆色號編碼!$A:$C,2,FALSE),"-")</f>
        <v>-</v>
      </c>
      <c r="E66" s="27" t="str">
        <f>IFERROR(VLOOKUP($C66,當前庫存!$C:$I,5,FALSE),"-")</f>
        <v>-</v>
      </c>
      <c r="F66" s="28"/>
      <c r="G66" s="28"/>
      <c r="H66" s="27" t="str">
        <f>IFERROR(VLOOKUP($C66,烤漆色號編碼!$A:$D,4,FALSE)*表格2[[#This Row],[出]]+表格2[[#This Row],[散粉]],"-")</f>
        <v>-</v>
      </c>
      <c r="I66" s="29"/>
      <c r="J66" s="30" t="str">
        <f>IFERROR(表格2[[#This Row],[重量(Kg)]]-表格2[[#This Row],[回庫]],"-")</f>
        <v>-</v>
      </c>
      <c r="K66" s="31"/>
      <c r="L66" s="32"/>
      <c r="M66" s="33"/>
      <c r="N66" s="27"/>
      <c r="O66" s="27"/>
    </row>
    <row r="67" spans="1:15" x14ac:dyDescent="0.15">
      <c r="A67" s="125"/>
      <c r="B67" s="122"/>
      <c r="C67" s="34"/>
      <c r="D67" s="34" t="str">
        <f>IFERROR(VLOOKUP($C67,烤漆色號編碼!$A:$C,2,FALSE),"-")</f>
        <v>-</v>
      </c>
      <c r="E67" s="34" t="str">
        <f>IFERROR(VLOOKUP($C67,當前庫存!$C:$I,5,FALSE),"-")</f>
        <v>-</v>
      </c>
      <c r="F67" s="39"/>
      <c r="G67" s="39"/>
      <c r="H67" s="27" t="str">
        <f>IFERROR(VLOOKUP($C67,烤漆色號編碼!$A:$D,4,FALSE)*表格2[[#This Row],[出]]+表格2[[#This Row],[散粉]],"-")</f>
        <v>-</v>
      </c>
      <c r="I67" s="35"/>
      <c r="J67" s="30" t="str">
        <f>IFERROR(表格2[[#This Row],[重量(Kg)]]-表格2[[#This Row],[回庫]],"-")</f>
        <v>-</v>
      </c>
      <c r="K67" s="36"/>
      <c r="L67" s="37"/>
      <c r="M67" s="38"/>
      <c r="N67" s="34"/>
      <c r="O67" s="34"/>
    </row>
    <row r="68" spans="1:15" x14ac:dyDescent="0.15">
      <c r="A68" s="125"/>
      <c r="B68" s="122"/>
      <c r="C68" s="34"/>
      <c r="D68" s="34" t="str">
        <f>IFERROR(VLOOKUP($C68,烤漆色號編碼!$A:$C,2,FALSE),"-")</f>
        <v>-</v>
      </c>
      <c r="E68" s="34" t="str">
        <f>IFERROR(VLOOKUP($C68,當前庫存!$C:$I,5,FALSE),"-")</f>
        <v>-</v>
      </c>
      <c r="F68" s="39"/>
      <c r="G68" s="39"/>
      <c r="H68" s="27" t="str">
        <f>IFERROR(VLOOKUP($C68,烤漆色號編碼!$A:$D,4,FALSE)*表格2[[#This Row],[出]]+表格2[[#This Row],[散粉]],"-")</f>
        <v>-</v>
      </c>
      <c r="I68" s="35"/>
      <c r="J68" s="30" t="str">
        <f>IFERROR(表格2[[#This Row],[重量(Kg)]]-表格2[[#This Row],[回庫]],"-")</f>
        <v>-</v>
      </c>
      <c r="K68" s="36"/>
      <c r="L68" s="37"/>
      <c r="M68" s="38"/>
      <c r="N68" s="34"/>
      <c r="O68" s="34"/>
    </row>
    <row r="69" spans="1:15" x14ac:dyDescent="0.15">
      <c r="A69" s="125"/>
      <c r="B69" s="122"/>
      <c r="C69" s="34"/>
      <c r="D69" s="34" t="str">
        <f>IFERROR(VLOOKUP($C69,烤漆色號編碼!$A:$C,2,FALSE),"-")</f>
        <v>-</v>
      </c>
      <c r="E69" s="34" t="str">
        <f>IFERROR(VLOOKUP($C69,當前庫存!$C:$I,5,FALSE),"-")</f>
        <v>-</v>
      </c>
      <c r="F69" s="39"/>
      <c r="G69" s="39"/>
      <c r="H69" s="27" t="str">
        <f>IFERROR(VLOOKUP($C69,烤漆色號編碼!$A:$D,4,FALSE)*表格2[[#This Row],[出]]+表格2[[#This Row],[散粉]],"-")</f>
        <v>-</v>
      </c>
      <c r="I69" s="35"/>
      <c r="J69" s="30" t="str">
        <f>IFERROR(表格2[[#This Row],[重量(Kg)]]-表格2[[#This Row],[回庫]],"-")</f>
        <v>-</v>
      </c>
      <c r="K69" s="36"/>
      <c r="L69" s="37"/>
      <c r="M69" s="38"/>
      <c r="N69" s="34"/>
      <c r="O69" s="34"/>
    </row>
    <row r="70" spans="1:15" x14ac:dyDescent="0.15">
      <c r="A70" s="125"/>
      <c r="B70" s="122"/>
      <c r="C70" s="34"/>
      <c r="D70" s="34" t="str">
        <f>IFERROR(VLOOKUP($C70,烤漆色號編碼!$A:$C,2,FALSE),"-")</f>
        <v>-</v>
      </c>
      <c r="E70" s="34" t="str">
        <f>IFERROR(VLOOKUP($C70,當前庫存!$C:$I,5,FALSE),"-")</f>
        <v>-</v>
      </c>
      <c r="F70" s="39"/>
      <c r="G70" s="39"/>
      <c r="H70" s="27" t="str">
        <f>IFERROR(VLOOKUP($C70,烤漆色號編碼!$A:$D,4,FALSE)*表格2[[#This Row],[出]]+表格2[[#This Row],[散粉]],"-")</f>
        <v>-</v>
      </c>
      <c r="I70" s="35"/>
      <c r="J70" s="30" t="str">
        <f>IFERROR(表格2[[#This Row],[重量(Kg)]]-表格2[[#This Row],[回庫]],"-")</f>
        <v>-</v>
      </c>
      <c r="K70" s="36"/>
      <c r="L70" s="37"/>
      <c r="M70" s="38"/>
      <c r="N70" s="34"/>
      <c r="O70" s="34"/>
    </row>
    <row r="71" spans="1:15" x14ac:dyDescent="0.15">
      <c r="A71" s="125"/>
      <c r="B71" s="122"/>
      <c r="C71" s="34"/>
      <c r="D71" s="34" t="str">
        <f>IFERROR(VLOOKUP($C71,烤漆色號編碼!$A:$C,2,FALSE),"-")</f>
        <v>-</v>
      </c>
      <c r="E71" s="34" t="str">
        <f>IFERROR(VLOOKUP($C71,當前庫存!$C:$I,5,FALSE),"-")</f>
        <v>-</v>
      </c>
      <c r="F71" s="39"/>
      <c r="G71" s="39"/>
      <c r="H71" s="27" t="str">
        <f>IFERROR(VLOOKUP($C71,烤漆色號編碼!$A:$D,4,FALSE)*表格2[[#This Row],[出]]+表格2[[#This Row],[散粉]],"-")</f>
        <v>-</v>
      </c>
      <c r="I71" s="35"/>
      <c r="J71" s="30" t="str">
        <f>IFERROR(表格2[[#This Row],[重量(Kg)]]-表格2[[#This Row],[回庫]],"-")</f>
        <v>-</v>
      </c>
      <c r="K71" s="36"/>
      <c r="L71" s="37"/>
      <c r="M71" s="38"/>
      <c r="N71" s="34"/>
      <c r="O71" s="34"/>
    </row>
    <row r="72" spans="1:15" x14ac:dyDescent="0.15">
      <c r="A72" s="125"/>
      <c r="B72" s="122"/>
      <c r="C72" s="34"/>
      <c r="D72" s="34" t="str">
        <f>IFERROR(VLOOKUP($C72,烤漆色號編碼!$A:$C,2,FALSE),"-")</f>
        <v>-</v>
      </c>
      <c r="E72" s="34" t="str">
        <f>IFERROR(VLOOKUP($C72,當前庫存!$C:$I,5,FALSE),"-")</f>
        <v>-</v>
      </c>
      <c r="F72" s="39"/>
      <c r="G72" s="39"/>
      <c r="H72" s="27" t="str">
        <f>IFERROR(VLOOKUP($C72,烤漆色號編碼!$A:$D,4,FALSE)*表格2[[#This Row],[出]]+表格2[[#This Row],[散粉]],"-")</f>
        <v>-</v>
      </c>
      <c r="I72" s="35"/>
      <c r="J72" s="30" t="str">
        <f>IFERROR(表格2[[#This Row],[重量(Kg)]]-表格2[[#This Row],[回庫]],"-")</f>
        <v>-</v>
      </c>
      <c r="K72" s="36"/>
      <c r="L72" s="37"/>
      <c r="M72" s="38"/>
      <c r="N72" s="34"/>
      <c r="O72" s="34"/>
    </row>
    <row r="73" spans="1:15" x14ac:dyDescent="0.15">
      <c r="A73" s="125"/>
      <c r="B73" s="122"/>
      <c r="C73" s="34"/>
      <c r="D73" s="34" t="str">
        <f>IFERROR(VLOOKUP($C73,烤漆色號編碼!$A:$C,2,FALSE),"-")</f>
        <v>-</v>
      </c>
      <c r="E73" s="34" t="str">
        <f>IFERROR(VLOOKUP($C73,當前庫存!$C:$I,5,FALSE),"-")</f>
        <v>-</v>
      </c>
      <c r="F73" s="39"/>
      <c r="G73" s="39"/>
      <c r="H73" s="27" t="str">
        <f>IFERROR(VLOOKUP($C73,烤漆色號編碼!$A:$D,4,FALSE)*表格2[[#This Row],[出]]+表格2[[#This Row],[散粉]],"-")</f>
        <v>-</v>
      </c>
      <c r="I73" s="35"/>
      <c r="J73" s="30" t="str">
        <f>IFERROR(表格2[[#This Row],[重量(Kg)]]-表格2[[#This Row],[回庫]],"-")</f>
        <v>-</v>
      </c>
      <c r="K73" s="36"/>
      <c r="L73" s="37"/>
      <c r="M73" s="38"/>
      <c r="N73" s="34"/>
      <c r="O73" s="34"/>
    </row>
    <row r="74" spans="1:15" x14ac:dyDescent="0.15">
      <c r="A74" s="125"/>
      <c r="B74" s="122"/>
      <c r="C74" s="34"/>
      <c r="D74" s="34" t="str">
        <f>IFERROR(VLOOKUP($C74,烤漆色號編碼!$A:$C,2,FALSE),"-")</f>
        <v>-</v>
      </c>
      <c r="E74" s="34" t="str">
        <f>IFERROR(VLOOKUP($C74,當前庫存!$C:$I,5,FALSE),"-")</f>
        <v>-</v>
      </c>
      <c r="F74" s="39"/>
      <c r="G74" s="39"/>
      <c r="H74" s="27" t="str">
        <f>IFERROR(VLOOKUP($C74,烤漆色號編碼!$A:$D,4,FALSE)*表格2[[#This Row],[出]]+表格2[[#This Row],[散粉]],"-")</f>
        <v>-</v>
      </c>
      <c r="I74" s="35"/>
      <c r="J74" s="30" t="str">
        <f>IFERROR(表格2[[#This Row],[重量(Kg)]]-表格2[[#This Row],[回庫]],"-")</f>
        <v>-</v>
      </c>
      <c r="K74" s="36"/>
      <c r="L74" s="37"/>
      <c r="M74" s="38"/>
      <c r="N74" s="34"/>
      <c r="O74" s="34"/>
    </row>
    <row r="75" spans="1:15" x14ac:dyDescent="0.15">
      <c r="A75" s="125"/>
      <c r="B75" s="122"/>
      <c r="C75" s="34"/>
      <c r="D75" s="34" t="str">
        <f>IFERROR(VLOOKUP($C75,烤漆色號編碼!$A:$C,2,FALSE),"-")</f>
        <v>-</v>
      </c>
      <c r="E75" s="34" t="str">
        <f>IFERROR(VLOOKUP($C75,當前庫存!$C:$I,5,FALSE),"-")</f>
        <v>-</v>
      </c>
      <c r="F75" s="39"/>
      <c r="G75" s="39"/>
      <c r="H75" s="27" t="str">
        <f>IFERROR(VLOOKUP($C75,烤漆色號編碼!$A:$D,4,FALSE)*表格2[[#This Row],[出]]+表格2[[#This Row],[散粉]],"-")</f>
        <v>-</v>
      </c>
      <c r="I75" s="35"/>
      <c r="J75" s="30" t="str">
        <f>IFERROR(表格2[[#This Row],[重量(Kg)]]-表格2[[#This Row],[回庫]],"-")</f>
        <v>-</v>
      </c>
      <c r="K75" s="36"/>
      <c r="L75" s="37"/>
      <c r="M75" s="38"/>
      <c r="N75" s="34"/>
      <c r="O75" s="34"/>
    </row>
    <row r="76" spans="1:15" x14ac:dyDescent="0.15">
      <c r="A76" s="125"/>
      <c r="B76" s="122"/>
      <c r="C76" s="34"/>
      <c r="D76" s="34" t="str">
        <f>IFERROR(VLOOKUP($C76,烤漆色號編碼!$A:$C,2,FALSE),"-")</f>
        <v>-</v>
      </c>
      <c r="E76" s="34" t="str">
        <f>IFERROR(VLOOKUP($C76,當前庫存!$C:$I,5,FALSE),"-")</f>
        <v>-</v>
      </c>
      <c r="F76" s="39"/>
      <c r="G76" s="39"/>
      <c r="H76" s="27" t="str">
        <f>IFERROR(VLOOKUP($C76,烤漆色號編碼!$A:$D,4,FALSE)*表格2[[#This Row],[出]]+表格2[[#This Row],[散粉]],"-")</f>
        <v>-</v>
      </c>
      <c r="I76" s="35"/>
      <c r="J76" s="30" t="str">
        <f>IFERROR(表格2[[#This Row],[重量(Kg)]]-表格2[[#This Row],[回庫]],"-")</f>
        <v>-</v>
      </c>
      <c r="K76" s="36"/>
      <c r="L76" s="37"/>
      <c r="M76" s="38"/>
      <c r="N76" s="34"/>
      <c r="O76" s="34"/>
    </row>
    <row r="77" spans="1:15" x14ac:dyDescent="0.15">
      <c r="A77" s="125"/>
      <c r="B77" s="122"/>
      <c r="C77" s="34"/>
      <c r="D77" s="34" t="str">
        <f>IFERROR(VLOOKUP($C77,烤漆色號編碼!$A:$C,2,FALSE),"-")</f>
        <v>-</v>
      </c>
      <c r="E77" s="34" t="str">
        <f>IFERROR(VLOOKUP($C77,當前庫存!$C:$I,5,FALSE),"-")</f>
        <v>-</v>
      </c>
      <c r="F77" s="39"/>
      <c r="G77" s="39"/>
      <c r="H77" s="27" t="str">
        <f>IFERROR(VLOOKUP($C77,烤漆色號編碼!$A:$D,4,FALSE)*表格2[[#This Row],[出]]+表格2[[#This Row],[散粉]],"-")</f>
        <v>-</v>
      </c>
      <c r="I77" s="35"/>
      <c r="J77" s="30" t="str">
        <f>IFERROR(表格2[[#This Row],[重量(Kg)]]-表格2[[#This Row],[回庫]],"-")</f>
        <v>-</v>
      </c>
      <c r="K77" s="36"/>
      <c r="L77" s="37"/>
      <c r="M77" s="38"/>
      <c r="N77" s="34"/>
      <c r="O77" s="34"/>
    </row>
    <row r="78" spans="1:15" x14ac:dyDescent="0.15">
      <c r="A78" s="125"/>
      <c r="B78" s="122"/>
      <c r="C78" s="34"/>
      <c r="D78" s="34" t="str">
        <f>IFERROR(VLOOKUP($C78,烤漆色號編碼!$A:$C,2,FALSE),"-")</f>
        <v>-</v>
      </c>
      <c r="E78" s="34" t="str">
        <f>IFERROR(VLOOKUP($C78,當前庫存!$C:$I,5,FALSE),"-")</f>
        <v>-</v>
      </c>
      <c r="F78" s="39"/>
      <c r="G78" s="39"/>
      <c r="H78" s="27" t="str">
        <f>IFERROR(VLOOKUP($C78,烤漆色號編碼!$A:$D,4,FALSE)*表格2[[#This Row],[出]]+表格2[[#This Row],[散粉]],"-")</f>
        <v>-</v>
      </c>
      <c r="I78" s="35"/>
      <c r="J78" s="30" t="str">
        <f>IFERROR(表格2[[#This Row],[重量(Kg)]]-表格2[[#This Row],[回庫]],"-")</f>
        <v>-</v>
      </c>
      <c r="K78" s="36"/>
      <c r="L78" s="37"/>
      <c r="M78" s="38"/>
      <c r="N78" s="34"/>
      <c r="O78" s="34"/>
    </row>
    <row r="79" spans="1:15" x14ac:dyDescent="0.15">
      <c r="A79" s="125"/>
      <c r="B79" s="122"/>
      <c r="C79" s="34"/>
      <c r="D79" s="34" t="str">
        <f>IFERROR(VLOOKUP($C79,烤漆色號編碼!$A:$C,2,FALSE),"-")</f>
        <v>-</v>
      </c>
      <c r="E79" s="34" t="str">
        <f>IFERROR(VLOOKUP($C79,當前庫存!$C:$I,5,FALSE),"-")</f>
        <v>-</v>
      </c>
      <c r="F79" s="39"/>
      <c r="G79" s="39"/>
      <c r="H79" s="27" t="str">
        <f>IFERROR(VLOOKUP($C79,烤漆色號編碼!$A:$D,4,FALSE)*表格2[[#This Row],[出]]+表格2[[#This Row],[散粉]],"-")</f>
        <v>-</v>
      </c>
      <c r="I79" s="35"/>
      <c r="J79" s="30" t="str">
        <f>IFERROR(表格2[[#This Row],[重量(Kg)]]-表格2[[#This Row],[回庫]],"-")</f>
        <v>-</v>
      </c>
      <c r="K79" s="36"/>
      <c r="L79" s="37"/>
      <c r="M79" s="38"/>
      <c r="N79" s="34"/>
      <c r="O79" s="34"/>
    </row>
    <row r="80" spans="1:15" x14ac:dyDescent="0.15">
      <c r="A80" s="125"/>
      <c r="B80" s="122"/>
      <c r="C80" s="34"/>
      <c r="D80" s="34" t="str">
        <f>IFERROR(VLOOKUP($C80,烤漆色號編碼!$A:$C,2,FALSE),"-")</f>
        <v>-</v>
      </c>
      <c r="E80" s="34" t="str">
        <f>IFERROR(VLOOKUP($C80,當前庫存!$C:$I,5,FALSE),"-")</f>
        <v>-</v>
      </c>
      <c r="F80" s="39"/>
      <c r="G80" s="39"/>
      <c r="H80" s="27" t="str">
        <f>IFERROR(VLOOKUP($C80,烤漆色號編碼!$A:$D,4,FALSE)*表格2[[#This Row],[出]]+表格2[[#This Row],[散粉]],"-")</f>
        <v>-</v>
      </c>
      <c r="I80" s="35"/>
      <c r="J80" s="30" t="str">
        <f>IFERROR(表格2[[#This Row],[重量(Kg)]]-表格2[[#This Row],[回庫]],"-")</f>
        <v>-</v>
      </c>
      <c r="K80" s="36"/>
      <c r="L80" s="37"/>
      <c r="M80" s="38"/>
      <c r="N80" s="34"/>
      <c r="O80" s="34"/>
    </row>
    <row r="81" spans="1:15" x14ac:dyDescent="0.15">
      <c r="A81" s="125"/>
      <c r="B81" s="122"/>
      <c r="C81" s="34"/>
      <c r="D81" s="34" t="str">
        <f>IFERROR(VLOOKUP($C81,烤漆色號編碼!$A:$C,2,FALSE),"-")</f>
        <v>-</v>
      </c>
      <c r="E81" s="34" t="str">
        <f>IFERROR(VLOOKUP($C81,當前庫存!$C:$I,5,FALSE),"-")</f>
        <v>-</v>
      </c>
      <c r="F81" s="39"/>
      <c r="G81" s="39"/>
      <c r="H81" s="27" t="str">
        <f>IFERROR(VLOOKUP($C81,烤漆色號編碼!$A:$D,4,FALSE)*表格2[[#This Row],[出]]+表格2[[#This Row],[散粉]],"-")</f>
        <v>-</v>
      </c>
      <c r="I81" s="35"/>
      <c r="J81" s="30" t="str">
        <f>IFERROR(表格2[[#This Row],[重量(Kg)]]-表格2[[#This Row],[回庫]],"-")</f>
        <v>-</v>
      </c>
      <c r="K81" s="36"/>
      <c r="L81" s="37"/>
      <c r="M81" s="38"/>
      <c r="N81" s="34"/>
      <c r="O81" s="34"/>
    </row>
    <row r="82" spans="1:15" x14ac:dyDescent="0.15">
      <c r="A82" s="125"/>
      <c r="B82" s="122"/>
      <c r="C82" s="34"/>
      <c r="D82" s="34" t="str">
        <f>IFERROR(VLOOKUP($C82,烤漆色號編碼!$A:$C,2,FALSE),"-")</f>
        <v>-</v>
      </c>
      <c r="E82" s="34" t="str">
        <f>IFERROR(VLOOKUP($C82,當前庫存!$C:$I,5,FALSE),"-")</f>
        <v>-</v>
      </c>
      <c r="F82" s="39"/>
      <c r="G82" s="39"/>
      <c r="H82" s="27" t="str">
        <f>IFERROR(VLOOKUP($C82,烤漆色號編碼!$A:$D,4,FALSE)*表格2[[#This Row],[出]]+表格2[[#This Row],[散粉]],"-")</f>
        <v>-</v>
      </c>
      <c r="I82" s="35"/>
      <c r="J82" s="30" t="str">
        <f>IFERROR(表格2[[#This Row],[重量(Kg)]]-表格2[[#This Row],[回庫]],"-")</f>
        <v>-</v>
      </c>
      <c r="K82" s="36"/>
      <c r="L82" s="37"/>
      <c r="M82" s="38"/>
      <c r="N82" s="34"/>
      <c r="O82" s="34"/>
    </row>
    <row r="83" spans="1:15" x14ac:dyDescent="0.15">
      <c r="A83" s="125"/>
      <c r="B83" s="122"/>
      <c r="C83" s="34"/>
      <c r="D83" s="34" t="str">
        <f>IFERROR(VLOOKUP($C83,烤漆色號編碼!$A:$C,2,FALSE),"-")</f>
        <v>-</v>
      </c>
      <c r="E83" s="34" t="str">
        <f>IFERROR(VLOOKUP($C83,當前庫存!$C:$I,5,FALSE),"-")</f>
        <v>-</v>
      </c>
      <c r="F83" s="39"/>
      <c r="G83" s="39"/>
      <c r="H83" s="27" t="str">
        <f>IFERROR(VLOOKUP($C83,烤漆色號編碼!$A:$D,4,FALSE)*表格2[[#This Row],[出]]+表格2[[#This Row],[散粉]],"-")</f>
        <v>-</v>
      </c>
      <c r="I83" s="35"/>
      <c r="J83" s="30" t="str">
        <f>IFERROR(表格2[[#This Row],[重量(Kg)]]-表格2[[#This Row],[回庫]],"-")</f>
        <v>-</v>
      </c>
      <c r="K83" s="36"/>
      <c r="L83" s="37"/>
      <c r="M83" s="38"/>
      <c r="N83" s="34"/>
      <c r="O83" s="34"/>
    </row>
    <row r="84" spans="1:15" x14ac:dyDescent="0.15">
      <c r="A84" s="125"/>
      <c r="B84" s="122"/>
      <c r="C84" s="34"/>
      <c r="D84" s="34" t="str">
        <f>IFERROR(VLOOKUP($C84,烤漆色號編碼!$A:$C,2,FALSE),"-")</f>
        <v>-</v>
      </c>
      <c r="E84" s="34" t="str">
        <f>IFERROR(VLOOKUP($C84,當前庫存!$C:$I,5,FALSE),"-")</f>
        <v>-</v>
      </c>
      <c r="F84" s="39"/>
      <c r="G84" s="39"/>
      <c r="H84" s="27" t="str">
        <f>IFERROR(VLOOKUP($C84,烤漆色號編碼!$A:$D,4,FALSE)*表格2[[#This Row],[出]]+表格2[[#This Row],[散粉]],"-")</f>
        <v>-</v>
      </c>
      <c r="I84" s="35"/>
      <c r="J84" s="30"/>
      <c r="K84" s="36"/>
      <c r="L84" s="37"/>
      <c r="M84" s="38"/>
      <c r="N84" s="34"/>
      <c r="O84" s="34"/>
    </row>
    <row r="85" spans="1:15" x14ac:dyDescent="0.15">
      <c r="A85" s="125"/>
      <c r="B85" s="122"/>
      <c r="C85" s="34"/>
      <c r="D85" s="34" t="str">
        <f>IFERROR(VLOOKUP($C85,烤漆色號編碼!$A:$C,2,FALSE),"-")</f>
        <v>-</v>
      </c>
      <c r="E85" s="34" t="str">
        <f>IFERROR(VLOOKUP($C85,當前庫存!$C:$I,5,FALSE),"-")</f>
        <v>-</v>
      </c>
      <c r="F85" s="39"/>
      <c r="G85" s="39"/>
      <c r="H85" s="27" t="str">
        <f>IFERROR(VLOOKUP($C85,烤漆色號編碼!$A:$D,4,FALSE)*表格2[[#This Row],[出]]+表格2[[#This Row],[散粉]],"-")</f>
        <v>-</v>
      </c>
      <c r="I85" s="35"/>
      <c r="J85" s="30"/>
      <c r="K85" s="36"/>
      <c r="L85" s="37"/>
      <c r="M85" s="38"/>
      <c r="N85" s="34"/>
      <c r="O85" s="34"/>
    </row>
    <row r="86" spans="1:15" x14ac:dyDescent="0.15">
      <c r="A86" s="125"/>
      <c r="B86" s="122"/>
      <c r="C86" s="34"/>
      <c r="D86" s="34" t="str">
        <f>IFERROR(VLOOKUP($C86,烤漆色號編碼!$A:$C,2,FALSE),"-")</f>
        <v>-</v>
      </c>
      <c r="E86" s="34" t="str">
        <f>IFERROR(VLOOKUP($C86,當前庫存!$C:$I,5,FALSE),"-")</f>
        <v>-</v>
      </c>
      <c r="F86" s="39"/>
      <c r="G86" s="39"/>
      <c r="H86" s="27" t="str">
        <f>IFERROR(VLOOKUP($C86,烤漆色號編碼!$A:$D,4,FALSE)*表格2[[#This Row],[出]]+表格2[[#This Row],[散粉]],"-")</f>
        <v>-</v>
      </c>
      <c r="I86" s="35"/>
      <c r="J86" s="30"/>
      <c r="K86" s="36"/>
      <c r="L86" s="37"/>
      <c r="M86" s="38"/>
      <c r="N86" s="34"/>
      <c r="O86" s="34"/>
    </row>
    <row r="87" spans="1:15" x14ac:dyDescent="0.15">
      <c r="A87" s="125"/>
      <c r="B87" s="122"/>
      <c r="C87" s="34"/>
      <c r="D87" s="34" t="str">
        <f>IFERROR(VLOOKUP($C87,烤漆色號編碼!$A:$C,2,FALSE),"-")</f>
        <v>-</v>
      </c>
      <c r="E87" s="34" t="str">
        <f>IFERROR(VLOOKUP($C87,當前庫存!$C:$I,5,FALSE),"-")</f>
        <v>-</v>
      </c>
      <c r="F87" s="39"/>
      <c r="G87" s="39"/>
      <c r="H87" s="27" t="str">
        <f>IFERROR(VLOOKUP($C87,烤漆色號編碼!$A:$D,4,FALSE)*表格2[[#This Row],[出]]+表格2[[#This Row],[散粉]],"-")</f>
        <v>-</v>
      </c>
      <c r="I87" s="35"/>
      <c r="J87" s="30"/>
      <c r="K87" s="36"/>
      <c r="L87" s="37"/>
      <c r="M87" s="38"/>
      <c r="N87" s="34"/>
      <c r="O87" s="34"/>
    </row>
    <row r="88" spans="1:15" x14ac:dyDescent="0.15">
      <c r="A88" s="125"/>
      <c r="B88" s="122"/>
      <c r="C88" s="34"/>
      <c r="D88" s="34" t="str">
        <f>IFERROR(VLOOKUP($C88,烤漆色號編碼!$A:$C,2,FALSE),"-")</f>
        <v>-</v>
      </c>
      <c r="E88" s="34" t="str">
        <f>IFERROR(VLOOKUP($C88,當前庫存!$C:$I,5,FALSE),"-")</f>
        <v>-</v>
      </c>
      <c r="F88" s="39"/>
      <c r="G88" s="39"/>
      <c r="H88" s="27" t="str">
        <f>IFERROR(VLOOKUP($C88,烤漆色號編碼!$A:$D,4,FALSE)*表格2[[#This Row],[出]]+表格2[[#This Row],[散粉]],"-")</f>
        <v>-</v>
      </c>
      <c r="I88" s="35"/>
      <c r="J88" s="30"/>
      <c r="K88" s="36"/>
      <c r="L88" s="37"/>
      <c r="M88" s="38"/>
      <c r="N88" s="34"/>
      <c r="O88" s="34"/>
    </row>
    <row r="89" spans="1:15" x14ac:dyDescent="0.15">
      <c r="A89" s="125"/>
      <c r="B89" s="122"/>
      <c r="C89" s="34"/>
      <c r="D89" s="34" t="str">
        <f>IFERROR(VLOOKUP($C89,烤漆色號編碼!$A:$C,2,FALSE),"-")</f>
        <v>-</v>
      </c>
      <c r="E89" s="34" t="str">
        <f>IFERROR(VLOOKUP($C89,當前庫存!$C:$I,5,FALSE),"-")</f>
        <v>-</v>
      </c>
      <c r="F89" s="39"/>
      <c r="G89" s="39"/>
      <c r="H89" s="27" t="str">
        <f>IFERROR(VLOOKUP($C89,烤漆色號編碼!$A:$D,4,FALSE)*表格2[[#This Row],[出]]+表格2[[#This Row],[散粉]],"-")</f>
        <v>-</v>
      </c>
      <c r="I89" s="35"/>
      <c r="J89" s="30"/>
      <c r="K89" s="36"/>
      <c r="L89" s="37"/>
      <c r="M89" s="38"/>
      <c r="N89" s="34"/>
      <c r="O89" s="34"/>
    </row>
    <row r="90" spans="1:15" x14ac:dyDescent="0.15">
      <c r="A90" s="125"/>
      <c r="B90" s="122"/>
      <c r="C90" s="34"/>
      <c r="D90" s="34" t="str">
        <f>IFERROR(VLOOKUP($C90,烤漆色號編碼!$A:$C,2,FALSE),"-")</f>
        <v>-</v>
      </c>
      <c r="E90" s="34" t="str">
        <f>IFERROR(VLOOKUP($C90,當前庫存!$C:$I,5,FALSE),"-")</f>
        <v>-</v>
      </c>
      <c r="F90" s="39"/>
      <c r="G90" s="39"/>
      <c r="H90" s="27" t="str">
        <f>IFERROR(VLOOKUP($C90,烤漆色號編碼!$A:$D,4,FALSE)*表格2[[#This Row],[出]]+表格2[[#This Row],[散粉]],"-")</f>
        <v>-</v>
      </c>
      <c r="I90" s="35"/>
      <c r="J90" s="30"/>
      <c r="K90" s="36"/>
      <c r="L90" s="37"/>
      <c r="M90" s="38"/>
      <c r="N90" s="34"/>
      <c r="O90" s="34"/>
    </row>
    <row r="91" spans="1:15" x14ac:dyDescent="0.15">
      <c r="A91" s="125"/>
      <c r="B91" s="122"/>
      <c r="C91" s="34"/>
      <c r="D91" s="34" t="str">
        <f>IFERROR(VLOOKUP($C91,烤漆色號編碼!$A:$C,2,FALSE),"-")</f>
        <v>-</v>
      </c>
      <c r="E91" s="34" t="str">
        <f>IFERROR(VLOOKUP($C91,當前庫存!$C:$I,5,FALSE),"-")</f>
        <v>-</v>
      </c>
      <c r="F91" s="39"/>
      <c r="G91" s="39"/>
      <c r="H91" s="27" t="str">
        <f>IFERROR(VLOOKUP($C91,烤漆色號編碼!$A:$D,4,FALSE)*表格2[[#This Row],[出]]+表格2[[#This Row],[散粉]],"-")</f>
        <v>-</v>
      </c>
      <c r="I91" s="35"/>
      <c r="J91" s="30"/>
      <c r="K91" s="36"/>
      <c r="L91" s="37"/>
      <c r="M91" s="38"/>
      <c r="N91" s="34"/>
      <c r="O91" s="34"/>
    </row>
    <row r="92" spans="1:15" x14ac:dyDescent="0.15">
      <c r="A92" s="125"/>
      <c r="B92" s="122"/>
      <c r="C92" s="34"/>
      <c r="D92" s="34" t="str">
        <f>IFERROR(VLOOKUP($C92,烤漆色號編碼!$A:$C,2,FALSE),"-")</f>
        <v>-</v>
      </c>
      <c r="E92" s="34" t="str">
        <f>IFERROR(VLOOKUP($C92,當前庫存!$C:$I,5,FALSE),"-")</f>
        <v>-</v>
      </c>
      <c r="F92" s="39"/>
      <c r="G92" s="39"/>
      <c r="H92" s="27" t="str">
        <f>IFERROR(VLOOKUP($C92,烤漆色號編碼!$A:$D,4,FALSE)*表格2[[#This Row],[出]]+表格2[[#This Row],[散粉]],"-")</f>
        <v>-</v>
      </c>
      <c r="I92" s="35"/>
      <c r="J92" s="30"/>
      <c r="K92" s="36"/>
      <c r="L92" s="37"/>
      <c r="M92" s="38"/>
      <c r="N92" s="34"/>
      <c r="O92" s="34"/>
    </row>
    <row r="93" spans="1:15" x14ac:dyDescent="0.15">
      <c r="A93" s="125"/>
      <c r="B93" s="122"/>
      <c r="C93" s="34"/>
      <c r="D93" s="34" t="str">
        <f>IFERROR(VLOOKUP($C93,烤漆色號編碼!$A:$C,2,FALSE),"-")</f>
        <v>-</v>
      </c>
      <c r="E93" s="34" t="str">
        <f>IFERROR(VLOOKUP($C93,當前庫存!$C:$I,5,FALSE),"-")</f>
        <v>-</v>
      </c>
      <c r="F93" s="39"/>
      <c r="G93" s="39"/>
      <c r="H93" s="27" t="str">
        <f>IFERROR(VLOOKUP($C93,烤漆色號編碼!$A:$D,4,FALSE)*表格2[[#This Row],[出]]+表格2[[#This Row],[散粉]],"-")</f>
        <v>-</v>
      </c>
      <c r="I93" s="35"/>
      <c r="J93" s="30"/>
      <c r="K93" s="36"/>
      <c r="L93" s="37"/>
      <c r="M93" s="38"/>
      <c r="N93" s="34"/>
      <c r="O93" s="34"/>
    </row>
    <row r="94" spans="1:15" x14ac:dyDescent="0.15">
      <c r="A94" s="125"/>
      <c r="B94" s="122"/>
      <c r="C94" s="34"/>
      <c r="D94" s="34" t="str">
        <f>IFERROR(VLOOKUP($C94,烤漆色號編碼!$A:$C,2,FALSE),"-")</f>
        <v>-</v>
      </c>
      <c r="E94" s="34" t="str">
        <f>IFERROR(VLOOKUP($C94,當前庫存!$C:$I,5,FALSE),"-")</f>
        <v>-</v>
      </c>
      <c r="F94" s="39"/>
      <c r="G94" s="39"/>
      <c r="H94" s="27" t="str">
        <f>IFERROR(VLOOKUP($C94,烤漆色號編碼!$A:$D,4,FALSE)*表格2[[#This Row],[出]]+表格2[[#This Row],[散粉]],"-")</f>
        <v>-</v>
      </c>
      <c r="I94" s="35"/>
      <c r="J94" s="30"/>
      <c r="K94" s="36"/>
      <c r="L94" s="37"/>
      <c r="M94" s="38"/>
      <c r="N94" s="34"/>
      <c r="O94" s="34"/>
    </row>
    <row r="95" spans="1:15" x14ac:dyDescent="0.15">
      <c r="A95" s="125"/>
      <c r="B95" s="122"/>
      <c r="C95" s="34"/>
      <c r="D95" s="34" t="str">
        <f>IFERROR(VLOOKUP($C95,烤漆色號編碼!$A:$C,2,FALSE),"-")</f>
        <v>-</v>
      </c>
      <c r="E95" s="34" t="str">
        <f>IFERROR(VLOOKUP($C95,當前庫存!$C:$I,5,FALSE),"-")</f>
        <v>-</v>
      </c>
      <c r="F95" s="39"/>
      <c r="G95" s="39"/>
      <c r="H95" s="27" t="str">
        <f>IFERROR(VLOOKUP($C95,烤漆色號編碼!$A:$D,4,FALSE)*表格2[[#This Row],[出]]+表格2[[#This Row],[散粉]],"-")</f>
        <v>-</v>
      </c>
      <c r="I95" s="35"/>
      <c r="J95" s="30"/>
      <c r="K95" s="36"/>
      <c r="L95" s="37"/>
      <c r="M95" s="38"/>
      <c r="N95" s="34"/>
      <c r="O95" s="34"/>
    </row>
    <row r="96" spans="1:15" x14ac:dyDescent="0.15">
      <c r="A96" s="125"/>
      <c r="B96" s="122"/>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c r="K96" s="36"/>
      <c r="L96" s="37"/>
      <c r="M96" s="38"/>
      <c r="N96" s="34"/>
      <c r="O96" s="34"/>
    </row>
    <row r="97" spans="1:15" x14ac:dyDescent="0.15">
      <c r="A97" s="125"/>
      <c r="B97" s="122"/>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c r="K97" s="36"/>
      <c r="L97" s="37"/>
      <c r="M97" s="38"/>
      <c r="N97" s="34"/>
      <c r="O97" s="34"/>
    </row>
    <row r="98" spans="1:15" x14ac:dyDescent="0.15">
      <c r="A98" s="125"/>
      <c r="B98" s="122"/>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c r="K98" s="36"/>
      <c r="L98" s="37"/>
      <c r="M98" s="38"/>
      <c r="N98" s="34"/>
      <c r="O98" s="34"/>
    </row>
    <row r="99" spans="1:15" x14ac:dyDescent="0.15">
      <c r="A99" s="125"/>
      <c r="B99" s="122"/>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c r="K99" s="36"/>
      <c r="L99" s="37"/>
      <c r="M99" s="38"/>
      <c r="N99" s="34"/>
      <c r="O99" s="34"/>
    </row>
    <row r="100" spans="1:15" x14ac:dyDescent="0.15">
      <c r="A100" s="125"/>
      <c r="B100" s="122"/>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c r="K100" s="36"/>
      <c r="L100" s="37"/>
      <c r="M100" s="38"/>
      <c r="N100" s="34"/>
      <c r="O100" s="34"/>
    </row>
    <row r="101" spans="1:15" x14ac:dyDescent="0.15">
      <c r="A101" s="125"/>
      <c r="B101" s="122"/>
      <c r="C101" s="34"/>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c r="K101" s="36"/>
      <c r="L101" s="37"/>
      <c r="M101" s="38"/>
      <c r="N101" s="34"/>
      <c r="O101" s="34"/>
    </row>
    <row r="102" spans="1:15" x14ac:dyDescent="0.15">
      <c r="A102" s="125"/>
      <c r="B102" s="122"/>
      <c r="C102" s="34"/>
      <c r="D102" s="34" t="str">
        <f>IFERROR(VLOOKUP($C102,烤漆色號編碼!$A:$C,2,FALSE),"-")</f>
        <v>-</v>
      </c>
      <c r="E102" s="34" t="str">
        <f>IFERROR(VLOOKUP($C102,當前庫存!$C:$I,5,FALSE),"-")</f>
        <v>-</v>
      </c>
      <c r="F102" s="39"/>
      <c r="G102" s="39"/>
      <c r="H102" s="27" t="str">
        <f>IFERROR(VLOOKUP($C102,烤漆色號編碼!$A:$D,4,FALSE)*表格2[[#This Row],[出]]+表格2[[#This Row],[散粉]],"-")</f>
        <v>-</v>
      </c>
      <c r="I102" s="35"/>
      <c r="J102" s="30"/>
      <c r="K102" s="36"/>
      <c r="L102" s="37"/>
      <c r="M102" s="38"/>
      <c r="N102" s="34"/>
      <c r="O102" s="34"/>
    </row>
    <row r="103" spans="1:15" x14ac:dyDescent="0.15">
      <c r="A103" s="125"/>
      <c r="B103" s="122"/>
      <c r="C103" s="34"/>
      <c r="D103" s="34" t="str">
        <f>IFERROR(VLOOKUP($C103,烤漆色號編碼!$A:$C,2,FALSE),"-")</f>
        <v>-</v>
      </c>
      <c r="E103" s="34" t="str">
        <f>IFERROR(VLOOKUP($C103,當前庫存!$C:$I,5,FALSE),"-")</f>
        <v>-</v>
      </c>
      <c r="F103" s="39"/>
      <c r="G103" s="39"/>
      <c r="H103" s="27" t="str">
        <f>IFERROR(VLOOKUP($C103,烤漆色號編碼!$A:$D,4,FALSE)*表格2[[#This Row],[出]]+表格2[[#This Row],[散粉]],"-")</f>
        <v>-</v>
      </c>
      <c r="I103" s="35"/>
      <c r="J103" s="30"/>
      <c r="K103" s="36"/>
      <c r="L103" s="37"/>
      <c r="M103" s="38"/>
      <c r="N103" s="34"/>
      <c r="O103" s="34"/>
    </row>
    <row r="104" spans="1:15" x14ac:dyDescent="0.15">
      <c r="A104" s="125"/>
      <c r="B104" s="122"/>
      <c r="C104" s="34"/>
      <c r="D104" s="34" t="str">
        <f>IFERROR(VLOOKUP($C104,烤漆色號編碼!$A:$C,2,FALSE),"-")</f>
        <v>-</v>
      </c>
      <c r="E104" s="34" t="str">
        <f>IFERROR(VLOOKUP($C104,當前庫存!$C:$I,5,FALSE),"-")</f>
        <v>-</v>
      </c>
      <c r="F104" s="39"/>
      <c r="G104" s="39"/>
      <c r="H104" s="27" t="str">
        <f>IFERROR(VLOOKUP($C104,烤漆色號編碼!$A:$D,4,FALSE)*表格2[[#This Row],[出]]+表格2[[#This Row],[散粉]],"-")</f>
        <v>-</v>
      </c>
      <c r="I104" s="35"/>
      <c r="J104" s="30" t="str">
        <f>IFERROR(表格2[[#This Row],[重量(Kg)]]-表格2[[#This Row],[回庫]],"-")</f>
        <v>-</v>
      </c>
      <c r="K104" s="36"/>
      <c r="L104" s="37"/>
      <c r="M104" s="38"/>
      <c r="N104" s="34"/>
      <c r="O104" s="34"/>
    </row>
  </sheetData>
  <phoneticPr fontId="33" type="noConversion"/>
  <conditionalFormatting sqref="C1:C1048576">
    <cfRule type="containsText" dxfId="29" priority="1" operator="containsText" text="樣粉">
      <formula>NOT(ISERROR(SEARCH("樣粉",C1)))</formula>
    </cfRule>
    <cfRule type="containsText" dxfId="28" priority="2" operator="containsText" text="無烤漆">
      <formula>NOT(ISERROR(SEARCH("無烤漆",C1)))</formula>
    </cfRule>
    <cfRule type="containsText" dxfId="27" priority="3" operator="containsText" text="颱風">
      <formula>NOT(ISERROR(SEARCH("颱風",C1)))</formula>
    </cfRule>
    <cfRule type="containsText" dxfId="26" priority="4" operator="containsText" text="例">
      <formula>NOT(ISERROR(SEARCH("例",C1)))</formula>
    </cfRule>
    <cfRule type="containsText" dxfId="25" priority="5" operator="containsText" text="國定">
      <formula>NOT(ISERROR(SEARCH("國定",C1)))</formula>
    </cfRule>
    <cfRule type="containsText" dxfId="24" priority="6" operator="containsText" text="年假">
      <formula>NOT(ISERROR(SEARCH("年假",C1)))</formula>
    </cfRule>
    <cfRule type="containsText" dxfId="23" priority="7" operator="containsText" text="例假日">
      <formula>NOT(ISERROR(SEARCH("例假日",C1)))</formula>
    </cfRule>
    <cfRule type="containsText" dxfId="22" priority="8" operator="containsText" text="颱風假">
      <formula>NOT(ISERROR(SEARCH("颱風假",C1)))</formula>
    </cfRule>
    <cfRule type="containsText" dxfId="21" priority="9" operator="containsText" text="無烤漆">
      <formula>NOT(ISERROR(SEARCH("無烤漆",C1)))</formula>
    </cfRule>
    <cfRule type="containsText" dxfId="20" priority="11" operator="containsText" text="國定假日">
      <formula>NOT(ISERROR(SEARCH("國定假日",C1)))</formula>
    </cfRule>
  </conditionalFormatting>
  <conditionalFormatting sqref="E2:E1048576">
    <cfRule type="cellIs" dxfId="19" priority="13" operator="equal">
      <formula>0</formula>
    </cfRule>
  </conditionalFormatting>
  <conditionalFormatting sqref="M3:M104">
    <cfRule type="containsText" dxfId="18" priority="12" operator="containsText" text="不">
      <formula>NOT(ISERROR(SEARCH("不",M3)))</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showInputMessage="1" sqref="L1:L1048576" xr:uid="{00000000-0002-0000-0000-000002000000}"/>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C105:C1048576</xm:sqref>
        </x14:dataValidation>
        <x14:dataValidation type="list" allowBlank="1" showInputMessage="1" showErrorMessage="1" xr:uid="{E62D93A0-D236-4D6F-8222-051864185B9A}">
          <x14:formula1>
            <xm:f>烤漆色號編碼!$A:$A</xm:f>
          </x14:formula1>
          <xm:sqref>C3:C104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D1" zoomScale="92" workbookViewId="0">
      <selection activeCell="H2" sqref="H2"/>
    </sheetView>
  </sheetViews>
  <sheetFormatPr defaultColWidth="10.05078125" defaultRowHeight="13.5" x14ac:dyDescent="0.15"/>
  <cols>
    <col min="1" max="1" width="2.203125" style="40" customWidth="1"/>
    <col min="2" max="2" width="3.4296875" style="41" bestFit="1" customWidth="1"/>
    <col min="3" max="3" width="10.05078125" style="42" customWidth="1"/>
    <col min="4" max="4" width="11.03125" style="43" customWidth="1"/>
    <col min="5" max="5" width="8.3359375" style="42" bestFit="1" customWidth="1"/>
    <col min="6" max="6" width="9.9296875" style="42" customWidth="1"/>
    <col min="7" max="7" width="14.953125" style="42" customWidth="1"/>
    <col min="8" max="8" width="17.40625" style="42" bestFit="1" customWidth="1"/>
    <col min="9" max="10" width="10.05078125" style="42" customWidth="1"/>
    <col min="11" max="11" width="10.05078125" style="42" hidden="1" customWidth="1"/>
    <col min="12" max="12" width="7.72265625" style="42" hidden="1" customWidth="1"/>
    <col min="13" max="13" width="5.1484375" style="42" hidden="1" customWidth="1"/>
    <col min="14" max="16384" width="10.05078125" style="44"/>
  </cols>
  <sheetData>
    <row r="1" spans="1:13" s="45" customFormat="1" ht="8.85" customHeight="1" x14ac:dyDescent="0.15">
      <c r="A1" s="46"/>
      <c r="B1" s="47"/>
      <c r="C1" s="47"/>
      <c r="D1" s="48"/>
      <c r="E1" s="47"/>
      <c r="F1" s="47"/>
      <c r="G1" s="47"/>
      <c r="H1" s="47"/>
      <c r="I1" s="47"/>
      <c r="J1" s="46"/>
      <c r="K1" s="46"/>
      <c r="L1" s="49"/>
      <c r="M1" s="46"/>
    </row>
    <row r="2" spans="1:13" s="50" customFormat="1" ht="18" x14ac:dyDescent="0.15">
      <c r="A2" s="46"/>
      <c r="B2" s="51"/>
      <c r="C2" s="52" t="s">
        <v>40</v>
      </c>
      <c r="D2" s="53" t="s">
        <v>41</v>
      </c>
      <c r="E2" s="52" t="s">
        <v>42</v>
      </c>
      <c r="F2" s="52" t="s">
        <v>43</v>
      </c>
      <c r="G2" s="21">
        <f ca="1">TODAY()</f>
        <v>46300</v>
      </c>
      <c r="H2" s="54" t="e">
        <f>TEXT(WEEKDAY(每日用粉紀錄表!#REF!,1),"aaaa")</f>
        <v>#REF!</v>
      </c>
      <c r="I2" s="55"/>
      <c r="J2" s="55"/>
      <c r="K2" s="56"/>
      <c r="L2" s="57"/>
      <c r="M2" s="56"/>
    </row>
    <row r="3" spans="1:13" s="58" customFormat="1" x14ac:dyDescent="0.15">
      <c r="A3" s="59"/>
      <c r="B3" s="60" t="s">
        <v>44</v>
      </c>
      <c r="C3" s="60" t="s">
        <v>11</v>
      </c>
      <c r="D3" s="60" t="s">
        <v>45</v>
      </c>
      <c r="E3" s="60" t="s">
        <v>12</v>
      </c>
      <c r="F3" s="60" t="s">
        <v>46</v>
      </c>
      <c r="G3" s="60" t="s">
        <v>41</v>
      </c>
      <c r="H3" s="60" t="s">
        <v>47</v>
      </c>
      <c r="I3" s="60" t="s">
        <v>48</v>
      </c>
      <c r="J3" s="60" t="s">
        <v>49</v>
      </c>
      <c r="K3" s="57"/>
      <c r="L3" s="57"/>
      <c r="M3" s="57"/>
    </row>
    <row r="4" spans="1:13" x14ac:dyDescent="0.15">
      <c r="A4" s="61"/>
      <c r="B4" s="62">
        <v>1</v>
      </c>
      <c r="C4" s="63" t="str">
        <f>IF(烤漆色號編碼!A2="","-",烤漆色號編碼!A2)</f>
        <v>DP-11485</v>
      </c>
      <c r="D4" s="64" t="str">
        <f>IF(烤漆色號編碼!C2="","-",烤漆色號編碼!C2)</f>
        <v>白亮光</v>
      </c>
      <c r="E4" s="63" t="str">
        <f>IF(烤漆色號編碼!B2="","-",烤漆色號編碼!B2)</f>
        <v>WE</v>
      </c>
      <c r="F4" s="126">
        <f>SUMIFS(期初庫存!G:G,期初庫存!C:C,C4)+SUMIFS(採購入庫!H:H,採購入庫!D:D,C4)-SUMIFS(每日用粉紀錄表!G:G,每日用粉紀錄表!C:C,C4)+SUMIFS(每日用粉紀錄表!I:I,每日用粉紀錄表!C:C,C4)</f>
        <v>0</v>
      </c>
      <c r="G4" s="126">
        <f>SUMIFS(期初庫存!F:F,期初庫存!C:C,C4)+SUMIFS(採購入庫!G:G,採購入庫!D:D,C4)-SUMIFS(每日用粉紀錄表!F:F,每日用粉紀錄表!C:C,C4)</f>
        <v>10</v>
      </c>
      <c r="H4" s="63">
        <v>8</v>
      </c>
      <c r="I4" s="65" t="str">
        <f>IF(H4&gt;G4,"採購","否")</f>
        <v>否</v>
      </c>
      <c r="J4" s="63">
        <f>IFERROR($G4*25+$F4,"-")</f>
        <v>250</v>
      </c>
      <c r="K4" s="56"/>
      <c r="L4" s="57"/>
      <c r="M4" s="56"/>
    </row>
    <row r="5" spans="1:13" x14ac:dyDescent="0.15">
      <c r="A5" s="61"/>
      <c r="B5" s="62">
        <v>2</v>
      </c>
      <c r="C5" s="63" t="str">
        <f>IF(烤漆色號編碼!A3="","-",烤漆色號編碼!A3)</f>
        <v>DP-1856</v>
      </c>
      <c r="D5" s="64" t="str">
        <f>IF(烤漆色號編碼!C3="","-",烤漆色號編碼!C3)</f>
        <v>灰白</v>
      </c>
      <c r="E5" s="63" t="str">
        <f>IF(烤漆色號編碼!B3="","-",烤漆色號編碼!B3)</f>
        <v>WE1</v>
      </c>
      <c r="F5" s="126">
        <f>SUMIFS(期初庫存!G:G,期初庫存!C:C,C5)+SUMIFS(採購入庫!H:H,採購入庫!D:D,C5)-SUMIFS(每日用粉紀錄表!G:G,每日用粉紀錄表!C:C,C5)+SUMIFS(每日用粉紀錄表!I:I,每日用粉紀錄表!C:C,C5)</f>
        <v>12</v>
      </c>
      <c r="G5" s="126">
        <f>SUMIFS(期初庫存!F:F,期初庫存!C:C,C5)+SUMIFS(採購入庫!G:G,採購入庫!D:D,C5)-SUMIFS(每日用粉紀錄表!F:F,每日用粉紀錄表!C:C,C5)</f>
        <v>1</v>
      </c>
      <c r="H5" s="63">
        <v>1</v>
      </c>
      <c r="I5" s="65" t="str">
        <f>IF(H5&gt;G5,"採購","否")</f>
        <v>否</v>
      </c>
      <c r="J5" s="63">
        <f>IFERROR($G5*25+$F5,"-")</f>
        <v>37</v>
      </c>
      <c r="K5" s="56"/>
      <c r="L5" s="57"/>
      <c r="M5" s="56"/>
    </row>
    <row r="6" spans="1:13" x14ac:dyDescent="0.15">
      <c r="A6" s="61"/>
      <c r="B6" s="62">
        <v>3</v>
      </c>
      <c r="C6" s="63" t="str">
        <f>IF(烤漆色號編碼!A4="","-",烤漆色號編碼!A4)</f>
        <v>O-5905</v>
      </c>
      <c r="D6" s="64" t="str">
        <f>IF(烤漆色號編碼!C4="","-",烤漆色號編碼!C4)</f>
        <v>黃亮光</v>
      </c>
      <c r="E6" s="63" t="str">
        <f>IF(烤漆色號編碼!B4="","-",烤漆色號編碼!B4)</f>
        <v>YW</v>
      </c>
      <c r="F6" s="126">
        <f>SUMIFS(期初庫存!G:G,期初庫存!C:C,C6)+SUMIFS(採購入庫!H:H,採購入庫!D:D,C6)-SUMIFS(每日用粉紀錄表!G:G,每日用粉紀錄表!C:C,C6)+SUMIFS(每日用粉紀錄表!I:I,每日用粉紀錄表!C:C,C6)</f>
        <v>0</v>
      </c>
      <c r="G6" s="126">
        <f>SUMIFS(期初庫存!F:F,期初庫存!C:C,C6)+SUMIFS(採購入庫!G:G,採購入庫!D:D,C6)-SUMIFS(每日用粉紀錄表!F:F,每日用粉紀錄表!C:C,C6)</f>
        <v>0</v>
      </c>
      <c r="H6" s="63">
        <v>1</v>
      </c>
      <c r="I6" s="65" t="str">
        <f>IF(H6&gt;G6,"採購","否")</f>
        <v>採購</v>
      </c>
      <c r="J6" s="63">
        <f>IFERROR($G6*25+$F6,"-")</f>
        <v>0</v>
      </c>
      <c r="K6" s="56"/>
      <c r="L6" s="57"/>
      <c r="M6" s="56"/>
    </row>
    <row r="7" spans="1:13" customFormat="1" x14ac:dyDescent="0.15">
      <c r="A7" s="61"/>
      <c r="B7" s="62">
        <v>4</v>
      </c>
      <c r="C7" s="63" t="str">
        <f>IF(烤漆色號編碼!A5="","-",烤漆色號編碼!A5)</f>
        <v>New O-5905</v>
      </c>
      <c r="D7" s="64" t="str">
        <f>IF(烤漆色號編碼!C5="","-",烤漆色號編碼!C5)</f>
        <v>黃亮光</v>
      </c>
      <c r="E7" s="63" t="str">
        <f>IF(烤漆色號編碼!B5="","-",烤漆色號編碼!B5)</f>
        <v>YW</v>
      </c>
      <c r="F7" s="126">
        <f>SUMIFS(期初庫存!G:G,期初庫存!C:C,C7)+SUMIFS(採購入庫!H:H,採購入庫!D:D,C7)-SUMIFS(每日用粉紀錄表!G:G,每日用粉紀錄表!C:C,C7)+SUMIFS(每日用粉紀錄表!I:I,每日用粉紀錄表!C:C,C7)</f>
        <v>0</v>
      </c>
      <c r="G7" s="126">
        <f>SUMIFS(期初庫存!F:F,期初庫存!C:C,C7)+SUMIFS(採購入庫!G:G,採購入庫!D:D,C7)-SUMIFS(每日用粉紀錄表!F:F,每日用粉紀錄表!C:C,C7)</f>
        <v>2</v>
      </c>
      <c r="H7" s="63">
        <v>1</v>
      </c>
      <c r="I7" s="65" t="str">
        <f>IF(H7&gt;G7,"採購","否")</f>
        <v>否</v>
      </c>
      <c r="J7" s="63">
        <f>IFERROR($G7*25+$F7,"-")</f>
        <v>50</v>
      </c>
      <c r="K7" s="56"/>
      <c r="L7" s="57"/>
      <c r="M7" s="56"/>
    </row>
    <row r="8" spans="1:13" x14ac:dyDescent="0.15">
      <c r="A8" s="61"/>
      <c r="B8" s="62">
        <v>5</v>
      </c>
      <c r="C8" s="63" t="str">
        <f>IF(烤漆色號編碼!A6="","-",烤漆色號編碼!A6)</f>
        <v>790-41540H</v>
      </c>
      <c r="D8" s="64" t="str">
        <f>IF(烤漆色號編碼!C6="","-",烤漆色號編碼!C6)</f>
        <v>黃錘紋</v>
      </c>
      <c r="E8" s="63" t="str">
        <f>IF(烤漆色號編碼!B6="","-",烤漆色號編碼!B6)</f>
        <v>YWH</v>
      </c>
      <c r="F8" s="126">
        <f>SUMIFS(期初庫存!G:G,期初庫存!C:C,C8)+SUMIFS(採購入庫!H:H,採購入庫!D:D,C8)-SUMIFS(每日用粉紀錄表!G:G,每日用粉紀錄表!C:C,C8)+SUMIFS(每日用粉紀錄表!I:I,每日用粉紀錄表!C:C,C8)</f>
        <v>50</v>
      </c>
      <c r="G8" s="126">
        <f>SUMIFS(期初庫存!F:F,期初庫存!C:C,C8)+SUMIFS(採購入庫!G:G,採購入庫!D:D,C8)-SUMIFS(每日用粉紀錄表!F:F,每日用粉紀錄表!C:C,C8)</f>
        <v>0</v>
      </c>
      <c r="H8" s="63">
        <v>1</v>
      </c>
      <c r="I8" s="65" t="str">
        <f>IF(H8&gt;G8,"採購","否")</f>
        <v>採購</v>
      </c>
      <c r="J8" s="63">
        <f>IFERROR($G8*25+$F8,"-")</f>
        <v>50</v>
      </c>
      <c r="K8" s="56"/>
      <c r="L8" s="57"/>
      <c r="M8" s="56"/>
    </row>
    <row r="9" spans="1:13" x14ac:dyDescent="0.15">
      <c r="A9" s="61"/>
      <c r="B9" s="62">
        <v>6</v>
      </c>
      <c r="C9" s="63" t="str">
        <f>IF(烤漆色號編碼!A7="","-",烤漆色號編碼!A7)</f>
        <v>780-310AT</v>
      </c>
      <c r="D9" s="64" t="str">
        <f>IF(烤漆色號編碼!C7="","-",烤漆色號編碼!C7)</f>
        <v>紅色</v>
      </c>
      <c r="E9" s="63" t="str">
        <f>IF(烤漆色號編碼!B7="","-",烤漆色號編碼!B7)</f>
        <v>RD</v>
      </c>
      <c r="F9" s="126">
        <f>SUMIFS(期初庫存!G:G,期初庫存!C:C,C9)+SUMIFS(採購入庫!H:H,採購入庫!D:D,C9)-SUMIFS(每日用粉紀錄表!G:G,每日用粉紀錄表!C:C,C9)+SUMIFS(每日用粉紀錄表!I:I,每日用粉紀錄表!C:C,C9)</f>
        <v>0</v>
      </c>
      <c r="G9" s="126">
        <f>SUMIFS(期初庫存!F:F,期初庫存!C:C,C9)+SUMIFS(採購入庫!G:G,採購入庫!D:D,C9)-SUMIFS(每日用粉紀錄表!F:F,每日用粉紀錄表!C:C,C9)</f>
        <v>5</v>
      </c>
      <c r="H9" s="63">
        <v>1</v>
      </c>
      <c r="I9" s="65" t="str">
        <f>IF(H9&gt;G9,"採購","否")</f>
        <v>否</v>
      </c>
      <c r="J9" s="63">
        <f>IFERROR($G9*25+$F9,"-")</f>
        <v>125</v>
      </c>
      <c r="K9" s="56"/>
      <c r="L9" s="57"/>
      <c r="M9" s="56"/>
    </row>
    <row r="10" spans="1:13" x14ac:dyDescent="0.15">
      <c r="A10" s="61"/>
      <c r="B10" s="62">
        <v>7</v>
      </c>
      <c r="C10" s="63" t="str">
        <f>IF(烤漆色號編碼!A8="","-",烤漆色號編碼!A8)</f>
        <v>LT-90442</v>
      </c>
      <c r="D10" s="64" t="str">
        <f>IF(烤漆色號編碼!C8="","-",烤漆色號編碼!C8)</f>
        <v>藍色</v>
      </c>
      <c r="E10" s="63" t="str">
        <f>IF(烤漆色號編碼!B8="","-",烤漆色號編碼!B8)</f>
        <v>BE</v>
      </c>
      <c r="F10" s="126">
        <f>SUMIFS(期初庫存!G:G,期初庫存!C:C,C10)+SUMIFS(採購入庫!H:H,採購入庫!D:D,C10)-SUMIFS(每日用粉紀錄表!G:G,每日用粉紀錄表!C:C,C10)+SUMIFS(每日用粉紀錄表!I:I,每日用粉紀錄表!C:C,C10)</f>
        <v>14</v>
      </c>
      <c r="G10" s="126">
        <f>SUMIFS(期初庫存!F:F,期初庫存!C:C,C10)+SUMIFS(採購入庫!G:G,採購入庫!D:D,C10)-SUMIFS(每日用粉紀錄表!F:F,每日用粉紀錄表!C:C,C10)</f>
        <v>1</v>
      </c>
      <c r="H10" s="63">
        <v>1</v>
      </c>
      <c r="I10" s="65" t="str">
        <f>IF(H10&gt;G10,"採購","否")</f>
        <v>否</v>
      </c>
      <c r="J10" s="63">
        <f>IFERROR($G10*25+$F10,"-")</f>
        <v>39</v>
      </c>
      <c r="K10" s="56"/>
      <c r="L10" s="57"/>
      <c r="M10" s="56"/>
    </row>
    <row r="11" spans="1:13" x14ac:dyDescent="0.15">
      <c r="A11" s="61"/>
      <c r="B11" s="62">
        <v>8</v>
      </c>
      <c r="C11" s="63" t="str">
        <f>IF(烤漆色號編碼!A9="","-",烤漆色號編碼!A9)</f>
        <v>770-739</v>
      </c>
      <c r="D11" s="64" t="str">
        <f>IF(烤漆色號編碼!C9="","-",烤漆色號編碼!C9)</f>
        <v>豔藍-孔雀藍</v>
      </c>
      <c r="E11" s="63" t="str">
        <f>IF(烤漆色號編碼!B9="","-",烤漆色號編碼!B9)</f>
        <v>BEG</v>
      </c>
      <c r="F11" s="126">
        <f>SUMIFS(期初庫存!G:G,期初庫存!C:C,C11)+SUMIFS(採購入庫!H:H,採購入庫!D:D,C11)-SUMIFS(每日用粉紀錄表!G:G,每日用粉紀錄表!C:C,C11)+SUMIFS(每日用粉紀錄表!I:I,每日用粉紀錄表!C:C,C11)</f>
        <v>3</v>
      </c>
      <c r="G11" s="126">
        <f>SUMIFS(期初庫存!F:F,期初庫存!C:C,C11)+SUMIFS(採購入庫!G:G,採購入庫!D:D,C11)-SUMIFS(每日用粉紀錄表!F:F,每日用粉紀錄表!C:C,C11)</f>
        <v>1</v>
      </c>
      <c r="H11" s="63">
        <v>1</v>
      </c>
      <c r="I11" s="65" t="str">
        <f>IF(H11&gt;G11,"採購","否")</f>
        <v>否</v>
      </c>
      <c r="J11" s="63">
        <f>IFERROR($G11*25+$F11,"-")</f>
        <v>28</v>
      </c>
      <c r="K11" s="56"/>
      <c r="L11" s="57"/>
      <c r="M11" s="56"/>
    </row>
    <row r="12" spans="1:13" x14ac:dyDescent="0.15">
      <c r="A12" s="61"/>
      <c r="B12" s="62">
        <v>9</v>
      </c>
      <c r="C12" s="63" t="str">
        <f>IF(烤漆色號編碼!A10="","-",烤漆色號編碼!A10)</f>
        <v>4950-502</v>
      </c>
      <c r="D12" s="64" t="str">
        <f>IF(烤漆色號編碼!C10="","-",烤漆色號編碼!C10)</f>
        <v>黑平光</v>
      </c>
      <c r="E12" s="63" t="str">
        <f>IF(烤漆色號編碼!B10="","-",烤漆色號編碼!B10)</f>
        <v>BK</v>
      </c>
      <c r="F12" s="126">
        <f>SUMIFS(期初庫存!G:G,期初庫存!C:C,C12)+SUMIFS(採購入庫!H:H,採購入庫!D:D,C12)-SUMIFS(每日用粉紀錄表!G:G,每日用粉紀錄表!C:C,C12)+SUMIFS(每日用粉紀錄表!I:I,每日用粉紀錄表!C:C,C12)</f>
        <v>20</v>
      </c>
      <c r="G12" s="126">
        <f>SUMIFS(期初庫存!F:F,期初庫存!C:C,C12)+SUMIFS(採購入庫!G:G,採購入庫!D:D,C12)-SUMIFS(每日用粉紀錄表!F:F,每日用粉紀錄表!C:C,C12)</f>
        <v>1</v>
      </c>
      <c r="H12" s="63">
        <v>1</v>
      </c>
      <c r="I12" s="65" t="str">
        <f>IF(H12&gt;G12,"採購","否")</f>
        <v>否</v>
      </c>
      <c r="J12" s="63">
        <f>IFERROR($G12*25+$F12,"-")</f>
        <v>45</v>
      </c>
      <c r="K12" s="56"/>
      <c r="L12" s="57"/>
      <c r="M12" s="56"/>
    </row>
    <row r="13" spans="1:13" x14ac:dyDescent="0.15">
      <c r="A13" s="61"/>
      <c r="B13" s="62">
        <v>10</v>
      </c>
      <c r="C13" s="63" t="str">
        <f>IF(烤漆色號編碼!A11="","-",烤漆色號編碼!A11)</f>
        <v>EN-402T</v>
      </c>
      <c r="D13" s="64" t="str">
        <f>IF(烤漆色號編碼!C11="","-",烤漆色號編碼!C11)</f>
        <v>黑錘紋</v>
      </c>
      <c r="E13" s="63" t="str">
        <f>IF(烤漆色號編碼!B11="","-",烤漆色號編碼!B11)</f>
        <v>BKH</v>
      </c>
      <c r="F13" s="126">
        <f>SUMIFS(期初庫存!G:G,期初庫存!C:C,C13)+SUMIFS(採購入庫!H:H,採購入庫!D:D,C13)-SUMIFS(每日用粉紀錄表!G:G,每日用粉紀錄表!C:C,C13)+SUMIFS(每日用粉紀錄表!I:I,每日用粉紀錄表!C:C,C13)</f>
        <v>18</v>
      </c>
      <c r="G13" s="126">
        <f>SUMIFS(期初庫存!F:F,期初庫存!C:C,C13)+SUMIFS(採購入庫!G:G,採購入庫!D:D,C13)-SUMIFS(每日用粉紀錄表!F:F,每日用粉紀錄表!C:C,C13)</f>
        <v>1</v>
      </c>
      <c r="H13" s="66">
        <v>1</v>
      </c>
      <c r="I13" s="65" t="str">
        <f>IF(H13&gt;G13,"採購","否")</f>
        <v>否</v>
      </c>
      <c r="J13" s="63">
        <f>IFERROR($G13*25+$F13,"-")</f>
        <v>43</v>
      </c>
      <c r="K13" s="56"/>
      <c r="L13" s="57"/>
      <c r="M13" s="56"/>
    </row>
    <row r="14" spans="1:13" x14ac:dyDescent="0.15">
      <c r="A14" s="61"/>
      <c r="B14" s="62">
        <v>11</v>
      </c>
      <c r="C14" s="63" t="str">
        <f>IF(烤漆色號編碼!A12="","-",烤漆色號編碼!A12)</f>
        <v>K-91097G</v>
      </c>
      <c r="D14" s="64" t="str">
        <f>IF(烤漆色號編碼!C12="","-",烤漆色號編碼!C12)</f>
        <v>新黑砂</v>
      </c>
      <c r="E14" s="63" t="str">
        <f>IF(烤漆色號編碼!B12="","-",烤漆色號編碼!B12)</f>
        <v>BKS1</v>
      </c>
      <c r="F14" s="126">
        <f>SUMIFS(期初庫存!G:G,期初庫存!C:C,C14)+SUMIFS(採購入庫!H:H,採購入庫!D:D,C14)-SUMIFS(每日用粉紀錄表!G:G,每日用粉紀錄表!C:C,C14)+SUMIFS(每日用粉紀錄表!I:I,每日用粉紀錄表!C:C,C14)</f>
        <v>22</v>
      </c>
      <c r="G14" s="126">
        <f>SUMIFS(期初庫存!F:F,期初庫存!C:C,C14)+SUMIFS(採購入庫!G:G,採購入庫!D:D,C14)-SUMIFS(每日用粉紀錄表!F:F,每日用粉紀錄表!C:C,C14)</f>
        <v>22</v>
      </c>
      <c r="H14" s="66">
        <v>6</v>
      </c>
      <c r="I14" s="65" t="str">
        <f>IF(H14&gt;G14,"採購","否")</f>
        <v>否</v>
      </c>
      <c r="J14" s="63">
        <f>IFERROR($G14*25+$F14,"-")</f>
        <v>572</v>
      </c>
      <c r="K14" s="56"/>
      <c r="L14" s="57"/>
      <c r="M14" s="56"/>
    </row>
    <row r="15" spans="1:13" x14ac:dyDescent="0.15">
      <c r="A15" s="61"/>
      <c r="B15" s="62">
        <v>12</v>
      </c>
      <c r="C15" s="63" t="str">
        <f>IF(烤漆色號編碼!A13="","-",烤漆色號編碼!A13)</f>
        <v>780-45510H</v>
      </c>
      <c r="D15" s="64" t="str">
        <f>IF(烤漆色號編碼!C13="","-",烤漆色號編碼!C13)</f>
        <v>黑砂</v>
      </c>
      <c r="E15" s="63" t="str">
        <f>IF(烤漆色號編碼!B13="","-",烤漆色號編碼!B13)</f>
        <v>BKS</v>
      </c>
      <c r="F15" s="126">
        <f>SUMIFS(期初庫存!G:G,期初庫存!C:C,C15)+SUMIFS(採購入庫!H:H,採購入庫!D:D,C15)-SUMIFS(每日用粉紀錄表!G:G,每日用粉紀錄表!C:C,C15)+SUMIFS(每日用粉紀錄表!I:I,每日用粉紀錄表!C:C,C15)</f>
        <v>0</v>
      </c>
      <c r="G15" s="126">
        <f>SUMIFS(期初庫存!F:F,期初庫存!C:C,C15)+SUMIFS(採購入庫!G:G,採購入庫!D:D,C15)-SUMIFS(每日用粉紀錄表!F:F,每日用粉紀錄表!C:C,C15)</f>
        <v>0</v>
      </c>
      <c r="H15" s="66"/>
      <c r="I15" s="65" t="str">
        <f>IF(H15&gt;G15,"採購","否")</f>
        <v>否</v>
      </c>
      <c r="J15" s="63">
        <f>IFERROR($G15*25+$F15,"-")</f>
        <v>0</v>
      </c>
      <c r="K15" s="56"/>
      <c r="L15" s="57"/>
      <c r="M15" s="56"/>
    </row>
    <row r="16" spans="1:13" x14ac:dyDescent="0.15">
      <c r="A16" s="61"/>
      <c r="B16" s="62">
        <v>13</v>
      </c>
      <c r="C16" s="63" t="str">
        <f>IF(烤漆色號編碼!A14="","-",烤漆色號編碼!A14)</f>
        <v>4605-505</v>
      </c>
      <c r="D16" s="64" t="str">
        <f>IF(烤漆色號編碼!C14="","-",烤漆色號編碼!C14)</f>
        <v>消光黑</v>
      </c>
      <c r="E16" s="63" t="str">
        <f>IF(烤漆色號編碼!B14="","-",烤漆色號編碼!B14)</f>
        <v>EBK</v>
      </c>
      <c r="F16" s="126">
        <f>SUMIFS(期初庫存!G:G,期初庫存!C:C,C16)+SUMIFS(採購入庫!H:H,採購入庫!D:D,C16)-SUMIFS(每日用粉紀錄表!G:G,每日用粉紀錄表!C:C,C16)+SUMIFS(每日用粉紀錄表!I:I,每日用粉紀錄表!C:C,C16)</f>
        <v>11</v>
      </c>
      <c r="G16" s="126">
        <f>SUMIFS(期初庫存!F:F,期初庫存!C:C,C16)+SUMIFS(採購入庫!G:G,採購入庫!D:D,C16)-SUMIFS(每日用粉紀錄表!F:F,每日用粉紀錄表!C:C,C16)</f>
        <v>3</v>
      </c>
      <c r="H16" s="66">
        <v>1</v>
      </c>
      <c r="I16" s="65" t="str">
        <f>IF(H16&gt;G16,"採購","否")</f>
        <v>否</v>
      </c>
      <c r="J16" s="63">
        <f>IFERROR($G16*25+$F16,"-")</f>
        <v>86</v>
      </c>
      <c r="K16" s="56"/>
      <c r="L16" s="57"/>
      <c r="M16" s="56"/>
    </row>
    <row r="17" spans="1:13" x14ac:dyDescent="0.15">
      <c r="A17" s="61"/>
      <c r="B17" s="62">
        <v>14</v>
      </c>
      <c r="C17" s="63" t="str">
        <f>IF(烤漆色號編碼!A15="","-",烤漆色號編碼!A15)</f>
        <v>O-9850GSNB</v>
      </c>
      <c r="D17" s="64" t="str">
        <f>IF(烤漆色號編碼!C15="","-",烤漆色號編碼!C15)</f>
        <v>黑砂閃銀</v>
      </c>
      <c r="E17" s="63" t="str">
        <f>IF(烤漆色號編碼!B15="","-",烤漆色號編碼!B15)</f>
        <v>BKSA</v>
      </c>
      <c r="F17" s="126">
        <f>SUMIFS(期初庫存!G:G,期初庫存!C:C,C17)+SUMIFS(採購入庫!H:H,採購入庫!D:D,C17)-SUMIFS(每日用粉紀錄表!G:G,每日用粉紀錄表!C:C,C17)+SUMIFS(每日用粉紀錄表!I:I,每日用粉紀錄表!C:C,C17)</f>
        <v>65</v>
      </c>
      <c r="G17" s="126">
        <f>SUMIFS(期初庫存!F:F,期初庫存!C:C,C17)+SUMIFS(採購入庫!G:G,採購入庫!D:D,C17)-SUMIFS(每日用粉紀錄表!F:F,每日用粉紀錄表!C:C,C17)</f>
        <v>1</v>
      </c>
      <c r="H17" s="66">
        <v>1</v>
      </c>
      <c r="I17" s="65" t="str">
        <f>IF(H17&gt;G17,"採購","否")</f>
        <v>否</v>
      </c>
      <c r="J17" s="63">
        <f>IFERROR($G17*25+$F17,"-")</f>
        <v>90</v>
      </c>
      <c r="K17" s="56"/>
      <c r="L17" s="57"/>
      <c r="M17" s="56"/>
    </row>
    <row r="18" spans="1:13" x14ac:dyDescent="0.15">
      <c r="A18" s="61"/>
      <c r="B18" s="62">
        <v>15</v>
      </c>
      <c r="C18" s="63" t="str">
        <f>IF(烤漆色號編碼!A16="","-",烤漆色號編碼!A16)</f>
        <v>K-9287S</v>
      </c>
      <c r="D18" s="64" t="str">
        <f>IF(烤漆色號編碼!C16="","-",烤漆色號編碼!C16)</f>
        <v>黑閃銀</v>
      </c>
      <c r="E18" s="63" t="str">
        <f>IF(烤漆色號編碼!B16="","-",烤漆色號編碼!B16)</f>
        <v>BKSA1</v>
      </c>
      <c r="F18" s="126">
        <f>SUMIFS(期初庫存!G:G,期初庫存!C:C,C18)+SUMIFS(採購入庫!H:H,採購入庫!D:D,C18)-SUMIFS(每日用粉紀錄表!G:G,每日用粉紀錄表!C:C,C18)+SUMIFS(每日用粉紀錄表!I:I,每日用粉紀錄表!C:C,C18)</f>
        <v>28</v>
      </c>
      <c r="G18" s="126">
        <f>SUMIFS(期初庫存!F:F,期初庫存!C:C,C18)+SUMIFS(採購入庫!G:G,採購入庫!D:D,C18)-SUMIFS(每日用粉紀錄表!F:F,每日用粉紀錄表!C:C,C18)</f>
        <v>2</v>
      </c>
      <c r="H18" s="66">
        <v>1</v>
      </c>
      <c r="I18" s="65" t="str">
        <f>IF(H18&gt;G18,"採購","否")</f>
        <v>否</v>
      </c>
      <c r="J18" s="63">
        <f>IFERROR($G18*25+$F18,"-")</f>
        <v>78</v>
      </c>
      <c r="K18" s="56"/>
      <c r="L18" s="57"/>
      <c r="M18" s="56"/>
    </row>
    <row r="19" spans="1:13" x14ac:dyDescent="0.15">
      <c r="A19" s="61"/>
      <c r="B19" s="62">
        <v>16</v>
      </c>
      <c r="C19" s="63" t="str">
        <f>IF(烤漆色號編碼!A17="","-",烤漆色號編碼!A17)</f>
        <v>EL-0365T</v>
      </c>
      <c r="D19" s="64" t="str">
        <f>IF(烤漆色號編碼!C17="","-",烤漆色號編碼!C17)</f>
        <v>鐵灰砂</v>
      </c>
      <c r="E19" s="63" t="str">
        <f>IF(烤漆色號編碼!B17="","-",烤漆色號編碼!B17)</f>
        <v>IGS</v>
      </c>
      <c r="F19" s="126">
        <f>SUMIFS(期初庫存!G:G,期初庫存!C:C,C19)+SUMIFS(採購入庫!H:H,採購入庫!D:D,C19)-SUMIFS(每日用粉紀錄表!G:G,每日用粉紀錄表!C:C,C19)+SUMIFS(每日用粉紀錄表!I:I,每日用粉紀錄表!C:C,C19)</f>
        <v>23</v>
      </c>
      <c r="G19" s="126">
        <f>SUMIFS(期初庫存!F:F,期初庫存!C:C,C19)+SUMIFS(採購入庫!G:G,採購入庫!D:D,C19)-SUMIFS(每日用粉紀錄表!F:F,每日用粉紀錄表!C:C,C19)</f>
        <v>4</v>
      </c>
      <c r="H19" s="66">
        <v>6</v>
      </c>
      <c r="I19" s="65" t="str">
        <f>IF(H19&gt;G19,"採購","否")</f>
        <v>採購</v>
      </c>
      <c r="J19" s="63">
        <f>IFERROR($G19*25+$F19,"-")</f>
        <v>123</v>
      </c>
      <c r="K19" s="56"/>
      <c r="L19" s="57"/>
      <c r="M19" s="56"/>
    </row>
    <row r="20" spans="1:13" x14ac:dyDescent="0.15">
      <c r="A20" s="61"/>
      <c r="B20" s="62">
        <v>17</v>
      </c>
      <c r="C20" s="63" t="str">
        <f>IF(烤漆色號編碼!A18="","-",烤漆色號編碼!A18)</f>
        <v>O-22170G</v>
      </c>
      <c r="D20" s="64" t="str">
        <f>IF(烤漆色號編碼!C18="","-",烤漆色號編碼!C18)</f>
        <v>深灰砂</v>
      </c>
      <c r="E20" s="63" t="str">
        <f>IF(烤漆色號編碼!B18="","-",烤漆色號編碼!B18)</f>
        <v>DGS</v>
      </c>
      <c r="F20" s="126">
        <f>SUMIFS(期初庫存!G:G,期初庫存!C:C,C20)+SUMIFS(採購入庫!H:H,採購入庫!D:D,C20)-SUMIFS(每日用粉紀錄表!G:G,每日用粉紀錄表!C:C,C20)+SUMIFS(每日用粉紀錄表!I:I,每日用粉紀錄表!C:C,C20)</f>
        <v>4</v>
      </c>
      <c r="G20" s="126">
        <f>SUMIFS(期初庫存!F:F,期初庫存!C:C,C20)+SUMIFS(採購入庫!G:G,採購入庫!D:D,C20)-SUMIFS(每日用粉紀錄表!F:F,每日用粉紀錄表!C:C,C20)</f>
        <v>6</v>
      </c>
      <c r="H20" s="66">
        <v>6</v>
      </c>
      <c r="I20" s="65" t="str">
        <f>IF(H20&gt;G20,"採購","否")</f>
        <v>否</v>
      </c>
      <c r="J20" s="63">
        <f>IFERROR($G20*25+$F20,"-")</f>
        <v>154</v>
      </c>
      <c r="K20" s="56"/>
      <c r="L20" s="57"/>
      <c r="M20" s="56"/>
    </row>
    <row r="21" spans="1:13" x14ac:dyDescent="0.15">
      <c r="A21" s="61"/>
      <c r="B21" s="62">
        <v>18</v>
      </c>
      <c r="C21" s="63" t="str">
        <f>IF(烤漆色號編碼!A19="","-",烤漆色號編碼!A19)</f>
        <v>O-200SB</v>
      </c>
      <c r="D21" s="64" t="str">
        <f>IF(烤漆色號編碼!C19="","-",烤漆色號編碼!C19)</f>
        <v>閃銀</v>
      </c>
      <c r="E21" s="63" t="str">
        <f>IF(烤漆色號編碼!B19="","-",烤漆色號編碼!B19)</f>
        <v>SAT</v>
      </c>
      <c r="F21" s="126">
        <f>SUMIFS(期初庫存!G:G,期初庫存!C:C,C21)+SUMIFS(採購入庫!H:H,採購入庫!D:D,C21)-SUMIFS(每日用粉紀錄表!G:G,每日用粉紀錄表!C:C,C21)+SUMIFS(每日用粉紀錄表!I:I,每日用粉紀錄表!C:C,C21)</f>
        <v>0</v>
      </c>
      <c r="G21" s="126">
        <f>SUMIFS(期初庫存!F:F,期初庫存!C:C,C21)+SUMIFS(採購入庫!G:G,採購入庫!D:D,C21)-SUMIFS(每日用粉紀錄表!F:F,每日用粉紀錄表!C:C,C21)</f>
        <v>0</v>
      </c>
      <c r="H21" s="66"/>
      <c r="I21" s="65" t="str">
        <f>IF(H21&gt;G21,"採購","否")</f>
        <v>否</v>
      </c>
      <c r="J21" s="63">
        <f>IFERROR($G21*25+$F21,"-")</f>
        <v>0</v>
      </c>
      <c r="K21" s="56"/>
      <c r="L21" s="57"/>
      <c r="M21" s="56"/>
    </row>
    <row r="22" spans="1:13" x14ac:dyDescent="0.15">
      <c r="A22" s="61"/>
      <c r="B22" s="62">
        <v>19</v>
      </c>
      <c r="C22" s="63" t="str">
        <f>IF(烤漆色號編碼!A20="","-",烤漆色號編碼!A20)</f>
        <v>K-5257CSB</v>
      </c>
      <c r="D22" s="64" t="str">
        <f>IF(烤漆色號編碼!C20="","-",烤漆色號編碼!C20)</f>
        <v>新閃銀</v>
      </c>
      <c r="E22" s="63" t="str">
        <f>IF(烤漆色號編碼!B20="","-",烤漆色號編碼!B20)</f>
        <v>SAT1</v>
      </c>
      <c r="F22" s="126">
        <f>SUMIFS(期初庫存!G:G,期初庫存!C:C,C22)+SUMIFS(採購入庫!H:H,採購入庫!D:D,C22)-SUMIFS(每日用粉紀錄表!G:G,每日用粉紀錄表!C:C,C22)+SUMIFS(每日用粉紀錄表!I:I,每日用粉紀錄表!C:C,C22)</f>
        <v>44</v>
      </c>
      <c r="G22" s="126">
        <f>SUMIFS(期初庫存!F:F,期初庫存!C:C,C22)+SUMIFS(採購入庫!G:G,採購入庫!D:D,C22)-SUMIFS(每日用粉紀錄表!F:F,每日用粉紀錄表!C:C,C22)</f>
        <v>2</v>
      </c>
      <c r="H22" s="66">
        <v>1</v>
      </c>
      <c r="I22" s="65" t="str">
        <f>IF(H22&gt;G22,"採購","否")</f>
        <v>否</v>
      </c>
      <c r="J22" s="63">
        <f>IFERROR($G22*25+$F22,"-")</f>
        <v>94</v>
      </c>
      <c r="K22" s="56"/>
      <c r="L22" s="57"/>
      <c r="M22" s="56"/>
    </row>
    <row r="23" spans="1:13" x14ac:dyDescent="0.15">
      <c r="A23" s="61"/>
      <c r="B23" s="62">
        <v>20</v>
      </c>
      <c r="C23" s="63" t="str">
        <f>IF(烤漆色號編碼!A21="","-",烤漆色號編碼!A21)</f>
        <v>K-4654</v>
      </c>
      <c r="D23" s="64" t="str">
        <f>IF(烤漆色號編碼!C21="","-",烤漆色號編碼!C21)</f>
        <v>紫色</v>
      </c>
      <c r="E23" s="63" t="str">
        <f>IF(烤漆色號編碼!B21="","-",烤漆色號編碼!B21)</f>
        <v>PEL</v>
      </c>
      <c r="F23" s="126">
        <f>SUMIFS(期初庫存!G:G,期初庫存!C:C,C23)+SUMIFS(採購入庫!H:H,採購入庫!D:D,C23)-SUMIFS(每日用粉紀錄表!G:G,每日用粉紀錄表!C:C,C23)+SUMIFS(每日用粉紀錄表!I:I,每日用粉紀錄表!C:C,C23)</f>
        <v>34</v>
      </c>
      <c r="G23" s="126">
        <f>SUMIFS(期初庫存!F:F,期初庫存!C:C,C23)+SUMIFS(採購入庫!G:G,採購入庫!D:D,C23)-SUMIFS(每日用粉紀錄表!F:F,每日用粉紀錄表!C:C,C23)</f>
        <v>2</v>
      </c>
      <c r="H23" s="66">
        <v>1</v>
      </c>
      <c r="I23" s="65" t="str">
        <f>IF(H23&gt;G23,"採購","否")</f>
        <v>否</v>
      </c>
      <c r="J23" s="63">
        <f>IFERROR($G23*25+$F23,"-")</f>
        <v>84</v>
      </c>
      <c r="K23" s="56"/>
      <c r="L23" s="57"/>
      <c r="M23" s="56"/>
    </row>
    <row r="24" spans="1:13" x14ac:dyDescent="0.15">
      <c r="A24" s="61"/>
      <c r="B24" s="62">
        <v>21</v>
      </c>
      <c r="C24" s="63" t="str">
        <f>IF(烤漆色號編碼!A22="","-",烤漆色號編碼!A22)</f>
        <v>780-9B65</v>
      </c>
      <c r="D24" s="64" t="str">
        <f>IF(烤漆色號編碼!C22="","-",烤漆色號編碼!C22)</f>
        <v>銀灰</v>
      </c>
      <c r="E24" s="63" t="str">
        <f>IF(烤漆色號編碼!B22="","-",烤漆色號編碼!B22)</f>
        <v>ATG</v>
      </c>
      <c r="F24" s="126">
        <f>SUMIFS(期初庫存!G:G,期初庫存!C:C,C24)+SUMIFS(採購入庫!H:H,採購入庫!D:D,C24)-SUMIFS(每日用粉紀錄表!G:G,每日用粉紀錄表!C:C,C24)+SUMIFS(每日用粉紀錄表!I:I,每日用粉紀錄表!C:C,C24)</f>
        <v>0</v>
      </c>
      <c r="G24" s="126">
        <f>SUMIFS(期初庫存!F:F,期初庫存!C:C,C24)+SUMIFS(採購入庫!G:G,採購入庫!D:D,C24)-SUMIFS(每日用粉紀錄表!F:F,每日用粉紀錄表!C:C,C24)</f>
        <v>0</v>
      </c>
      <c r="H24" s="66">
        <v>1</v>
      </c>
      <c r="I24" s="65" t="str">
        <f>IF(H24&gt;G24,"採購","否")</f>
        <v>採購</v>
      </c>
      <c r="J24" s="63">
        <f>IFERROR($G24*25+$F24,"-")</f>
        <v>0</v>
      </c>
      <c r="K24" s="56"/>
      <c r="L24" s="57"/>
      <c r="M24" s="56"/>
    </row>
    <row r="25" spans="1:13" x14ac:dyDescent="0.15">
      <c r="A25" s="61"/>
      <c r="B25" s="62">
        <v>22</v>
      </c>
      <c r="C25" s="63" t="str">
        <f>IF(烤漆色號編碼!A23="","-",烤漆色號編碼!A23)</f>
        <v>780-9Q70</v>
      </c>
      <c r="D25" s="64" t="str">
        <f>IF(烤漆色號編碼!C23="","-",烤漆色號編碼!C23)</f>
        <v>銀灰</v>
      </c>
      <c r="E25" s="63" t="str">
        <f>IF(烤漆色號編碼!B23="","-",烤漆色號編碼!B23)</f>
        <v>ATG</v>
      </c>
      <c r="F25" s="126">
        <f>SUMIFS(期初庫存!G:G,期初庫存!C:C,C25)+SUMIFS(採購入庫!H:H,採購入庫!D:D,C25)-SUMIFS(每日用粉紀錄表!G:G,每日用粉紀錄表!C:C,C25)+SUMIFS(每日用粉紀錄表!I:I,每日用粉紀錄表!C:C,C25)</f>
        <v>0</v>
      </c>
      <c r="G25" s="126">
        <f>SUMIFS(期初庫存!F:F,期初庫存!C:C,C25)+SUMIFS(採購入庫!G:G,採購入庫!D:D,C25)-SUMIFS(每日用粉紀錄表!F:F,每日用粉紀錄表!C:C,C25)</f>
        <v>0</v>
      </c>
      <c r="H25" s="66">
        <v>1</v>
      </c>
      <c r="I25" s="65" t="str">
        <f>IF(H25&gt;G25,"採購","否")</f>
        <v>採購</v>
      </c>
      <c r="J25" s="63">
        <f>IFERROR($G25*25+$F25,"-")</f>
        <v>0</v>
      </c>
      <c r="K25" s="56"/>
      <c r="L25" s="57"/>
      <c r="M25" s="56"/>
    </row>
    <row r="26" spans="1:13" x14ac:dyDescent="0.15">
      <c r="A26" s="61"/>
      <c r="B26" s="62">
        <v>23</v>
      </c>
      <c r="C26" s="63" t="str">
        <f>IF(烤漆色號編碼!A24="","-",烤漆色號編碼!A24)</f>
        <v>780-6902</v>
      </c>
      <c r="D26" s="64" t="str">
        <f>IF(烤漆色號編碼!C24="","-",烤漆色號編碼!C24)</f>
        <v>綠色</v>
      </c>
      <c r="E26" s="63" t="str">
        <f>IF(烤漆色號編碼!B24="","-",烤漆色號編碼!B24)</f>
        <v>GN</v>
      </c>
      <c r="F26" s="126">
        <f>SUMIFS(期初庫存!G:G,期初庫存!C:C,C26)+SUMIFS(採購入庫!H:H,採購入庫!D:D,C26)-SUMIFS(每日用粉紀錄表!G:G,每日用粉紀錄表!C:C,C26)+SUMIFS(每日用粉紀錄表!I:I,每日用粉紀錄表!C:C,C26)</f>
        <v>17</v>
      </c>
      <c r="G26" s="126">
        <f>SUMIFS(期初庫存!F:F,期初庫存!C:C,C26)+SUMIFS(採購入庫!G:G,採購入庫!D:D,C26)-SUMIFS(每日用粉紀錄表!F:F,每日用粉紀錄表!C:C,C26)</f>
        <v>2</v>
      </c>
      <c r="H26" s="66">
        <v>1</v>
      </c>
      <c r="I26" s="65" t="str">
        <f>IF(H26&gt;G26,"採購","否")</f>
        <v>否</v>
      </c>
      <c r="J26" s="63">
        <f>IFERROR($G26*25+$F26,"-")</f>
        <v>67</v>
      </c>
      <c r="K26" s="56"/>
      <c r="L26" s="57"/>
      <c r="M26" s="56"/>
    </row>
    <row r="27" spans="1:13" x14ac:dyDescent="0.15">
      <c r="A27" s="61"/>
      <c r="B27" s="62">
        <v>24</v>
      </c>
      <c r="C27" s="63" t="str">
        <f>IF(烤漆色號編碼!A25="","-",烤漆色號編碼!A25)</f>
        <v>A-10067</v>
      </c>
      <c r="D27" s="64" t="str">
        <f>IF(烤漆色號編碼!C25="","-",烤漆色號編碼!C25)</f>
        <v>橘色</v>
      </c>
      <c r="E27" s="63" t="str">
        <f>IF(烤漆色號編碼!B25="","-",烤漆色號編碼!B25)</f>
        <v>OE</v>
      </c>
      <c r="F27" s="126">
        <f>SUMIFS(期初庫存!G:G,期初庫存!C:C,C27)+SUMIFS(採購入庫!H:H,採購入庫!D:D,C27)-SUMIFS(每日用粉紀錄表!G:G,每日用粉紀錄表!C:C,C27)+SUMIFS(每日用粉紀錄表!I:I,每日用粉紀錄表!C:C,C27)</f>
        <v>72</v>
      </c>
      <c r="G27" s="126">
        <f>SUMIFS(期初庫存!F:F,期初庫存!C:C,C27)+SUMIFS(採購入庫!G:G,採購入庫!D:D,C27)-SUMIFS(每日用粉紀錄表!F:F,每日用粉紀錄表!C:C,C27)</f>
        <v>1</v>
      </c>
      <c r="H27" s="66">
        <v>1</v>
      </c>
      <c r="I27" s="65" t="str">
        <f>IF(H27&gt;G27,"採購","否")</f>
        <v>否</v>
      </c>
      <c r="J27" s="63">
        <f>IFERROR($G27*25+$F27,"-")</f>
        <v>97</v>
      </c>
      <c r="K27" s="56"/>
      <c r="L27" s="57"/>
      <c r="M27" s="56"/>
    </row>
    <row r="28" spans="1:13" x14ac:dyDescent="0.15">
      <c r="A28" s="61"/>
      <c r="B28" s="62">
        <v>25</v>
      </c>
      <c r="C28" s="63" t="str">
        <f>IF(烤漆色號編碼!A26="","-",烤漆色號編碼!A26)</f>
        <v>4605-702A</v>
      </c>
      <c r="D28" s="64" t="str">
        <f>IF(烤漆色號編碼!C26="","-",烤漆色號編碼!C26)</f>
        <v>鐵灰</v>
      </c>
      <c r="E28" s="63" t="str">
        <f>IF(烤漆色號編碼!B26="","-",烤漆色號編碼!B26)</f>
        <v>IG</v>
      </c>
      <c r="F28" s="126">
        <f>SUMIFS(期初庫存!G:G,期初庫存!C:C,C28)+SUMIFS(採購入庫!H:H,採購入庫!D:D,C28)-SUMIFS(每日用粉紀錄表!G:G,每日用粉紀錄表!C:C,C28)+SUMIFS(每日用粉紀錄表!I:I,每日用粉紀錄表!C:C,C28)</f>
        <v>3</v>
      </c>
      <c r="G28" s="126">
        <f>SUMIFS(期初庫存!F:F,期初庫存!C:C,C28)+SUMIFS(採購入庫!G:G,採購入庫!D:D,C28)-SUMIFS(每日用粉紀錄表!F:F,每日用粉紀錄表!C:C,C28)</f>
        <v>1</v>
      </c>
      <c r="H28" s="66">
        <v>1</v>
      </c>
      <c r="I28" s="65" t="str">
        <f>IF(H28&gt;G28,"採購","否")</f>
        <v>否</v>
      </c>
      <c r="J28" s="63">
        <f>IFERROR($G28*25+$F28,"-")</f>
        <v>28</v>
      </c>
      <c r="K28" s="56"/>
      <c r="L28" s="57"/>
      <c r="M28" s="56"/>
    </row>
    <row r="29" spans="1:13" x14ac:dyDescent="0.15">
      <c r="A29" s="61"/>
      <c r="B29" s="62">
        <v>26</v>
      </c>
      <c r="C29" s="63" t="str">
        <f>IF(烤漆色號編碼!A27="","-",烤漆色號編碼!A27)</f>
        <v>4900-246</v>
      </c>
      <c r="D29" s="64" t="str">
        <f>IF(烤漆色號編碼!C27="","-",烤漆色號編碼!C27)</f>
        <v>鵝黃色</v>
      </c>
      <c r="E29" s="63" t="str">
        <f>IF(烤漆色號編碼!B27="","-",烤漆色號編碼!B27)</f>
        <v>GYW</v>
      </c>
      <c r="F29" s="126">
        <f>SUMIFS(期初庫存!G:G,期初庫存!C:C,C29)+SUMIFS(採購入庫!H:H,採購入庫!D:D,C29)-SUMIFS(每日用粉紀錄表!G:G,每日用粉紀錄表!C:C,C29)+SUMIFS(每日用粉紀錄表!I:I,每日用粉紀錄表!C:C,C29)</f>
        <v>22</v>
      </c>
      <c r="G29" s="126">
        <f>SUMIFS(期初庫存!F:F,期初庫存!C:C,C29)+SUMIFS(採購入庫!G:G,採購入庫!D:D,C29)-SUMIFS(每日用粉紀錄表!F:F,每日用粉紀錄表!C:C,C29)</f>
        <v>0</v>
      </c>
      <c r="H29" s="66">
        <v>1</v>
      </c>
      <c r="I29" s="65" t="str">
        <f>IF(H29&gt;G29,"採購","否")</f>
        <v>採購</v>
      </c>
      <c r="J29" s="63">
        <f>IFERROR($G29*25+$F29,"-")</f>
        <v>22</v>
      </c>
      <c r="K29" s="56"/>
      <c r="L29" s="57"/>
      <c r="M29" s="56"/>
    </row>
    <row r="30" spans="1:13" x14ac:dyDescent="0.15">
      <c r="A30" s="61"/>
      <c r="B30" s="62">
        <v>27</v>
      </c>
      <c r="C30" s="63" t="str">
        <f>IF(烤漆色號編碼!A28="","-",烤漆色號編碼!A28)</f>
        <v>4900-149</v>
      </c>
      <c r="D30" s="64" t="str">
        <f>IF(烤漆色號編碼!C28="","-",烤漆色號編碼!C28)</f>
        <v>粉紅色</v>
      </c>
      <c r="E30" s="63" t="str">
        <f>IF(烤漆色號編碼!B28="","-",烤漆色號編碼!B28)</f>
        <v>PK</v>
      </c>
      <c r="F30" s="126">
        <f>SUMIFS(期初庫存!G:G,期初庫存!C:C,C30)+SUMIFS(採購入庫!H:H,採購入庫!D:D,C30)-SUMIFS(每日用粉紀錄表!G:G,每日用粉紀錄表!C:C,C30)+SUMIFS(每日用粉紀錄表!I:I,每日用粉紀錄表!C:C,C30)</f>
        <v>15</v>
      </c>
      <c r="G30" s="126">
        <f>SUMIFS(期初庫存!F:F,期初庫存!C:C,C30)+SUMIFS(採購入庫!G:G,採購入庫!D:D,C30)-SUMIFS(每日用粉紀錄表!F:F,每日用粉紀錄表!C:C,C30)</f>
        <v>6</v>
      </c>
      <c r="H30" s="66">
        <v>1</v>
      </c>
      <c r="I30" s="65" t="str">
        <f>IF(H30&gt;G30,"採購","否")</f>
        <v>否</v>
      </c>
      <c r="J30" s="63">
        <f>IFERROR($G30*25+$F30,"-")</f>
        <v>165</v>
      </c>
      <c r="K30" s="56"/>
      <c r="L30" s="57"/>
      <c r="M30" s="56"/>
    </row>
    <row r="31" spans="1:13" x14ac:dyDescent="0.15">
      <c r="A31" s="61"/>
      <c r="B31" s="62">
        <v>28</v>
      </c>
      <c r="C31" s="63" t="str">
        <f>IF(烤漆色號編碼!A29="","-",烤漆色號編碼!A29)</f>
        <v>K-5510SCB</v>
      </c>
      <c r="D31" s="64" t="str">
        <f>IF(烤漆色號編碼!C29="","-",烤漆色號編碼!C29)</f>
        <v>黃金閃銀</v>
      </c>
      <c r="E31" s="63" t="str">
        <f>IF(烤漆色號編碼!B29="","-",烤漆色號編碼!B29)</f>
        <v>GSAT</v>
      </c>
      <c r="F31" s="126">
        <f>SUMIFS(期初庫存!G:G,期初庫存!C:C,C31)+SUMIFS(採購入庫!H:H,採購入庫!D:D,C31)-SUMIFS(每日用粉紀錄表!G:G,每日用粉紀錄表!C:C,C31)+SUMIFS(每日用粉紀錄表!I:I,每日用粉紀錄表!C:C,C31)</f>
        <v>9</v>
      </c>
      <c r="G31" s="126">
        <f>SUMIFS(期初庫存!F:F,期初庫存!C:C,C31)+SUMIFS(採購入庫!G:G,採購入庫!D:D,C31)-SUMIFS(每日用粉紀錄表!F:F,每日用粉紀錄表!C:C,C31)</f>
        <v>0</v>
      </c>
      <c r="H31" s="66">
        <v>1</v>
      </c>
      <c r="I31" s="65" t="str">
        <f>IF(H31&gt;G31,"採購","否")</f>
        <v>採購</v>
      </c>
      <c r="J31" s="63">
        <f>IFERROR($G31*25+$F31,"-")</f>
        <v>9</v>
      </c>
      <c r="K31" s="56"/>
      <c r="L31" s="57"/>
      <c r="M31" s="56"/>
    </row>
    <row r="32" spans="1:13" x14ac:dyDescent="0.15">
      <c r="A32" s="61"/>
      <c r="B32" s="62">
        <v>29</v>
      </c>
      <c r="C32" s="63" t="str">
        <f>IF(烤漆色號編碼!A30="","-",烤漆色號編碼!A30)</f>
        <v>O-5337H</v>
      </c>
      <c r="D32" s="64" t="str">
        <f>IF(烤漆色號編碼!C30="","-",烤漆色號編碼!C30)</f>
        <v>黃錘紋</v>
      </c>
      <c r="E32" s="63" t="str">
        <f>IF(烤漆色號編碼!B30="","-",烤漆色號編碼!B30)</f>
        <v>YWH</v>
      </c>
      <c r="F32" s="126">
        <f>SUMIFS(期初庫存!G:G,期初庫存!C:C,C32)+SUMIFS(採購入庫!H:H,採購入庫!D:D,C32)-SUMIFS(每日用粉紀錄表!G:G,每日用粉紀錄表!C:C,C32)+SUMIFS(每日用粉紀錄表!I:I,每日用粉紀錄表!C:C,C32)</f>
        <v>0</v>
      </c>
      <c r="G32" s="126">
        <f>SUMIFS(期初庫存!F:F,期初庫存!C:C,C32)+SUMIFS(採購入庫!G:G,採購入庫!D:D,C32)-SUMIFS(每日用粉紀錄表!F:F,每日用粉紀錄表!C:C,C32)</f>
        <v>0</v>
      </c>
      <c r="H32" s="66">
        <v>1</v>
      </c>
      <c r="I32" s="65" t="str">
        <f>IF(H32&gt;G32,"採購","否")</f>
        <v>採購</v>
      </c>
      <c r="J32" s="63">
        <f>IFERROR($G32*25+$F32,"-")</f>
        <v>0</v>
      </c>
      <c r="K32" s="56"/>
      <c r="L32" s="57"/>
      <c r="M32" s="56"/>
    </row>
    <row r="33" spans="1:13" x14ac:dyDescent="0.15">
      <c r="A33" s="61"/>
      <c r="B33" s="62">
        <v>30</v>
      </c>
      <c r="C33" s="63" t="str">
        <f>IF(烤漆色號編碼!A31="","-",烤漆色號編碼!A31)</f>
        <v>E-BY112</v>
      </c>
      <c r="D33" s="64" t="str">
        <f>IF(烤漆色號編碼!C31="","-",烤漆色號編碼!C31)</f>
        <v>灰色</v>
      </c>
      <c r="E33" s="63" t="str">
        <f>IF(烤漆色號編碼!B31="","-",烤漆色號編碼!B31)</f>
        <v>ATG</v>
      </c>
      <c r="F33" s="126">
        <f>SUMIFS(期初庫存!G:G,期初庫存!C:C,C33)+SUMIFS(採購入庫!H:H,採購入庫!D:D,C33)-SUMIFS(每日用粉紀錄表!G:G,每日用粉紀錄表!C:C,C33)+SUMIFS(每日用粉紀錄表!I:I,每日用粉紀錄表!C:C,C33)</f>
        <v>0</v>
      </c>
      <c r="G33" s="126">
        <f>SUMIFS(期初庫存!F:F,期初庫存!C:C,C33)+SUMIFS(採購入庫!G:G,採購入庫!D:D,C33)-SUMIFS(每日用粉紀錄表!F:F,每日用粉紀錄表!C:C,C33)</f>
        <v>0</v>
      </c>
      <c r="H33" s="66">
        <v>1</v>
      </c>
      <c r="I33" s="65" t="str">
        <f>IF(H33&gt;G33,"採購","否")</f>
        <v>採購</v>
      </c>
      <c r="J33" s="63">
        <f>IFERROR($G33*25+$F33,"-")</f>
        <v>0</v>
      </c>
      <c r="K33" s="56"/>
      <c r="L33" s="57"/>
      <c r="M33" s="56"/>
    </row>
    <row r="34" spans="1:13" x14ac:dyDescent="0.15">
      <c r="A34" s="61"/>
      <c r="B34" s="62">
        <v>31</v>
      </c>
      <c r="C34" s="63" t="str">
        <f>IF(烤漆色號編碼!A32="","-",烤漆色號編碼!A32)</f>
        <v>BP-133S</v>
      </c>
      <c r="D34" s="64" t="str">
        <f>IF(烤漆色號編碼!C32="","-",烤漆色號編碼!C32)</f>
        <v>閃銀</v>
      </c>
      <c r="E34" s="63" t="str">
        <f>IF(烤漆色號編碼!B32="","-",烤漆色號編碼!B32)</f>
        <v>SAT2</v>
      </c>
      <c r="F34" s="126">
        <f>SUMIFS(期初庫存!G:G,期初庫存!C:C,C34)+SUMIFS(採購入庫!H:H,採購入庫!D:D,C34)-SUMIFS(每日用粉紀錄表!G:G,每日用粉紀錄表!C:C,C34)+SUMIFS(每日用粉紀錄表!I:I,每日用粉紀錄表!C:C,C34)</f>
        <v>9</v>
      </c>
      <c r="G34" s="126">
        <f>SUMIFS(期初庫存!F:F,期初庫存!C:C,C34)+SUMIFS(採購入庫!G:G,採購入庫!D:D,C34)-SUMIFS(每日用粉紀錄表!F:F,每日用粉紀錄表!C:C,C34)</f>
        <v>4</v>
      </c>
      <c r="H34" s="66">
        <v>1</v>
      </c>
      <c r="I34" s="65" t="str">
        <f>IF(H34&gt;G34,"採購","否")</f>
        <v>否</v>
      </c>
      <c r="J34" s="63">
        <f>IFERROR($G34*20+$F34,"-")</f>
        <v>89</v>
      </c>
      <c r="K34" s="56"/>
      <c r="L34" s="57"/>
      <c r="M34" s="56"/>
    </row>
    <row r="35" spans="1:13" x14ac:dyDescent="0.15">
      <c r="A35" s="61"/>
      <c r="B35" s="62">
        <v>32</v>
      </c>
      <c r="C35" s="63" t="str">
        <f>IF(烤漆色號編碼!A33="","-",烤漆色號編碼!A33)</f>
        <v>PC-20537Y</v>
      </c>
      <c r="D35" s="64" t="str">
        <f>IF(烤漆色號編碼!C33="","-",烤漆色號編碼!C33)</f>
        <v>灰平光</v>
      </c>
      <c r="E35" s="63" t="str">
        <f>IF(烤漆色號編碼!B33="","-",烤漆色號編碼!B33)</f>
        <v>ATG</v>
      </c>
      <c r="F35" s="126">
        <f>SUMIFS(期初庫存!G:G,期初庫存!C:C,C35)+SUMIFS(採購入庫!H:H,採購入庫!D:D,C35)-SUMIFS(每日用粉紀錄表!G:G,每日用粉紀錄表!C:C,C35)+SUMIFS(每日用粉紀錄表!I:I,每日用粉紀錄表!C:C,C35)</f>
        <v>6</v>
      </c>
      <c r="G35" s="126">
        <f>SUMIFS(期初庫存!F:F,期初庫存!C:C,C35)+SUMIFS(採購入庫!G:G,採購入庫!D:D,C35)-SUMIFS(每日用粉紀錄表!F:F,每日用粉紀錄表!C:C,C35)</f>
        <v>0</v>
      </c>
      <c r="H35" s="66"/>
      <c r="I35" s="65" t="str">
        <f t="shared" ref="I35:I41" si="0">IF(H35&gt;G35,"採購","否")</f>
        <v>否</v>
      </c>
      <c r="J35" s="63">
        <f t="shared" ref="J35:J41" si="1">IFERROR($G35*25+$F35,"-")</f>
        <v>6</v>
      </c>
      <c r="K35" s="56"/>
      <c r="L35" s="57"/>
      <c r="M35" s="56"/>
    </row>
    <row r="36" spans="1:13" x14ac:dyDescent="0.15">
      <c r="A36" s="61"/>
      <c r="B36" s="62">
        <v>33</v>
      </c>
      <c r="C36" s="63" t="str">
        <f>IF(烤漆色號編碼!A34="","-",烤漆色號編碼!A34)</f>
        <v>008/2H056</v>
      </c>
      <c r="D36" s="64" t="str">
        <f>IF(烤漆色號編碼!C34="","-",烤漆色號編碼!C34)</f>
        <v>黃亮光</v>
      </c>
      <c r="E36" s="63" t="str">
        <f>IF(烤漆色號編碼!B34="","-",烤漆色號編碼!B34)</f>
        <v>YW1</v>
      </c>
      <c r="F36" s="126">
        <f>SUMIFS(期初庫存!G:G,期初庫存!C:C,C36)+SUMIFS(採購入庫!H:H,採購入庫!D:D,C36)-SUMIFS(每日用粉紀錄表!G:G,每日用粉紀錄表!C:C,C36)+SUMIFS(每日用粉紀錄表!I:I,每日用粉紀錄表!C:C,C36)</f>
        <v>6</v>
      </c>
      <c r="G36" s="126">
        <f>SUMIFS(期初庫存!F:F,期初庫存!C:C,C36)+SUMIFS(採購入庫!G:G,採購入庫!D:D,C36)-SUMIFS(每日用粉紀錄表!F:F,每日用粉紀錄表!C:C,C36)</f>
        <v>1</v>
      </c>
      <c r="H36" s="66"/>
      <c r="I36" s="65" t="str">
        <f t="shared" ref="I36" si="2">IF(H36&gt;G36,"採購","否")</f>
        <v>否</v>
      </c>
      <c r="J36" s="63">
        <f t="shared" si="1"/>
        <v>31</v>
      </c>
      <c r="K36" s="56"/>
      <c r="L36" s="57"/>
      <c r="M36" s="56"/>
    </row>
    <row r="37" spans="1:13" x14ac:dyDescent="0.15">
      <c r="A37" s="61"/>
      <c r="B37" s="62">
        <v>34</v>
      </c>
      <c r="C37" s="63" t="str">
        <f>IF(烤漆色號編碼!A35="","-",烤漆色號編碼!A35)</f>
        <v>008/1H127</v>
      </c>
      <c r="D37" s="64" t="str">
        <f>IF(烤漆色號編碼!C35="","-",烤漆色號編碼!C35)</f>
        <v>白亮光</v>
      </c>
      <c r="E37" s="63" t="str">
        <f>IF(烤漆色號編碼!B35="","-",烤漆色號編碼!B35)</f>
        <v>WE2</v>
      </c>
      <c r="F37" s="126">
        <f>SUMIFS(期初庫存!G:G,期初庫存!C:C,C37)+SUMIFS(採購入庫!H:H,採購入庫!D:D,C37)-SUMIFS(每日用粉紀錄表!G:G,每日用粉紀錄表!C:C,C37)+SUMIFS(每日用粉紀錄表!I:I,每日用粉紀錄表!C:C,C37)</f>
        <v>0</v>
      </c>
      <c r="G37" s="126">
        <f>SUMIFS(期初庫存!F:F,期初庫存!C:C,C37)+SUMIFS(採購入庫!G:G,採購入庫!D:D,C37)-SUMIFS(每日用粉紀錄表!F:F,每日用粉紀錄表!C:C,C37)</f>
        <v>4</v>
      </c>
      <c r="H37" s="66"/>
      <c r="I37" s="65" t="str">
        <f t="shared" si="0"/>
        <v>否</v>
      </c>
      <c r="J37" s="63">
        <f t="shared" si="1"/>
        <v>100</v>
      </c>
      <c r="K37" s="56"/>
      <c r="L37" s="57"/>
      <c r="M37" s="56"/>
    </row>
    <row r="38" spans="1:13" x14ac:dyDescent="0.15">
      <c r="A38" s="61"/>
      <c r="B38" s="62">
        <v>35</v>
      </c>
      <c r="C38" s="63" t="s">
        <v>50</v>
      </c>
      <c r="D38" s="64" t="str">
        <f>IF(烤漆色號編碼!C38="","-",烤漆色號編碼!C38)</f>
        <v>-</v>
      </c>
      <c r="E38" s="63" t="str">
        <f>IF(烤漆色號編碼!B38="","-",烤漆色號編碼!B38)</f>
        <v>-</v>
      </c>
      <c r="F38" s="126">
        <f>SUMIFS(期初庫存!G:G,期初庫存!C:C,C38)-SUMIFS(每日用粉紀錄表!G:G,每日用粉紀錄表!C:C,C38)+SUMIFS(每日用粉紀錄表!I:I,每日用粉紀錄表!C:C,C38)</f>
        <v>0</v>
      </c>
      <c r="G38" s="126">
        <f>SUMIFS(期初庫存!F:F,期初庫存!C:C,C38)+SUMIFS(採購入庫!G:G,採購入庫!D:D,C38)-SUMIFS(每日用粉紀錄表!F:F,每日用粉紀錄表!C:C,C38)</f>
        <v>0</v>
      </c>
      <c r="H38" s="66"/>
      <c r="I38" s="65" t="str">
        <f t="shared" si="0"/>
        <v>否</v>
      </c>
      <c r="J38" s="63">
        <f t="shared" si="1"/>
        <v>0</v>
      </c>
      <c r="K38" s="56"/>
      <c r="L38" s="57"/>
      <c r="M38" s="56"/>
    </row>
    <row r="39" spans="1:13" x14ac:dyDescent="0.15">
      <c r="A39" s="61"/>
      <c r="B39" s="62">
        <v>36</v>
      </c>
      <c r="C39" s="63" t="s">
        <v>50</v>
      </c>
      <c r="D39" s="64" t="str">
        <f>IF(烤漆色號編碼!C39="","-",烤漆色號編碼!C39)</f>
        <v>-</v>
      </c>
      <c r="E39" s="63" t="str">
        <f>IF(烤漆色號編碼!B39="","-",烤漆色號編碼!B39)</f>
        <v>-</v>
      </c>
      <c r="F39" s="126">
        <f>SUMIFS(期初庫存!G:G,期初庫存!C:C,C39)-SUMIFS(每日用粉紀錄表!G:G,每日用粉紀錄表!C:C,C39)+SUMIFS(每日用粉紀錄表!I:I,每日用粉紀錄表!C:C,C39)</f>
        <v>0</v>
      </c>
      <c r="G39" s="126">
        <f>SUMIFS(期初庫存!F:F,期初庫存!C:C,C39)+SUMIFS(採購入庫!G:G,採購入庫!D:D,C39)-SUMIFS(每日用粉紀錄表!F:F,每日用粉紀錄表!C:C,C39)</f>
        <v>0</v>
      </c>
      <c r="H39" s="66"/>
      <c r="I39" s="65" t="str">
        <f t="shared" si="0"/>
        <v>否</v>
      </c>
      <c r="J39" s="63">
        <f t="shared" si="1"/>
        <v>0</v>
      </c>
      <c r="K39" s="56"/>
      <c r="L39" s="57"/>
      <c r="M39" s="56"/>
    </row>
    <row r="40" spans="1:13" x14ac:dyDescent="0.15">
      <c r="A40" s="61"/>
      <c r="B40" s="62">
        <v>37</v>
      </c>
      <c r="C40" s="63" t="s">
        <v>50</v>
      </c>
      <c r="D40" s="64" t="str">
        <f>IF(烤漆色號編碼!C40="","-",烤漆色號編碼!C40)</f>
        <v>-</v>
      </c>
      <c r="E40" s="63" t="str">
        <f>IF(烤漆色號編碼!B40="","-",烤漆色號編碼!B40)</f>
        <v>-</v>
      </c>
      <c r="F40" s="126">
        <f>SUMIFS(期初庫存!G:G,期初庫存!C:C,C40)-SUMIFS(每日用粉紀錄表!G:G,每日用粉紀錄表!C:C,C40)+SUMIFS(每日用粉紀錄表!I:I,每日用粉紀錄表!C:C,C40)</f>
        <v>0</v>
      </c>
      <c r="G40" s="126">
        <f>SUMIFS(期初庫存!F:F,期初庫存!C:C,C40)+SUMIFS(採購入庫!G:G,採購入庫!D:D,C40)-SUMIFS(每日用粉紀錄表!F:F,每日用粉紀錄表!C:C,C40)</f>
        <v>0</v>
      </c>
      <c r="H40" s="66"/>
      <c r="I40" s="65" t="str">
        <f t="shared" si="0"/>
        <v>否</v>
      </c>
      <c r="J40" s="63">
        <f t="shared" si="1"/>
        <v>0</v>
      </c>
      <c r="K40" s="56"/>
      <c r="L40" s="57"/>
      <c r="M40" s="56"/>
    </row>
    <row r="41" spans="1:13" x14ac:dyDescent="0.15">
      <c r="A41" s="61"/>
      <c r="B41" s="62">
        <v>38</v>
      </c>
      <c r="C41" s="63" t="s">
        <v>50</v>
      </c>
      <c r="D41" s="64" t="str">
        <f>IF(烤漆色號編碼!C41="","-",烤漆色號編碼!C41)</f>
        <v>-</v>
      </c>
      <c r="E41" s="63" t="str">
        <f>IF(烤漆色號編碼!B41="","-",烤漆色號編碼!B41)</f>
        <v>-</v>
      </c>
      <c r="F41" s="126">
        <f>SUMIFS(期初庫存!G:G,期初庫存!C:C,C41)-SUMIFS(每日用粉紀錄表!G:G,每日用粉紀錄表!C:C,C41)+SUMIFS(每日用粉紀錄表!I:I,每日用粉紀錄表!C:C,C41)</f>
        <v>0</v>
      </c>
      <c r="G41" s="126">
        <f>SUMIFS(期初庫存!F:F,期初庫存!C:C,C41)+SUMIFS(採購入庫!G:G,採購入庫!D:D,C41)-SUMIFS(每日用粉紀錄表!F:F,每日用粉紀錄表!C:C,C41)</f>
        <v>0</v>
      </c>
      <c r="H41" s="66"/>
      <c r="I41" s="65" t="str">
        <f t="shared" si="0"/>
        <v>否</v>
      </c>
      <c r="J41" s="63">
        <f t="shared" si="1"/>
        <v>0</v>
      </c>
      <c r="K41" s="56"/>
      <c r="L41" s="57"/>
      <c r="M41" s="56"/>
    </row>
    <row r="42" spans="1:13" x14ac:dyDescent="0.15">
      <c r="A42" s="61"/>
      <c r="B42" s="62">
        <v>39</v>
      </c>
      <c r="C42" s="63" t="s">
        <v>50</v>
      </c>
      <c r="D42" s="64" t="s">
        <v>51</v>
      </c>
      <c r="E42" s="63" t="str">
        <f>IF(烤漆色號編碼!B44="","-",烤漆色號編碼!B44)</f>
        <v>-</v>
      </c>
      <c r="F42" s="126">
        <f>SUMIFS(期初庫存!G:G,期初庫存!C:C,C42)-SUMIFS(每日用粉紀錄表!G:G,每日用粉紀錄表!C:C,C42)+SUMIFS(每日用粉紀錄表!I:I,每日用粉紀錄表!C:C,C42)</f>
        <v>0</v>
      </c>
      <c r="G42" s="126">
        <v>0</v>
      </c>
      <c r="H42" s="66"/>
      <c r="I42" s="65" t="str">
        <f>IF(H42&gt;G42,"採購","否")</f>
        <v>否</v>
      </c>
      <c r="J42" s="63">
        <f>IFERROR($G42*25+$F42,"-")</f>
        <v>0</v>
      </c>
      <c r="K42" s="56"/>
      <c r="L42" s="57"/>
      <c r="M42" s="56"/>
    </row>
    <row r="43" spans="1:13" x14ac:dyDescent="0.15">
      <c r="A43" s="61"/>
      <c r="B43" s="62">
        <v>40</v>
      </c>
      <c r="C43" s="63" t="s">
        <v>50</v>
      </c>
      <c r="D43" s="64" t="s">
        <v>51</v>
      </c>
      <c r="E43" s="63" t="str">
        <f>IF(烤漆色號編碼!B45="","-",烤漆色號編碼!B45)</f>
        <v>-</v>
      </c>
      <c r="F43" s="126">
        <f>SUMIFS(期初庫存!G:G,期初庫存!C:C,C43)-SUMIFS(每日用粉紀錄表!G:G,每日用粉紀錄表!C:C,C43)+SUMIFS(每日用粉紀錄表!I:I,每日用粉紀錄表!C:C,C43)</f>
        <v>0</v>
      </c>
      <c r="G43" s="126">
        <v>0</v>
      </c>
      <c r="H43" s="66"/>
      <c r="I43" s="65" t="str">
        <f>IF(H43&gt;G43,"採購","否")</f>
        <v>否</v>
      </c>
      <c r="J43" s="63">
        <f>IFERROR($G43*25+$F43,"-")</f>
        <v>0</v>
      </c>
      <c r="K43" s="56"/>
      <c r="L43" s="57"/>
      <c r="M43" s="56"/>
    </row>
    <row r="44" spans="1:13" x14ac:dyDescent="0.15">
      <c r="A44" s="61"/>
      <c r="B44" s="62">
        <v>41</v>
      </c>
      <c r="C44" s="63" t="s">
        <v>50</v>
      </c>
      <c r="D44" s="64" t="s">
        <v>51</v>
      </c>
      <c r="E44" s="63" t="str">
        <f>IF(烤漆色號編碼!B46="","-",烤漆色號編碼!B46)</f>
        <v>-</v>
      </c>
      <c r="F44" s="126">
        <f>SUMIFS(期初庫存!G:G,期初庫存!C:C,C44)-SUMIFS(每日用粉紀錄表!G:G,每日用粉紀錄表!C:C,C44)+SUMIFS(每日用粉紀錄表!I:I,每日用粉紀錄表!C:C,C44)</f>
        <v>0</v>
      </c>
      <c r="G44" s="126">
        <v>0</v>
      </c>
      <c r="H44" s="66"/>
      <c r="I44" s="65" t="str">
        <f>IF(H44&gt;G44,"採購","否")</f>
        <v>否</v>
      </c>
      <c r="J44" s="63">
        <f>IFERROR($G44*25+$F44,"-")</f>
        <v>0</v>
      </c>
      <c r="K44" s="56"/>
      <c r="L44" s="57"/>
      <c r="M44" s="56"/>
    </row>
    <row r="45" spans="1:13" x14ac:dyDescent="0.15">
      <c r="A45" s="61"/>
      <c r="B45" s="62">
        <v>42</v>
      </c>
      <c r="C45" s="63" t="s">
        <v>50</v>
      </c>
      <c r="D45" s="64" t="s">
        <v>51</v>
      </c>
      <c r="E45" s="63" t="str">
        <f>IF(烤漆色號編碼!B47="","-",烤漆色號編碼!B47)</f>
        <v>-</v>
      </c>
      <c r="F45" s="126">
        <f>SUMIFS(期初庫存!G:G,期初庫存!C:C,C45)-SUMIFS(每日用粉紀錄表!G:G,每日用粉紀錄表!C:C,C45)+SUMIFS(每日用粉紀錄表!I:I,每日用粉紀錄表!C:C,C45)</f>
        <v>0</v>
      </c>
      <c r="G45" s="126">
        <v>0</v>
      </c>
      <c r="H45" s="66"/>
      <c r="I45" s="65" t="str">
        <f>IF(H45&gt;G45,"採購","否")</f>
        <v>否</v>
      </c>
      <c r="J45" s="63">
        <f>IFERROR($G45*25+$F45,"-")</f>
        <v>0</v>
      </c>
      <c r="K45" s="56"/>
      <c r="L45" s="57"/>
      <c r="M45" s="56"/>
    </row>
    <row r="46" spans="1:13" x14ac:dyDescent="0.15">
      <c r="A46" s="61"/>
      <c r="B46" s="62">
        <v>43</v>
      </c>
      <c r="C46" s="63" t="s">
        <v>50</v>
      </c>
      <c r="D46" s="64" t="s">
        <v>51</v>
      </c>
      <c r="E46" s="63" t="str">
        <f>IF(烤漆色號編碼!B48="","-",烤漆色號編碼!B48)</f>
        <v>-</v>
      </c>
      <c r="F46" s="126">
        <f>SUMIFS(期初庫存!G:G,期初庫存!C:C,C46)-SUMIFS(每日用粉紀錄表!G:G,每日用粉紀錄表!C:C,C46)+SUMIFS(每日用粉紀錄表!I:I,每日用粉紀錄表!C:C,C46)</f>
        <v>0</v>
      </c>
      <c r="G46" s="126">
        <v>0</v>
      </c>
      <c r="H46" s="66"/>
      <c r="I46" s="65" t="str">
        <f>IF(H46&gt;G46,"採購","否")</f>
        <v>否</v>
      </c>
      <c r="J46" s="63">
        <f>IFERROR($G46*25+$F46,"-")</f>
        <v>0</v>
      </c>
      <c r="K46" s="56"/>
      <c r="L46" s="57"/>
      <c r="M46" s="56"/>
    </row>
    <row r="47" spans="1:13" x14ac:dyDescent="0.15">
      <c r="A47" s="61"/>
      <c r="B47" s="62">
        <v>44</v>
      </c>
      <c r="C47" s="63" t="s">
        <v>50</v>
      </c>
      <c r="D47" s="64" t="s">
        <v>51</v>
      </c>
      <c r="E47" s="63" t="s">
        <v>50</v>
      </c>
      <c r="F47" s="126">
        <f>SUMIFS(期初庫存!G:G,期初庫存!C:C,C47)-SUMIFS(每日用粉紀錄表!G:G,每日用粉紀錄表!C:C,C47)+SUMIFS(每日用粉紀錄表!I:I,每日用粉紀錄表!C:C,C47)</f>
        <v>0</v>
      </c>
      <c r="G47" s="126">
        <v>0</v>
      </c>
      <c r="H47" s="66"/>
      <c r="I47" s="65" t="str">
        <f>IF(H47&gt;G47,"採購","否")</f>
        <v>否</v>
      </c>
      <c r="J47" s="63">
        <f>IFERROR($G47*25+$F47,"-")</f>
        <v>0</v>
      </c>
      <c r="K47" s="56"/>
      <c r="L47" s="57"/>
      <c r="M47" s="56"/>
    </row>
    <row r="48" spans="1:13" x14ac:dyDescent="0.15">
      <c r="A48" s="61"/>
      <c r="B48" s="62">
        <v>45</v>
      </c>
      <c r="C48" s="63" t="s">
        <v>50</v>
      </c>
      <c r="D48" s="64" t="s">
        <v>51</v>
      </c>
      <c r="E48" s="63" t="s">
        <v>50</v>
      </c>
      <c r="F48" s="126">
        <f>SUMIFS(期初庫存!G:G,期初庫存!C:C,C48)-SUMIFS(每日用粉紀錄表!G:G,每日用粉紀錄表!C:C,C48)+SUMIFS(每日用粉紀錄表!I:I,每日用粉紀錄表!C:C,C48)</f>
        <v>0</v>
      </c>
      <c r="G48" s="126">
        <v>0</v>
      </c>
      <c r="H48" s="66"/>
      <c r="I48" s="65" t="str">
        <f>IF(H48&gt;G48,"採購","否")</f>
        <v>否</v>
      </c>
      <c r="J48" s="63">
        <f>IFERROR($G48*25+$F48,"-")</f>
        <v>0</v>
      </c>
      <c r="K48" s="56"/>
      <c r="L48" s="57"/>
      <c r="M48" s="56"/>
    </row>
    <row r="49" spans="1:13" x14ac:dyDescent="0.15">
      <c r="A49" s="61"/>
      <c r="B49" s="62">
        <v>46</v>
      </c>
      <c r="C49" s="63" t="s">
        <v>50</v>
      </c>
      <c r="D49" s="64" t="s">
        <v>51</v>
      </c>
      <c r="E49" s="63" t="s">
        <v>50</v>
      </c>
      <c r="F49" s="126">
        <f>SUMIFS(期初庫存!G:G,期初庫存!C:C,C49)-SUMIFS(每日用粉紀錄表!G:G,每日用粉紀錄表!C:C,C49)+SUMIFS(每日用粉紀錄表!I:I,每日用粉紀錄表!C:C,C49)</f>
        <v>0</v>
      </c>
      <c r="G49" s="126">
        <v>0</v>
      </c>
      <c r="H49" s="66"/>
      <c r="I49" s="65" t="str">
        <f>IF(H49&gt;G49,"採購","否")</f>
        <v>否</v>
      </c>
      <c r="J49" s="63">
        <f>IFERROR($G49*25+$F49,"-")</f>
        <v>0</v>
      </c>
      <c r="K49" s="56"/>
      <c r="L49" s="57"/>
      <c r="M49" s="56"/>
    </row>
    <row r="50" spans="1:13" x14ac:dyDescent="0.15">
      <c r="A50" s="61"/>
      <c r="B50" s="62">
        <v>47</v>
      </c>
      <c r="C50" s="63" t="s">
        <v>50</v>
      </c>
      <c r="D50" s="64" t="s">
        <v>51</v>
      </c>
      <c r="E50" s="63" t="s">
        <v>50</v>
      </c>
      <c r="F50" s="126">
        <f>SUMIFS(期初庫存!G:G,期初庫存!C:C,C50)-SUMIFS(每日用粉紀錄表!G:G,每日用粉紀錄表!C:C,C50)+SUMIFS(每日用粉紀錄表!I:I,每日用粉紀錄表!C:C,C50)</f>
        <v>0</v>
      </c>
      <c r="G50" s="126">
        <v>0</v>
      </c>
      <c r="H50" s="66"/>
      <c r="I50" s="65" t="str">
        <f>IF(H50&gt;G50,"採購","否")</f>
        <v>否</v>
      </c>
      <c r="J50" s="63">
        <f>IFERROR($G50*25+$F50,"-")</f>
        <v>0</v>
      </c>
      <c r="K50" s="56"/>
      <c r="L50" s="57"/>
      <c r="M50" s="56"/>
    </row>
    <row r="51" spans="1:13" x14ac:dyDescent="0.15">
      <c r="A51" s="61"/>
      <c r="B51" s="62">
        <v>48</v>
      </c>
      <c r="C51" s="63" t="s">
        <v>50</v>
      </c>
      <c r="D51" s="64" t="s">
        <v>51</v>
      </c>
      <c r="E51" s="63" t="s">
        <v>50</v>
      </c>
      <c r="F51" s="126">
        <f>SUMIFS(期初庫存!G:G,期初庫存!C:C,C51)-SUMIFS(每日用粉紀錄表!G:G,每日用粉紀錄表!C:C,C51)+SUMIFS(每日用粉紀錄表!I:I,每日用粉紀錄表!C:C,C51)</f>
        <v>0</v>
      </c>
      <c r="G51" s="126">
        <v>0</v>
      </c>
      <c r="H51" s="66"/>
      <c r="I51" s="65" t="str">
        <f>IF(H51&gt;G51,"採購","否")</f>
        <v>否</v>
      </c>
      <c r="J51" s="63">
        <f>IFERROR($G51*25+$F51,"-")</f>
        <v>0</v>
      </c>
      <c r="K51" s="56"/>
      <c r="L51" s="57"/>
      <c r="M51" s="56"/>
    </row>
    <row r="52" spans="1:13" x14ac:dyDescent="0.15">
      <c r="A52" s="61"/>
      <c r="B52" s="62">
        <v>49</v>
      </c>
      <c r="C52" s="63" t="s">
        <v>50</v>
      </c>
      <c r="D52" s="64" t="s">
        <v>51</v>
      </c>
      <c r="E52" s="63" t="s">
        <v>50</v>
      </c>
      <c r="F52" s="126">
        <f>SUMIFS(期初庫存!G:G,期初庫存!C:C,C52)-SUMIFS(每日用粉紀錄表!G:G,每日用粉紀錄表!C:C,C52)+SUMIFS(每日用粉紀錄表!I:I,每日用粉紀錄表!C:C,C52)</f>
        <v>0</v>
      </c>
      <c r="G52" s="126">
        <v>0</v>
      </c>
      <c r="H52" s="66"/>
      <c r="I52" s="65" t="str">
        <f>IF(H52&gt;G52,"採購","否")</f>
        <v>否</v>
      </c>
      <c r="J52" s="63">
        <f>IFERROR($G52*25+$F52,"-")</f>
        <v>0</v>
      </c>
      <c r="K52" s="56"/>
      <c r="L52" s="57"/>
      <c r="M52" s="56"/>
    </row>
    <row r="53" spans="1:13" x14ac:dyDescent="0.15">
      <c r="A53" s="61"/>
      <c r="B53" s="62">
        <v>50</v>
      </c>
      <c r="C53" s="63" t="s">
        <v>50</v>
      </c>
      <c r="D53" s="64" t="s">
        <v>51</v>
      </c>
      <c r="E53" s="63" t="s">
        <v>50</v>
      </c>
      <c r="F53" s="126">
        <f>SUMIFS(期初庫存!G:G,期初庫存!C:C,C53)-SUMIFS(每日用粉紀錄表!G:G,每日用粉紀錄表!C:C,C53)+SUMIFS(每日用粉紀錄表!I:I,每日用粉紀錄表!C:C,C53)</f>
        <v>0</v>
      </c>
      <c r="G53" s="126">
        <v>0</v>
      </c>
      <c r="H53" s="66"/>
      <c r="I53" s="65" t="str">
        <f>IF(H53&gt;G53,"採購","否")</f>
        <v>否</v>
      </c>
      <c r="J53" s="63">
        <f>IFERROR($G53*25+$F53,"-")</f>
        <v>0</v>
      </c>
      <c r="K53" s="56"/>
      <c r="L53" s="57"/>
      <c r="M53" s="56"/>
    </row>
    <row r="54" spans="1:13" x14ac:dyDescent="0.15">
      <c r="A54" s="61"/>
      <c r="B54" s="62">
        <v>51</v>
      </c>
      <c r="C54" s="63" t="s">
        <v>50</v>
      </c>
      <c r="D54" s="64" t="s">
        <v>51</v>
      </c>
      <c r="E54" s="63" t="s">
        <v>50</v>
      </c>
      <c r="F54" s="126">
        <f>SUMIFS(期初庫存!G:G,期初庫存!C:C,C54)-SUMIFS(每日用粉紀錄表!G:G,每日用粉紀錄表!C:C,C54)+SUMIFS(每日用粉紀錄表!I:I,每日用粉紀錄表!C:C,C54)</f>
        <v>0</v>
      </c>
      <c r="G54" s="126">
        <v>0</v>
      </c>
      <c r="H54" s="66"/>
      <c r="I54" s="65" t="str">
        <f>IF(H54&gt;G54,"採購","否")</f>
        <v>否</v>
      </c>
      <c r="J54" s="63">
        <f>IFERROR($G54*25+$F54,"-")</f>
        <v>0</v>
      </c>
      <c r="K54" s="56"/>
      <c r="L54" s="57"/>
      <c r="M54" s="56"/>
    </row>
    <row r="55" spans="1:13" x14ac:dyDescent="0.15">
      <c r="A55" s="61"/>
      <c r="B55" s="62">
        <v>52</v>
      </c>
      <c r="C55" s="63" t="s">
        <v>50</v>
      </c>
      <c r="D55" s="64" t="s">
        <v>51</v>
      </c>
      <c r="E55" s="63" t="s">
        <v>50</v>
      </c>
      <c r="F55" s="126">
        <f>SUMIFS(期初庫存!G:G,期初庫存!C:C,C55)-SUMIFS(每日用粉紀錄表!G:G,每日用粉紀錄表!C:C,C55)+SUMIFS(每日用粉紀錄表!I:I,每日用粉紀錄表!C:C,C55)</f>
        <v>0</v>
      </c>
      <c r="G55" s="126">
        <v>0</v>
      </c>
      <c r="H55" s="66"/>
      <c r="I55" s="65" t="str">
        <f>IF(H55&gt;G55,"採購","否")</f>
        <v>否</v>
      </c>
      <c r="J55" s="63">
        <f>IFERROR($G55*25+$F55,"-")</f>
        <v>0</v>
      </c>
      <c r="K55" s="56"/>
      <c r="L55" s="57"/>
      <c r="M55" s="56"/>
    </row>
    <row r="56" spans="1:13" x14ac:dyDescent="0.15">
      <c r="A56" s="61"/>
      <c r="B56" s="62">
        <v>53</v>
      </c>
      <c r="C56" s="63" t="s">
        <v>50</v>
      </c>
      <c r="D56" s="64" t="s">
        <v>50</v>
      </c>
      <c r="E56" s="63" t="s">
        <v>50</v>
      </c>
      <c r="F56" s="126">
        <f>SUMIFS(期初庫存!G:G,期初庫存!C:C,C56)-SUMIFS(每日用粉紀錄表!G:G,每日用粉紀錄表!C:C,C56)+SUMIFS(每日用粉紀錄表!I:I,每日用粉紀錄表!C:C,C56)</f>
        <v>0</v>
      </c>
      <c r="G56" s="126">
        <v>0</v>
      </c>
      <c r="H56" s="66"/>
      <c r="I56" s="65" t="str">
        <f>IF(H56&gt;G56,"採購","否")</f>
        <v>否</v>
      </c>
      <c r="J56" s="63">
        <f>IFERROR($G56*25+$F56,"-")</f>
        <v>0</v>
      </c>
      <c r="K56" s="56"/>
      <c r="L56" s="57"/>
      <c r="M56" s="56"/>
    </row>
    <row r="57" spans="1:13" x14ac:dyDescent="0.15">
      <c r="A57" s="61"/>
      <c r="B57" s="62">
        <v>54</v>
      </c>
      <c r="C57" s="63" t="s">
        <v>50</v>
      </c>
      <c r="D57" s="64" t="s">
        <v>50</v>
      </c>
      <c r="E57" s="63" t="s">
        <v>50</v>
      </c>
      <c r="F57" s="126">
        <f>SUMIFS(期初庫存!G:G,期初庫存!C:C,C57)-SUMIFS(每日用粉紀錄表!G:G,每日用粉紀錄表!C:C,C57)+SUMIFS(每日用粉紀錄表!I:I,每日用粉紀錄表!C:C,C57)</f>
        <v>0</v>
      </c>
      <c r="G57" s="126">
        <v>0</v>
      </c>
      <c r="H57" s="66"/>
      <c r="I57" s="65" t="str">
        <f>IF(H57&gt;G57,"採購","否")</f>
        <v>否</v>
      </c>
      <c r="J57" s="63">
        <f>IFERROR($G57*25+$F57,"-")</f>
        <v>0</v>
      </c>
      <c r="K57" s="56"/>
      <c r="L57" s="57"/>
      <c r="M57" s="56"/>
    </row>
    <row r="58" spans="1:13" x14ac:dyDescent="0.15">
      <c r="A58" s="61"/>
      <c r="B58" s="62">
        <v>55</v>
      </c>
      <c r="C58" s="63" t="s">
        <v>50</v>
      </c>
      <c r="D58" s="64" t="s">
        <v>50</v>
      </c>
      <c r="E58" s="63" t="s">
        <v>50</v>
      </c>
      <c r="F58" s="126">
        <f>SUMIFS(期初庫存!G:G,期初庫存!C:C,C58)-SUMIFS(每日用粉紀錄表!G:G,每日用粉紀錄表!C:C,C58)+SUMIFS(每日用粉紀錄表!I:I,每日用粉紀錄表!C:C,C58)</f>
        <v>0</v>
      </c>
      <c r="G58" s="126">
        <v>0</v>
      </c>
      <c r="H58" s="66"/>
      <c r="I58" s="65" t="str">
        <f>IF(H58&gt;G58,"採購","否")</f>
        <v>否</v>
      </c>
      <c r="J58" s="63">
        <f>IFERROR($G58*25+$F58,"-")</f>
        <v>0</v>
      </c>
      <c r="K58" s="56"/>
      <c r="L58" s="57"/>
      <c r="M58" s="56"/>
    </row>
    <row r="59" spans="1:13" x14ac:dyDescent="0.15">
      <c r="A59" s="61"/>
      <c r="B59" s="62">
        <v>56</v>
      </c>
      <c r="C59" s="63" t="s">
        <v>50</v>
      </c>
      <c r="D59" s="64" t="s">
        <v>50</v>
      </c>
      <c r="E59" s="63" t="s">
        <v>50</v>
      </c>
      <c r="F59" s="126">
        <f>SUMIFS(期初庫存!G:G,期初庫存!C:C,C59)-SUMIFS(每日用粉紀錄表!G:G,每日用粉紀錄表!C:C,C59)+SUMIFS(每日用粉紀錄表!I:I,每日用粉紀錄表!C:C,C59)</f>
        <v>0</v>
      </c>
      <c r="G59" s="126">
        <v>0</v>
      </c>
      <c r="H59" s="66"/>
      <c r="I59" s="65" t="str">
        <f>IF(H59&gt;G59,"採購","否")</f>
        <v>否</v>
      </c>
      <c r="J59" s="63">
        <f>IFERROR($G59*25+$F59,"-")</f>
        <v>0</v>
      </c>
      <c r="K59" s="56"/>
      <c r="L59" s="57"/>
      <c r="M59" s="56"/>
    </row>
    <row r="60" spans="1:13" x14ac:dyDescent="0.15">
      <c r="A60" s="61"/>
      <c r="B60" s="62">
        <v>57</v>
      </c>
      <c r="C60" s="63" t="s">
        <v>50</v>
      </c>
      <c r="D60" s="64" t="s">
        <v>50</v>
      </c>
      <c r="E60" s="63" t="s">
        <v>50</v>
      </c>
      <c r="F60" s="126">
        <f>SUMIFS(期初庫存!G:G,期初庫存!C:C,C60)-SUMIFS(每日用粉紀錄表!G:G,每日用粉紀錄表!C:C,C60)+SUMIFS(每日用粉紀錄表!I:I,每日用粉紀錄表!C:C,C60)</f>
        <v>0</v>
      </c>
      <c r="G60" s="126">
        <v>0</v>
      </c>
      <c r="H60" s="66"/>
      <c r="I60" s="65" t="str">
        <f>IF(H60&gt;G60,"採購","否")</f>
        <v>否</v>
      </c>
      <c r="J60" s="63">
        <f>IFERROR($G60*25+$F60,"-")</f>
        <v>0</v>
      </c>
      <c r="K60" s="56"/>
      <c r="L60" s="57"/>
      <c r="M60" s="56"/>
    </row>
    <row r="61" spans="1:13" x14ac:dyDescent="0.15">
      <c r="A61" s="61"/>
      <c r="B61" s="62">
        <v>58</v>
      </c>
      <c r="C61" s="63" t="s">
        <v>50</v>
      </c>
      <c r="D61" s="64" t="s">
        <v>50</v>
      </c>
      <c r="E61" s="63" t="s">
        <v>50</v>
      </c>
      <c r="F61" s="126">
        <f>SUMIFS(期初庫存!G:G,期初庫存!C:C,C61)-SUMIFS(每日用粉紀錄表!G:G,每日用粉紀錄表!C:C,C61)+SUMIFS(每日用粉紀錄表!I:I,每日用粉紀錄表!C:C,C61)</f>
        <v>0</v>
      </c>
      <c r="G61" s="126">
        <v>0</v>
      </c>
      <c r="H61" s="66"/>
      <c r="I61" s="65" t="str">
        <f>IF(H61&gt;G61,"採購","否")</f>
        <v>否</v>
      </c>
      <c r="J61" s="63">
        <f>IFERROR($G61*25+$F61,"-")</f>
        <v>0</v>
      </c>
      <c r="K61" s="56"/>
      <c r="L61" s="57"/>
      <c r="M61" s="56"/>
    </row>
    <row r="62" spans="1:13" x14ac:dyDescent="0.15">
      <c r="A62" s="61"/>
      <c r="B62" s="62">
        <v>59</v>
      </c>
      <c r="C62" s="63" t="s">
        <v>50</v>
      </c>
      <c r="D62" s="64" t="s">
        <v>50</v>
      </c>
      <c r="E62" s="63" t="s">
        <v>50</v>
      </c>
      <c r="F62" s="126">
        <f>SUMIFS(期初庫存!G:G,期初庫存!C:C,C62)-SUMIFS(每日用粉紀錄表!G:G,每日用粉紀錄表!C:C,C62)+SUMIFS(每日用粉紀錄表!I:I,每日用粉紀錄表!C:C,C62)</f>
        <v>0</v>
      </c>
      <c r="G62" s="126">
        <v>0</v>
      </c>
      <c r="H62" s="66"/>
      <c r="I62" s="65" t="str">
        <f>IF(H62&gt;G62,"採購","否")</f>
        <v>否</v>
      </c>
      <c r="J62" s="63">
        <f>IFERROR($G62*25+$F62,"-")</f>
        <v>0</v>
      </c>
      <c r="K62" s="56"/>
      <c r="L62" s="57"/>
      <c r="M62" s="56"/>
    </row>
    <row r="63" spans="1:13" x14ac:dyDescent="0.15">
      <c r="A63" s="61"/>
      <c r="B63" s="62">
        <v>60</v>
      </c>
      <c r="C63" s="63" t="s">
        <v>50</v>
      </c>
      <c r="D63" s="64" t="s">
        <v>50</v>
      </c>
      <c r="E63" s="63" t="s">
        <v>50</v>
      </c>
      <c r="F63" s="126">
        <f>SUMIFS(期初庫存!G:G,期初庫存!C:C,C63)-SUMIFS(每日用粉紀錄表!G:G,每日用粉紀錄表!C:C,C63)+SUMIFS(每日用粉紀錄表!I:I,每日用粉紀錄表!C:C,C63)</f>
        <v>0</v>
      </c>
      <c r="G63" s="126">
        <v>0</v>
      </c>
      <c r="H63" s="66"/>
      <c r="I63" s="65" t="str">
        <f>IF(H63&gt;G63,"採購","否")</f>
        <v>否</v>
      </c>
      <c r="J63" s="63">
        <f>IFERROR($G63*25+$F63,"-")</f>
        <v>0</v>
      </c>
      <c r="K63" s="56"/>
      <c r="L63" s="57"/>
      <c r="M63" s="56"/>
    </row>
    <row r="64" spans="1:13" x14ac:dyDescent="0.15">
      <c r="A64" s="61"/>
      <c r="B64" s="62">
        <v>61</v>
      </c>
      <c r="C64" s="63" t="s">
        <v>50</v>
      </c>
      <c r="D64" s="64" t="s">
        <v>50</v>
      </c>
      <c r="E64" s="63" t="s">
        <v>50</v>
      </c>
      <c r="F64" s="126">
        <f>SUMIFS(期初庫存!G:G,期初庫存!C:C,C64)-SUMIFS(每日用粉紀錄表!G:G,每日用粉紀錄表!C:C,C64)+SUMIFS(每日用粉紀錄表!I:I,每日用粉紀錄表!C:C,C64)</f>
        <v>0</v>
      </c>
      <c r="G64" s="126">
        <v>0</v>
      </c>
      <c r="H64" s="66"/>
      <c r="I64" s="65" t="str">
        <f>IF(H64&gt;G64,"採購","否")</f>
        <v>否</v>
      </c>
      <c r="J64" s="63">
        <f>IFERROR($G64*25+$F64,"-")</f>
        <v>0</v>
      </c>
      <c r="K64" s="56"/>
      <c r="L64" s="57"/>
      <c r="M64" s="56"/>
    </row>
    <row r="65" spans="1:13" x14ac:dyDescent="0.15">
      <c r="A65" s="61"/>
      <c r="B65" s="62">
        <v>62</v>
      </c>
      <c r="C65" s="63" t="s">
        <v>50</v>
      </c>
      <c r="D65" s="64" t="s">
        <v>50</v>
      </c>
      <c r="E65" s="63" t="s">
        <v>50</v>
      </c>
      <c r="F65" s="126">
        <f>SUMIFS(期初庫存!G:G,期初庫存!C:C,C65)-SUMIFS(每日用粉紀錄表!G:G,每日用粉紀錄表!C:C,C65)+SUMIFS(每日用粉紀錄表!I:I,每日用粉紀錄表!C:C,C65)</f>
        <v>0</v>
      </c>
      <c r="G65" s="126">
        <v>0</v>
      </c>
      <c r="H65" s="66"/>
      <c r="I65" s="65" t="str">
        <f>IF(H65&gt;G65,"採購","否")</f>
        <v>否</v>
      </c>
      <c r="J65" s="63">
        <f>IFERROR($G65*25+$F65,"-")</f>
        <v>0</v>
      </c>
      <c r="K65" s="56"/>
      <c r="L65" s="57"/>
      <c r="M65" s="56"/>
    </row>
    <row r="66" spans="1:13" x14ac:dyDescent="0.15">
      <c r="A66" s="61"/>
      <c r="B66" s="62">
        <v>63</v>
      </c>
      <c r="C66" s="63" t="s">
        <v>50</v>
      </c>
      <c r="D66" s="64" t="s">
        <v>50</v>
      </c>
      <c r="E66" s="63" t="s">
        <v>50</v>
      </c>
      <c r="F66" s="126">
        <f>SUMIFS(期初庫存!G:G,期初庫存!C:C,C66)-SUMIFS(每日用粉紀錄表!G:G,每日用粉紀錄表!C:C,C66)+SUMIFS(每日用粉紀錄表!I:I,每日用粉紀錄表!C:C,C66)</f>
        <v>0</v>
      </c>
      <c r="G66" s="126">
        <v>0</v>
      </c>
      <c r="H66" s="66"/>
      <c r="I66" s="65" t="str">
        <f>IF(H66&gt;G66,"採購","否")</f>
        <v>否</v>
      </c>
      <c r="J66" s="63">
        <f>IFERROR($G66*25+$F66,"-")</f>
        <v>0</v>
      </c>
      <c r="K66" s="56"/>
      <c r="L66" s="57"/>
      <c r="M66" s="56"/>
    </row>
    <row r="67" spans="1:13" x14ac:dyDescent="0.15">
      <c r="A67" s="61"/>
      <c r="B67" s="62">
        <v>64</v>
      </c>
      <c r="C67" s="63" t="s">
        <v>50</v>
      </c>
      <c r="D67" s="64" t="s">
        <v>50</v>
      </c>
      <c r="E67" s="63" t="s">
        <v>50</v>
      </c>
      <c r="F67" s="126">
        <f>SUMIFS(期初庫存!G:G,期初庫存!C:C,C67)-SUMIFS(每日用粉紀錄表!G:G,每日用粉紀錄表!C:C,C67)+SUMIFS(每日用粉紀錄表!I:I,每日用粉紀錄表!C:C,C67)</f>
        <v>0</v>
      </c>
      <c r="G67" s="126">
        <v>0</v>
      </c>
      <c r="H67" s="66"/>
      <c r="I67" s="65" t="str">
        <f>IF(H67&gt;G67,"採購","否")</f>
        <v>否</v>
      </c>
      <c r="J67" s="63">
        <f>IFERROR($G67*25+$F67,"-")</f>
        <v>0</v>
      </c>
      <c r="K67" s="56"/>
      <c r="L67" s="57"/>
      <c r="M67" s="56"/>
    </row>
    <row r="68" spans="1:13" x14ac:dyDescent="0.15">
      <c r="A68" s="61"/>
      <c r="B68" s="62">
        <v>65</v>
      </c>
      <c r="C68" s="63" t="s">
        <v>50</v>
      </c>
      <c r="D68" s="64" t="s">
        <v>50</v>
      </c>
      <c r="E68" s="63" t="s">
        <v>50</v>
      </c>
      <c r="F68" s="126">
        <f>SUMIFS(期初庫存!G:G,期初庫存!C:C,C68)-SUMIFS(每日用粉紀錄表!G:G,每日用粉紀錄表!C:C,C68)+SUMIFS(每日用粉紀錄表!I:I,每日用粉紀錄表!C:C,C68)</f>
        <v>0</v>
      </c>
      <c r="G68" s="126">
        <v>0</v>
      </c>
      <c r="H68" s="66"/>
      <c r="I68" s="65" t="str">
        <f>IF(H68&gt;G68,"採購","否")</f>
        <v>否</v>
      </c>
      <c r="J68" s="63">
        <f>IFERROR($G68*25+$F68,"-")</f>
        <v>0</v>
      </c>
      <c r="K68" s="56"/>
      <c r="L68" s="57"/>
      <c r="M68" s="56"/>
    </row>
    <row r="69" spans="1:13" x14ac:dyDescent="0.15">
      <c r="A69" s="61"/>
      <c r="B69" s="62">
        <v>66</v>
      </c>
      <c r="C69" s="63" t="s">
        <v>50</v>
      </c>
      <c r="D69" s="64" t="s">
        <v>50</v>
      </c>
      <c r="E69" s="63" t="s">
        <v>50</v>
      </c>
      <c r="F69" s="126">
        <f>SUMIFS(期初庫存!G:G,期初庫存!C:C,C69)-SUMIFS(每日用粉紀錄表!G:G,每日用粉紀錄表!C:C,C69)+SUMIFS(每日用粉紀錄表!I:I,每日用粉紀錄表!C:C,C69)</f>
        <v>0</v>
      </c>
      <c r="G69" s="126">
        <v>0</v>
      </c>
      <c r="H69" s="66"/>
      <c r="I69" s="65" t="str">
        <f>IF(H69&gt;G69,"採購","否")</f>
        <v>否</v>
      </c>
      <c r="J69" s="63">
        <f>IFERROR($G69*25+$F69,"-")</f>
        <v>0</v>
      </c>
      <c r="K69" s="56"/>
      <c r="L69" s="57"/>
      <c r="M69" s="56"/>
    </row>
    <row r="70" spans="1:13" x14ac:dyDescent="0.15">
      <c r="A70" s="61"/>
      <c r="B70" s="62">
        <v>67</v>
      </c>
      <c r="C70" s="63" t="s">
        <v>50</v>
      </c>
      <c r="D70" s="64" t="s">
        <v>50</v>
      </c>
      <c r="E70" s="63" t="s">
        <v>50</v>
      </c>
      <c r="F70" s="126">
        <f>SUMIFS(期初庫存!G:G,期初庫存!C:C,C70)-SUMIFS(每日用粉紀錄表!G:G,每日用粉紀錄表!C:C,C70)+SUMIFS(每日用粉紀錄表!I:I,每日用粉紀錄表!C:C,C70)</f>
        <v>0</v>
      </c>
      <c r="G70" s="126">
        <v>0</v>
      </c>
      <c r="H70" s="66"/>
      <c r="I70" s="65" t="str">
        <f>IF(H70&gt;G70,"採購","否")</f>
        <v>否</v>
      </c>
      <c r="J70" s="63">
        <f>IFERROR($G70*25+$F70,"-")</f>
        <v>0</v>
      </c>
      <c r="K70" s="56"/>
      <c r="L70" s="57"/>
      <c r="M70" s="56"/>
    </row>
    <row r="71" spans="1:13" x14ac:dyDescent="0.15">
      <c r="A71" s="61"/>
      <c r="B71" s="62">
        <v>68</v>
      </c>
      <c r="C71" s="63" t="s">
        <v>50</v>
      </c>
      <c r="D71" s="64" t="s">
        <v>50</v>
      </c>
      <c r="E71" s="63" t="s">
        <v>50</v>
      </c>
      <c r="F71" s="126">
        <f>SUMIFS(期初庫存!G:G,期初庫存!C:C,C71)-SUMIFS(每日用粉紀錄表!G:G,每日用粉紀錄表!C:C,C71)+SUMIFS(每日用粉紀錄表!I:I,每日用粉紀錄表!C:C,C71)</f>
        <v>0</v>
      </c>
      <c r="G71" s="126">
        <v>0</v>
      </c>
      <c r="H71" s="66"/>
      <c r="I71" s="65" t="str">
        <f>IF(H71&gt;G71,"採購","否")</f>
        <v>否</v>
      </c>
      <c r="J71" s="63">
        <f>IFERROR($G71*25+$F71,"-")</f>
        <v>0</v>
      </c>
      <c r="K71" s="56"/>
      <c r="L71" s="57"/>
      <c r="M71" s="56"/>
    </row>
    <row r="72" spans="1:13" x14ac:dyDescent="0.15">
      <c r="A72" s="61"/>
      <c r="B72" s="62">
        <v>69</v>
      </c>
      <c r="C72" s="63" t="s">
        <v>50</v>
      </c>
      <c r="D72" s="64" t="s">
        <v>50</v>
      </c>
      <c r="E72" s="63" t="s">
        <v>50</v>
      </c>
      <c r="F72" s="126">
        <f>SUMIFS(期初庫存!G:G,期初庫存!C:C,C72)-SUMIFS(每日用粉紀錄表!G:G,每日用粉紀錄表!C:C,C72)+SUMIFS(每日用粉紀錄表!I:I,每日用粉紀錄表!C:C,C72)</f>
        <v>0</v>
      </c>
      <c r="G72" s="126">
        <v>0</v>
      </c>
      <c r="H72" s="66"/>
      <c r="I72" s="65" t="str">
        <f>IF(H72&gt;G72,"採購","否")</f>
        <v>否</v>
      </c>
      <c r="J72" s="63">
        <f>IFERROR($G72*25+$F72,"-")</f>
        <v>0</v>
      </c>
      <c r="K72" s="56"/>
      <c r="L72" s="57"/>
      <c r="M72" s="56"/>
    </row>
    <row r="73" spans="1:13" x14ac:dyDescent="0.15">
      <c r="A73" s="61"/>
      <c r="B73" s="62">
        <v>70</v>
      </c>
      <c r="C73" s="63" t="s">
        <v>50</v>
      </c>
      <c r="D73" s="64" t="s">
        <v>50</v>
      </c>
      <c r="E73" s="63" t="s">
        <v>50</v>
      </c>
      <c r="F73" s="126">
        <f>SUMIFS(期初庫存!G:G,期初庫存!C:C,C73)-SUMIFS(每日用粉紀錄表!G:G,每日用粉紀錄表!C:C,C73)+SUMIFS(每日用粉紀錄表!I:I,每日用粉紀錄表!C:C,C73)</f>
        <v>0</v>
      </c>
      <c r="G73" s="126">
        <v>0</v>
      </c>
      <c r="H73" s="66"/>
      <c r="I73" s="65" t="str">
        <f>IF(H73&gt;G73,"採購","否")</f>
        <v>否</v>
      </c>
      <c r="J73" s="63">
        <f>IFERROR($G73*25+$F73,"-")</f>
        <v>0</v>
      </c>
      <c r="K73" s="56"/>
      <c r="L73" s="57"/>
      <c r="M73" s="56"/>
    </row>
    <row r="74" spans="1:13" x14ac:dyDescent="0.15">
      <c r="A74" s="61"/>
      <c r="B74" s="62">
        <v>71</v>
      </c>
      <c r="C74" s="63" t="s">
        <v>50</v>
      </c>
      <c r="D74" s="64" t="s">
        <v>50</v>
      </c>
      <c r="E74" s="63" t="s">
        <v>50</v>
      </c>
      <c r="F74" s="126">
        <f>SUMIFS(期初庫存!G:G,期初庫存!C:C,C74)-SUMIFS(每日用粉紀錄表!G:G,每日用粉紀錄表!C:C,C74)+SUMIFS(每日用粉紀錄表!I:I,每日用粉紀錄表!C:C,C74)</f>
        <v>0</v>
      </c>
      <c r="G74" s="126">
        <v>0</v>
      </c>
      <c r="H74" s="66"/>
      <c r="I74" s="65" t="str">
        <f>IF(H74&gt;G74,"採購","否")</f>
        <v>否</v>
      </c>
      <c r="J74" s="63">
        <f>IFERROR($G74*25+$F74,"-")</f>
        <v>0</v>
      </c>
      <c r="K74" s="56"/>
      <c r="L74" s="57"/>
      <c r="M74" s="56"/>
    </row>
    <row r="75" spans="1:13" x14ac:dyDescent="0.15">
      <c r="A75" s="61"/>
      <c r="B75" s="62">
        <v>72</v>
      </c>
      <c r="C75" s="63" t="s">
        <v>50</v>
      </c>
      <c r="D75" s="64" t="s">
        <v>50</v>
      </c>
      <c r="E75" s="63" t="s">
        <v>50</v>
      </c>
      <c r="F75" s="126">
        <f>SUMIFS(期初庫存!G:G,期初庫存!C:C,C75)-SUMIFS(每日用粉紀錄表!G:G,每日用粉紀錄表!C:C,C75)+SUMIFS(每日用粉紀錄表!I:I,每日用粉紀錄表!C:C,C75)</f>
        <v>0</v>
      </c>
      <c r="G75" s="126">
        <v>0</v>
      </c>
      <c r="H75" s="66"/>
      <c r="I75" s="65" t="str">
        <f>IF(H75&gt;G75,"採購","否")</f>
        <v>否</v>
      </c>
      <c r="J75" s="63">
        <f>IFERROR($G75*25+$F75,"-")</f>
        <v>0</v>
      </c>
      <c r="K75" s="56"/>
      <c r="L75" s="57"/>
      <c r="M75" s="56"/>
    </row>
    <row r="76" spans="1:13" x14ac:dyDescent="0.15">
      <c r="A76" s="61"/>
      <c r="B76" s="62">
        <v>73</v>
      </c>
      <c r="C76" s="63" t="s">
        <v>50</v>
      </c>
      <c r="D76" s="64" t="s">
        <v>50</v>
      </c>
      <c r="E76" s="63" t="s">
        <v>50</v>
      </c>
      <c r="F76" s="126">
        <f>SUMIFS(期初庫存!G:G,期初庫存!C:C,C76)-SUMIFS(每日用粉紀錄表!G:G,每日用粉紀錄表!C:C,C76)+SUMIFS(每日用粉紀錄表!I:I,每日用粉紀錄表!C:C,C76)</f>
        <v>0</v>
      </c>
      <c r="G76" s="126">
        <v>0</v>
      </c>
      <c r="H76" s="66"/>
      <c r="I76" s="65" t="str">
        <f>IF(H76&gt;G76,"採購","否")</f>
        <v>否</v>
      </c>
      <c r="J76" s="63">
        <f>IFERROR($G76*25+$F76,"-")</f>
        <v>0</v>
      </c>
      <c r="K76" s="56"/>
      <c r="L76" s="57"/>
      <c r="M76" s="56"/>
    </row>
    <row r="77" spans="1:13" x14ac:dyDescent="0.15">
      <c r="A77" s="61"/>
      <c r="B77" s="62">
        <v>74</v>
      </c>
      <c r="C77" s="63" t="s">
        <v>50</v>
      </c>
      <c r="D77" s="64" t="s">
        <v>50</v>
      </c>
      <c r="E77" s="63" t="s">
        <v>50</v>
      </c>
      <c r="F77" s="126">
        <f>SUMIFS(期初庫存!G:G,期初庫存!C:C,C77)-SUMIFS(每日用粉紀錄表!G:G,每日用粉紀錄表!C:C,C77)+SUMIFS(每日用粉紀錄表!I:I,每日用粉紀錄表!C:C,C77)</f>
        <v>0</v>
      </c>
      <c r="G77" s="126">
        <v>0</v>
      </c>
      <c r="H77" s="66"/>
      <c r="I77" s="65" t="str">
        <f>IF(H77&gt;G77,"採購","否")</f>
        <v>否</v>
      </c>
      <c r="J77" s="63">
        <f>IFERROR($G77*25+$F77,"-")</f>
        <v>0</v>
      </c>
      <c r="K77" s="56"/>
      <c r="L77" s="57"/>
      <c r="M77" s="56"/>
    </row>
    <row r="78" spans="1:13" x14ac:dyDescent="0.15">
      <c r="A78" s="61"/>
      <c r="B78" s="62">
        <v>75</v>
      </c>
      <c r="C78" s="63" t="s">
        <v>50</v>
      </c>
      <c r="D78" s="64" t="s">
        <v>50</v>
      </c>
      <c r="E78" s="63" t="s">
        <v>50</v>
      </c>
      <c r="F78" s="126">
        <f>SUMIFS(期初庫存!G:G,期初庫存!C:C,C78)-SUMIFS(每日用粉紀錄表!G:G,每日用粉紀錄表!C:C,C78)+SUMIFS(每日用粉紀錄表!I:I,每日用粉紀錄表!C:C,C78)</f>
        <v>0</v>
      </c>
      <c r="G78" s="126">
        <v>0</v>
      </c>
      <c r="H78" s="66"/>
      <c r="I78" s="65" t="str">
        <f>IF(H78&gt;G78,"採購","否")</f>
        <v>否</v>
      </c>
      <c r="J78" s="63">
        <f>IFERROR($G78*25+$F78,"-")</f>
        <v>0</v>
      </c>
      <c r="K78" s="56"/>
      <c r="L78" s="57"/>
      <c r="M78" s="56"/>
    </row>
    <row r="79" spans="1:13" x14ac:dyDescent="0.15">
      <c r="A79" s="61"/>
      <c r="B79" s="62">
        <v>76</v>
      </c>
      <c r="C79" s="63" t="s">
        <v>50</v>
      </c>
      <c r="D79" s="64" t="s">
        <v>50</v>
      </c>
      <c r="E79" s="63" t="s">
        <v>50</v>
      </c>
      <c r="F79" s="126">
        <f>SUMIFS(期初庫存!G:G,期初庫存!C:C,C79)-SUMIFS(每日用粉紀錄表!G:G,每日用粉紀錄表!C:C,C79)+SUMIFS(每日用粉紀錄表!I:I,每日用粉紀錄表!C:C,C79)</f>
        <v>0</v>
      </c>
      <c r="G79" s="126">
        <v>0</v>
      </c>
      <c r="H79" s="66"/>
      <c r="I79" s="65" t="str">
        <f>IF(H79&gt;G79,"採購","否")</f>
        <v>否</v>
      </c>
      <c r="J79" s="63">
        <f>IFERROR($G79*25+$F79,"-")</f>
        <v>0</v>
      </c>
      <c r="K79" s="56"/>
      <c r="L79" s="57"/>
      <c r="M79" s="56"/>
    </row>
    <row r="80" spans="1:13" x14ac:dyDescent="0.15">
      <c r="A80" s="61"/>
      <c r="B80" s="62">
        <v>77</v>
      </c>
      <c r="C80" s="63" t="s">
        <v>50</v>
      </c>
      <c r="D80" s="64" t="s">
        <v>50</v>
      </c>
      <c r="E80" s="63" t="s">
        <v>50</v>
      </c>
      <c r="F80" s="126">
        <f>SUMIFS(期初庫存!G:G,期初庫存!C:C,C80)-SUMIFS(每日用粉紀錄表!G:G,每日用粉紀錄表!C:C,C80)+SUMIFS(每日用粉紀錄表!I:I,每日用粉紀錄表!C:C,C80)</f>
        <v>0</v>
      </c>
      <c r="G80" s="126">
        <v>0</v>
      </c>
      <c r="H80" s="66"/>
      <c r="I80" s="65" t="str">
        <f>IF(H80&gt;G80,"採購","否")</f>
        <v>否</v>
      </c>
      <c r="J80" s="63">
        <f>IFERROR($G80*25+$F80,"-")</f>
        <v>0</v>
      </c>
      <c r="K80" s="56"/>
      <c r="L80" s="57"/>
      <c r="M80" s="56"/>
    </row>
    <row r="81" spans="1:13" x14ac:dyDescent="0.15">
      <c r="A81" s="61"/>
      <c r="B81" s="62">
        <v>78</v>
      </c>
      <c r="C81" s="63" t="s">
        <v>50</v>
      </c>
      <c r="D81" s="64" t="s">
        <v>50</v>
      </c>
      <c r="E81" s="63" t="s">
        <v>50</v>
      </c>
      <c r="F81" s="126">
        <f>SUMIFS(期初庫存!G:G,期初庫存!C:C,C81)-SUMIFS(每日用粉紀錄表!G:G,每日用粉紀錄表!C:C,C81)+SUMIFS(每日用粉紀錄表!I:I,每日用粉紀錄表!C:C,C81)</f>
        <v>0</v>
      </c>
      <c r="G81" s="126">
        <v>0</v>
      </c>
      <c r="H81" s="66"/>
      <c r="I81" s="65" t="str">
        <f>IF(H81&gt;G81,"採購","否")</f>
        <v>否</v>
      </c>
      <c r="J81" s="63">
        <f>IFERROR($G81*25+$F81,"-")</f>
        <v>0</v>
      </c>
      <c r="K81" s="56"/>
      <c r="L81" s="57"/>
      <c r="M81" s="56"/>
    </row>
    <row r="82" spans="1:13" x14ac:dyDescent="0.15">
      <c r="A82" s="61"/>
      <c r="B82" s="62">
        <v>79</v>
      </c>
      <c r="C82" s="63" t="s">
        <v>50</v>
      </c>
      <c r="D82" s="64" t="s">
        <v>50</v>
      </c>
      <c r="E82" s="63" t="s">
        <v>50</v>
      </c>
      <c r="F82" s="126">
        <f>SUMIFS(期初庫存!G:G,期初庫存!C:C,C82)-SUMIFS(每日用粉紀錄表!G:G,每日用粉紀錄表!C:C,C82)+SUMIFS(每日用粉紀錄表!I:I,每日用粉紀錄表!C:C,C82)</f>
        <v>0</v>
      </c>
      <c r="G82" s="126">
        <v>0</v>
      </c>
      <c r="H82" s="66"/>
      <c r="I82" s="65" t="str">
        <f>IF(H82&gt;G82,"採購","否")</f>
        <v>否</v>
      </c>
      <c r="J82" s="63">
        <f>IFERROR($G82*25+$F82,"-")</f>
        <v>0</v>
      </c>
      <c r="K82" s="56"/>
      <c r="L82" s="57"/>
      <c r="M82" s="56"/>
    </row>
    <row r="83" spans="1:13" x14ac:dyDescent="0.15">
      <c r="A83" s="61"/>
      <c r="B83" s="62">
        <v>80</v>
      </c>
      <c r="C83" s="63" t="s">
        <v>50</v>
      </c>
      <c r="D83" s="64" t="s">
        <v>50</v>
      </c>
      <c r="E83" s="63" t="s">
        <v>50</v>
      </c>
      <c r="F83" s="126">
        <f>SUMIFS(期初庫存!G:G,期初庫存!C:C,C83)-SUMIFS(每日用粉紀錄表!G:G,每日用粉紀錄表!C:C,C83)+SUMIFS(每日用粉紀錄表!I:I,每日用粉紀錄表!C:C,C83)</f>
        <v>0</v>
      </c>
      <c r="G83" s="126">
        <v>0</v>
      </c>
      <c r="H83" s="66"/>
      <c r="I83" s="65" t="str">
        <f>IF(H83&gt;G83,"採購","否")</f>
        <v>否</v>
      </c>
      <c r="J83" s="63">
        <f>IFERROR($G83*25+$F83,"-")</f>
        <v>0</v>
      </c>
      <c r="K83" s="56"/>
      <c r="L83" s="57"/>
      <c r="M83" s="56"/>
    </row>
    <row r="84" spans="1:13" x14ac:dyDescent="0.15">
      <c r="A84" s="61"/>
      <c r="B84" s="62">
        <v>81</v>
      </c>
      <c r="C84" s="63" t="s">
        <v>50</v>
      </c>
      <c r="D84" s="64" t="s">
        <v>50</v>
      </c>
      <c r="E84" s="63" t="s">
        <v>50</v>
      </c>
      <c r="F84" s="126">
        <f>SUMIFS(期初庫存!G:G,期初庫存!C:C,C84)-SUMIFS(每日用粉紀錄表!G:G,每日用粉紀錄表!C:C,C84)+SUMIFS(每日用粉紀錄表!I:I,每日用粉紀錄表!C:C,C84)</f>
        <v>0</v>
      </c>
      <c r="G84" s="126">
        <v>0</v>
      </c>
      <c r="H84" s="66"/>
      <c r="I84" s="65" t="str">
        <f>IF(H84&gt;G84,"採購","否")</f>
        <v>否</v>
      </c>
      <c r="J84" s="63">
        <f>IFERROR($G84*25+$F84,"-")</f>
        <v>0</v>
      </c>
      <c r="K84" s="56"/>
      <c r="L84" s="57"/>
      <c r="M84" s="56"/>
    </row>
    <row r="85" spans="1:13" x14ac:dyDescent="0.15">
      <c r="A85" s="61"/>
      <c r="B85" s="62">
        <v>82</v>
      </c>
      <c r="C85" s="63" t="s">
        <v>50</v>
      </c>
      <c r="D85" s="64" t="s">
        <v>50</v>
      </c>
      <c r="E85" s="63" t="s">
        <v>50</v>
      </c>
      <c r="F85" s="126">
        <f>SUMIFS(期初庫存!G:G,期初庫存!C:C,C85)-SUMIFS(每日用粉紀錄表!G:G,每日用粉紀錄表!C:C,C85)+SUMIFS(每日用粉紀錄表!I:I,每日用粉紀錄表!C:C,C85)</f>
        <v>0</v>
      </c>
      <c r="G85" s="126">
        <v>0</v>
      </c>
      <c r="H85" s="66"/>
      <c r="I85" s="65" t="str">
        <f>IF(H85&gt;G85,"採購","否")</f>
        <v>否</v>
      </c>
      <c r="J85" s="63">
        <f>IFERROR($G85*25+$F85,"-")</f>
        <v>0</v>
      </c>
      <c r="K85" s="56"/>
      <c r="L85" s="57"/>
      <c r="M85" s="56"/>
    </row>
    <row r="86" spans="1:13" x14ac:dyDescent="0.15">
      <c r="A86" s="61"/>
      <c r="B86" s="62">
        <v>83</v>
      </c>
      <c r="C86" s="63" t="s">
        <v>50</v>
      </c>
      <c r="D86" s="64" t="s">
        <v>50</v>
      </c>
      <c r="E86" s="63" t="s">
        <v>50</v>
      </c>
      <c r="F86" s="126">
        <f>SUMIFS(期初庫存!G:G,期初庫存!C:C,C86)-SUMIFS(每日用粉紀錄表!G:G,每日用粉紀錄表!C:C,C86)+SUMIFS(每日用粉紀錄表!I:I,每日用粉紀錄表!C:C,C86)</f>
        <v>0</v>
      </c>
      <c r="G86" s="126">
        <v>0</v>
      </c>
      <c r="H86" s="66"/>
      <c r="I86" s="65" t="str">
        <f>IF(H86&gt;G86,"採購","否")</f>
        <v>否</v>
      </c>
      <c r="J86" s="63">
        <f>IFERROR($G86*25+$F86,"-")</f>
        <v>0</v>
      </c>
      <c r="K86" s="56"/>
      <c r="L86" s="57"/>
      <c r="M86" s="56"/>
    </row>
    <row r="87" spans="1:13" x14ac:dyDescent="0.15">
      <c r="A87" s="61"/>
      <c r="B87" s="62">
        <v>84</v>
      </c>
      <c r="C87" s="63" t="s">
        <v>50</v>
      </c>
      <c r="D87" s="64" t="s">
        <v>50</v>
      </c>
      <c r="E87" s="63" t="s">
        <v>50</v>
      </c>
      <c r="F87" s="126">
        <f>SUMIFS(期初庫存!G:G,期初庫存!C:C,C87)-SUMIFS(每日用粉紀錄表!G:G,每日用粉紀錄表!C:C,C87)+SUMIFS(每日用粉紀錄表!I:I,每日用粉紀錄表!C:C,C87)</f>
        <v>0</v>
      </c>
      <c r="G87" s="126">
        <v>0</v>
      </c>
      <c r="H87" s="66"/>
      <c r="I87" s="65" t="str">
        <f>IF(H87&gt;G87,"採購","否")</f>
        <v>否</v>
      </c>
      <c r="J87" s="63">
        <f>IFERROR($G87*25+$F87,"-")</f>
        <v>0</v>
      </c>
      <c r="K87" s="56"/>
      <c r="L87" s="57"/>
      <c r="M87" s="56"/>
    </row>
    <row r="88" spans="1:13" x14ac:dyDescent="0.15">
      <c r="A88" s="61"/>
      <c r="B88" s="62">
        <v>85</v>
      </c>
      <c r="C88" s="63" t="s">
        <v>50</v>
      </c>
      <c r="D88" s="64" t="s">
        <v>50</v>
      </c>
      <c r="E88" s="63" t="s">
        <v>50</v>
      </c>
      <c r="F88" s="126">
        <f>SUMIFS(期初庫存!G:G,期初庫存!C:C,C88)-SUMIFS(每日用粉紀錄表!G:G,每日用粉紀錄表!C:C,C88)+SUMIFS(每日用粉紀錄表!I:I,每日用粉紀錄表!C:C,C88)</f>
        <v>0</v>
      </c>
      <c r="G88" s="126">
        <v>0</v>
      </c>
      <c r="H88" s="66"/>
      <c r="I88" s="65" t="str">
        <f>IF(H88&gt;G88,"採購","否")</f>
        <v>否</v>
      </c>
      <c r="J88" s="63">
        <f>IFERROR($G88*25+$F88,"-")</f>
        <v>0</v>
      </c>
      <c r="K88" s="56"/>
      <c r="L88" s="57"/>
      <c r="M88" s="56"/>
    </row>
    <row r="89" spans="1:13" x14ac:dyDescent="0.15">
      <c r="A89" s="61"/>
      <c r="B89" s="62">
        <v>86</v>
      </c>
      <c r="C89" s="63" t="s">
        <v>50</v>
      </c>
      <c r="D89" s="64" t="s">
        <v>50</v>
      </c>
      <c r="E89" s="63" t="s">
        <v>50</v>
      </c>
      <c r="F89" s="126">
        <f>SUMIFS(期初庫存!G:G,期初庫存!C:C,C89)-SUMIFS(每日用粉紀錄表!G:G,每日用粉紀錄表!C:C,C89)+SUMIFS(每日用粉紀錄表!I:I,每日用粉紀錄表!C:C,C89)</f>
        <v>0</v>
      </c>
      <c r="G89" s="126">
        <v>0</v>
      </c>
      <c r="H89" s="66"/>
      <c r="I89" s="65" t="str">
        <f>IF(H89&gt;G89,"採購","否")</f>
        <v>否</v>
      </c>
      <c r="J89" s="63">
        <f>IFERROR($G89*25+$F89,"-")</f>
        <v>0</v>
      </c>
      <c r="K89" s="56"/>
      <c r="L89" s="57"/>
      <c r="M89" s="56"/>
    </row>
    <row r="90" spans="1:13" x14ac:dyDescent="0.15">
      <c r="A90" s="61"/>
      <c r="B90" s="62">
        <v>87</v>
      </c>
      <c r="C90" s="63" t="s">
        <v>50</v>
      </c>
      <c r="D90" s="64" t="s">
        <v>50</v>
      </c>
      <c r="E90" s="63" t="s">
        <v>50</v>
      </c>
      <c r="F90" s="126">
        <f>SUMIFS(期初庫存!G:G,期初庫存!C:C,C90)-SUMIFS(每日用粉紀錄表!G:G,每日用粉紀錄表!C:C,C90)+SUMIFS(每日用粉紀錄表!I:I,每日用粉紀錄表!C:C,C90)</f>
        <v>0</v>
      </c>
      <c r="G90" s="126">
        <v>0</v>
      </c>
      <c r="H90" s="66"/>
      <c r="I90" s="65" t="str">
        <f>IF(H90&gt;G90,"採購","否")</f>
        <v>否</v>
      </c>
      <c r="J90" s="63">
        <f>IFERROR($G90*25+$F90,"-")</f>
        <v>0</v>
      </c>
      <c r="K90" s="56"/>
      <c r="L90" s="57"/>
      <c r="M90" s="56"/>
    </row>
    <row r="91" spans="1:13" x14ac:dyDescent="0.15">
      <c r="A91" s="61"/>
      <c r="B91" s="62">
        <v>88</v>
      </c>
      <c r="C91" s="63" t="s">
        <v>50</v>
      </c>
      <c r="D91" s="64" t="s">
        <v>50</v>
      </c>
      <c r="E91" s="63" t="s">
        <v>50</v>
      </c>
      <c r="F91" s="126">
        <f>SUMIFS(期初庫存!G:G,期初庫存!C:C,C91)-SUMIFS(每日用粉紀錄表!G:G,每日用粉紀錄表!C:C,C91)+SUMIFS(每日用粉紀錄表!I:I,每日用粉紀錄表!C:C,C91)</f>
        <v>0</v>
      </c>
      <c r="G91" s="126">
        <v>0</v>
      </c>
      <c r="H91" s="66"/>
      <c r="I91" s="65" t="str">
        <f>IF(H91&gt;G91,"採購","否")</f>
        <v>否</v>
      </c>
      <c r="J91" s="63">
        <f>IFERROR($G91*25+$F91,"-")</f>
        <v>0</v>
      </c>
      <c r="K91" s="56"/>
      <c r="L91" s="57"/>
      <c r="M91" s="56"/>
    </row>
    <row r="92" spans="1:13" x14ac:dyDescent="0.15">
      <c r="A92" s="61"/>
      <c r="B92" s="62">
        <v>89</v>
      </c>
      <c r="C92" s="63" t="s">
        <v>50</v>
      </c>
      <c r="D92" s="64" t="s">
        <v>50</v>
      </c>
      <c r="E92" s="63" t="s">
        <v>50</v>
      </c>
      <c r="F92" s="126">
        <f>SUMIFS(期初庫存!G:G,期初庫存!C:C,C92)-SUMIFS(每日用粉紀錄表!G:G,每日用粉紀錄表!C:C,C92)+SUMIFS(每日用粉紀錄表!I:I,每日用粉紀錄表!C:C,C92)</f>
        <v>0</v>
      </c>
      <c r="G92" s="126">
        <v>0</v>
      </c>
      <c r="H92" s="66"/>
      <c r="I92" s="65" t="str">
        <f>IF(H92&gt;G92,"採購","否")</f>
        <v>否</v>
      </c>
      <c r="J92" s="63">
        <f>IFERROR($G92*25+$F92,"-")</f>
        <v>0</v>
      </c>
      <c r="K92" s="56"/>
      <c r="L92" s="57"/>
      <c r="M92" s="56"/>
    </row>
    <row r="93" spans="1:13" x14ac:dyDescent="0.15">
      <c r="A93" s="61"/>
      <c r="B93" s="62">
        <v>90</v>
      </c>
      <c r="C93" s="63" t="s">
        <v>50</v>
      </c>
      <c r="D93" s="64" t="s">
        <v>50</v>
      </c>
      <c r="E93" s="63" t="s">
        <v>50</v>
      </c>
      <c r="F93" s="126">
        <f>SUMIFS(期初庫存!G:G,期初庫存!C:C,C93)-SUMIFS(每日用粉紀錄表!G:G,每日用粉紀錄表!C:C,C93)+SUMIFS(每日用粉紀錄表!I:I,每日用粉紀錄表!C:C,C93)</f>
        <v>0</v>
      </c>
      <c r="G93" s="126">
        <v>0</v>
      </c>
      <c r="H93" s="66"/>
      <c r="I93" s="65" t="str">
        <f>IF(H93&gt;G93,"採購","否")</f>
        <v>否</v>
      </c>
      <c r="J93" s="63">
        <f>IFERROR($G93*25+$F93,"-")</f>
        <v>0</v>
      </c>
      <c r="K93" s="56"/>
      <c r="L93" s="57"/>
      <c r="M93" s="56"/>
    </row>
    <row r="94" spans="1:13" x14ac:dyDescent="0.15">
      <c r="A94" s="61"/>
      <c r="B94" s="62">
        <v>91</v>
      </c>
      <c r="C94" s="63" t="s">
        <v>50</v>
      </c>
      <c r="D94" s="64" t="s">
        <v>50</v>
      </c>
      <c r="E94" s="63" t="s">
        <v>50</v>
      </c>
      <c r="F94" s="126">
        <f>SUMIFS(期初庫存!G:G,期初庫存!C:C,C94)-SUMIFS(每日用粉紀錄表!G:G,每日用粉紀錄表!C:C,C94)+SUMIFS(每日用粉紀錄表!I:I,每日用粉紀錄表!C:C,C94)</f>
        <v>0</v>
      </c>
      <c r="G94" s="126">
        <v>0</v>
      </c>
      <c r="H94" s="66"/>
      <c r="I94" s="65" t="str">
        <f>IF(H94&gt;G94,"採購","否")</f>
        <v>否</v>
      </c>
      <c r="J94" s="63">
        <f>IFERROR($G94*25+$F94,"-")</f>
        <v>0</v>
      </c>
      <c r="K94" s="56"/>
      <c r="L94" s="57"/>
      <c r="M94" s="56"/>
    </row>
    <row r="95" spans="1:13" x14ac:dyDescent="0.15">
      <c r="A95" s="61"/>
      <c r="B95" s="62">
        <v>92</v>
      </c>
      <c r="C95" s="63" t="s">
        <v>50</v>
      </c>
      <c r="D95" s="64" t="s">
        <v>50</v>
      </c>
      <c r="E95" s="63" t="s">
        <v>50</v>
      </c>
      <c r="F95" s="126">
        <f>SUMIFS(期初庫存!G:G,期初庫存!C:C,C95)-SUMIFS(每日用粉紀錄表!G:G,每日用粉紀錄表!C:C,C95)+SUMIFS(每日用粉紀錄表!I:I,每日用粉紀錄表!C:C,C95)</f>
        <v>0</v>
      </c>
      <c r="G95" s="126">
        <v>0</v>
      </c>
      <c r="H95" s="66"/>
      <c r="I95" s="65" t="str">
        <f>IF(H95&gt;G95,"採購","否")</f>
        <v>否</v>
      </c>
      <c r="J95" s="63">
        <f>IFERROR($G95*25+$F95,"-")</f>
        <v>0</v>
      </c>
      <c r="K95" s="56"/>
      <c r="L95" s="57"/>
      <c r="M95" s="56"/>
    </row>
    <row r="96" spans="1:13" x14ac:dyDescent="0.15">
      <c r="A96" s="61"/>
      <c r="B96" s="62">
        <v>93</v>
      </c>
      <c r="C96" s="63" t="s">
        <v>50</v>
      </c>
      <c r="D96" s="64" t="s">
        <v>50</v>
      </c>
      <c r="E96" s="63" t="s">
        <v>50</v>
      </c>
      <c r="F96" s="126">
        <f>SUMIFS(期初庫存!G:G,期初庫存!C:C,C96)-SUMIFS(每日用粉紀錄表!G:G,每日用粉紀錄表!C:C,C96)+SUMIFS(每日用粉紀錄表!I:I,每日用粉紀錄表!C:C,C96)</f>
        <v>0</v>
      </c>
      <c r="G96" s="126">
        <v>0</v>
      </c>
      <c r="H96" s="66"/>
      <c r="I96" s="65" t="str">
        <f>IF(H96&gt;G96,"採購","否")</f>
        <v>否</v>
      </c>
      <c r="J96" s="63">
        <f>IFERROR($G96*25+$F96,"-")</f>
        <v>0</v>
      </c>
      <c r="K96" s="56"/>
      <c r="L96" s="57"/>
      <c r="M96" s="56"/>
    </row>
    <row r="97" spans="1:13" x14ac:dyDescent="0.15">
      <c r="A97" s="61"/>
      <c r="B97" s="62">
        <v>94</v>
      </c>
      <c r="C97" s="63" t="s">
        <v>50</v>
      </c>
      <c r="D97" s="64" t="s">
        <v>50</v>
      </c>
      <c r="E97" s="63" t="s">
        <v>50</v>
      </c>
      <c r="F97" s="126">
        <f>SUMIFS(期初庫存!G:G,期初庫存!C:C,C97)-SUMIFS(每日用粉紀錄表!G:G,每日用粉紀錄表!C:C,C97)+SUMIFS(每日用粉紀錄表!I:I,每日用粉紀錄表!C:C,C97)</f>
        <v>0</v>
      </c>
      <c r="G97" s="126">
        <v>0</v>
      </c>
      <c r="H97" s="66"/>
      <c r="I97" s="65" t="str">
        <f>IF(H97&gt;G97,"採購","否")</f>
        <v>否</v>
      </c>
      <c r="J97" s="63">
        <f>IFERROR($G97*25+$F97,"-")</f>
        <v>0</v>
      </c>
      <c r="K97" s="56"/>
      <c r="L97" s="57"/>
      <c r="M97" s="56"/>
    </row>
    <row r="98" spans="1:13" x14ac:dyDescent="0.15">
      <c r="A98" s="61"/>
      <c r="B98" s="62">
        <v>95</v>
      </c>
      <c r="C98" s="63" t="s">
        <v>50</v>
      </c>
      <c r="D98" s="64" t="s">
        <v>50</v>
      </c>
      <c r="E98" s="63" t="s">
        <v>50</v>
      </c>
      <c r="F98" s="126">
        <f>SUMIFS(期初庫存!G:G,期初庫存!C:C,C98)-SUMIFS(每日用粉紀錄表!G:G,每日用粉紀錄表!C:C,C98)+SUMIFS(每日用粉紀錄表!I:I,每日用粉紀錄表!C:C,C98)</f>
        <v>0</v>
      </c>
      <c r="G98" s="126">
        <v>0</v>
      </c>
      <c r="H98" s="66"/>
      <c r="I98" s="65" t="str">
        <f>IF(H98&gt;G98,"採購","否")</f>
        <v>否</v>
      </c>
      <c r="J98" s="63">
        <f>IFERROR($G98*25+$F98,"-")</f>
        <v>0</v>
      </c>
      <c r="K98" s="56"/>
      <c r="L98" s="57"/>
      <c r="M98" s="56"/>
    </row>
    <row r="99" spans="1:13" x14ac:dyDescent="0.15">
      <c r="A99" s="61"/>
      <c r="B99" s="62">
        <v>96</v>
      </c>
      <c r="C99" s="63" t="s">
        <v>50</v>
      </c>
      <c r="D99" s="64" t="s">
        <v>50</v>
      </c>
      <c r="E99" s="63" t="s">
        <v>50</v>
      </c>
      <c r="F99" s="126">
        <f>SUMIFS(期初庫存!G:G,期初庫存!C:C,C99)-SUMIFS(每日用粉紀錄表!G:G,每日用粉紀錄表!C:C,C99)+SUMIFS(每日用粉紀錄表!I:I,每日用粉紀錄表!C:C,C99)</f>
        <v>0</v>
      </c>
      <c r="G99" s="126">
        <v>0</v>
      </c>
      <c r="H99" s="66"/>
      <c r="I99" s="65" t="str">
        <f>IF(H99&gt;G99,"採購","否")</f>
        <v>否</v>
      </c>
      <c r="J99" s="63">
        <f>IFERROR($G99*25+$F99,"-")</f>
        <v>0</v>
      </c>
      <c r="K99" s="56"/>
      <c r="L99" s="57"/>
      <c r="M99" s="56"/>
    </row>
    <row r="100" spans="1:13" x14ac:dyDescent="0.15">
      <c r="A100" s="61"/>
      <c r="B100" s="62">
        <v>97</v>
      </c>
      <c r="C100" s="63" t="s">
        <v>50</v>
      </c>
      <c r="D100" s="64" t="s">
        <v>50</v>
      </c>
      <c r="E100" s="63" t="s">
        <v>50</v>
      </c>
      <c r="F100" s="126">
        <f>SUMIFS(期初庫存!G:G,期初庫存!C:C,C100)-SUMIFS(每日用粉紀錄表!G:G,每日用粉紀錄表!C:C,C100)+SUMIFS(每日用粉紀錄表!I:I,每日用粉紀錄表!C:C,C100)</f>
        <v>0</v>
      </c>
      <c r="G100" s="126">
        <v>0</v>
      </c>
      <c r="H100" s="66"/>
      <c r="I100" s="65" t="str">
        <f>IF(H100&gt;G100,"採購","否")</f>
        <v>否</v>
      </c>
      <c r="J100" s="63">
        <f>IFERROR($G100*25+$F100,"-")</f>
        <v>0</v>
      </c>
      <c r="K100" s="56"/>
      <c r="L100" s="57"/>
      <c r="M100" s="56"/>
    </row>
    <row r="101" spans="1:13" x14ac:dyDescent="0.15">
      <c r="A101" s="61"/>
      <c r="B101" s="62">
        <v>98</v>
      </c>
      <c r="C101" s="63" t="s">
        <v>50</v>
      </c>
      <c r="D101" s="64" t="s">
        <v>50</v>
      </c>
      <c r="E101" s="63" t="s">
        <v>50</v>
      </c>
      <c r="F101" s="126">
        <f>SUMIFS(期初庫存!G:G,期初庫存!C:C,C101)-SUMIFS(每日用粉紀錄表!G:G,每日用粉紀錄表!C:C,C101)+SUMIFS(每日用粉紀錄表!I:I,每日用粉紀錄表!C:C,C101)</f>
        <v>0</v>
      </c>
      <c r="G101" s="126">
        <v>0</v>
      </c>
      <c r="H101" s="66"/>
      <c r="I101" s="65" t="str">
        <f>IF(H101&gt;G101,"採購","否")</f>
        <v>否</v>
      </c>
      <c r="J101" s="63">
        <f>IFERROR($G101*25+$F101,"-")</f>
        <v>0</v>
      </c>
      <c r="K101" s="56"/>
      <c r="L101" s="57"/>
      <c r="M101" s="56"/>
    </row>
    <row r="102" spans="1:13" x14ac:dyDescent="0.15">
      <c r="A102" s="61"/>
      <c r="B102" s="62">
        <v>99</v>
      </c>
      <c r="C102" s="63" t="s">
        <v>50</v>
      </c>
      <c r="D102" s="64" t="s">
        <v>50</v>
      </c>
      <c r="E102" s="63" t="s">
        <v>50</v>
      </c>
      <c r="F102" s="126">
        <f>SUMIFS(期初庫存!G:G,期初庫存!C:C,C102)-SUMIFS(每日用粉紀錄表!G:G,每日用粉紀錄表!C:C,C102)+SUMIFS(每日用粉紀錄表!I:I,每日用粉紀錄表!C:C,C102)</f>
        <v>0</v>
      </c>
      <c r="G102" s="126">
        <v>0</v>
      </c>
      <c r="H102" s="66"/>
      <c r="I102" s="65" t="str">
        <f>IF(H102&gt;G102,"採購","否")</f>
        <v>否</v>
      </c>
      <c r="J102" s="63">
        <f>IFERROR($G102*25+$F102,"-")</f>
        <v>0</v>
      </c>
      <c r="K102" s="56"/>
      <c r="L102" s="57"/>
      <c r="M102" s="56"/>
    </row>
    <row r="103" spans="1:13" x14ac:dyDescent="0.15">
      <c r="A103" s="61"/>
      <c r="B103" s="62">
        <v>100</v>
      </c>
      <c r="C103" s="63" t="s">
        <v>50</v>
      </c>
      <c r="D103" s="64" t="s">
        <v>50</v>
      </c>
      <c r="E103" s="63" t="s">
        <v>50</v>
      </c>
      <c r="F103" s="126">
        <f>SUMIFS(期初庫存!G:G,期初庫存!C:C,C103)-SUMIFS(每日用粉紀錄表!G:G,每日用粉紀錄表!C:C,C103)+SUMIFS(每日用粉紀錄表!I:I,每日用粉紀錄表!C:C,C103)</f>
        <v>0</v>
      </c>
      <c r="G103" s="126">
        <v>0</v>
      </c>
      <c r="H103" s="66"/>
      <c r="I103" s="65" t="str">
        <f>IF(H103&gt;G103,"採購","否")</f>
        <v>否</v>
      </c>
      <c r="J103" s="63">
        <f>IFERROR($G103*25+$F103,"-")</f>
        <v>0</v>
      </c>
      <c r="K103" s="56"/>
      <c r="L103" s="57"/>
      <c r="M103" s="56"/>
    </row>
    <row r="104" spans="1:13" x14ac:dyDescent="0.15">
      <c r="A104" s="67"/>
      <c r="B104" s="127">
        <v>101</v>
      </c>
      <c r="C104" s="68" t="s">
        <v>50</v>
      </c>
      <c r="D104" s="69" t="s">
        <v>50</v>
      </c>
      <c r="E104" s="68" t="s">
        <v>50</v>
      </c>
      <c r="F104" s="68" t="s">
        <v>50</v>
      </c>
      <c r="G104" s="68">
        <v>0</v>
      </c>
      <c r="H104" s="73"/>
      <c r="I104" s="70" t="str">
        <f>IF(H104&gt;G104,"采购","否")</f>
        <v>否</v>
      </c>
      <c r="J104" s="71"/>
      <c r="K104" s="71"/>
      <c r="L104" s="72"/>
      <c r="M104" s="71"/>
    </row>
    <row r="105" spans="1:13" x14ac:dyDescent="0.15">
      <c r="A105" s="67"/>
      <c r="B105" s="128">
        <v>102</v>
      </c>
      <c r="C105" s="68" t="s">
        <v>50</v>
      </c>
      <c r="D105" s="69" t="s">
        <v>50</v>
      </c>
      <c r="E105" s="68" t="s">
        <v>50</v>
      </c>
      <c r="F105" s="68" t="s">
        <v>50</v>
      </c>
      <c r="G105" s="68">
        <v>0</v>
      </c>
      <c r="H105" s="73"/>
      <c r="I105" s="70" t="str">
        <f>IF(H105&gt;G105,"采购","否")</f>
        <v>否</v>
      </c>
      <c r="J105" s="71"/>
      <c r="K105" s="71"/>
      <c r="L105" s="72"/>
      <c r="M105" s="71"/>
    </row>
    <row r="106" spans="1:13" x14ac:dyDescent="0.15">
      <c r="A106" s="67"/>
      <c r="B106" s="128">
        <v>103</v>
      </c>
      <c r="C106" s="68" t="s">
        <v>50</v>
      </c>
      <c r="D106" s="69" t="s">
        <v>50</v>
      </c>
      <c r="E106" s="68" t="s">
        <v>50</v>
      </c>
      <c r="F106" s="68" t="s">
        <v>50</v>
      </c>
      <c r="G106" s="68">
        <v>0</v>
      </c>
      <c r="H106" s="73"/>
      <c r="I106" s="70" t="str">
        <f>IF(H106&gt;G106,"采购","否")</f>
        <v>否</v>
      </c>
      <c r="J106" s="71"/>
      <c r="K106" s="71"/>
      <c r="L106" s="72"/>
      <c r="M106" s="71"/>
    </row>
    <row r="107" spans="1:13" x14ac:dyDescent="0.15">
      <c r="A107" s="67"/>
      <c r="B107" s="128">
        <v>104</v>
      </c>
      <c r="C107" s="68" t="s">
        <v>50</v>
      </c>
      <c r="D107" s="69" t="s">
        <v>50</v>
      </c>
      <c r="E107" s="68" t="s">
        <v>50</v>
      </c>
      <c r="F107" s="68" t="s">
        <v>50</v>
      </c>
      <c r="G107" s="68">
        <v>0</v>
      </c>
      <c r="H107" s="73"/>
      <c r="I107" s="70" t="str">
        <f>IF(H107&gt;G107,"采购","否")</f>
        <v>否</v>
      </c>
      <c r="J107" s="71"/>
      <c r="K107" s="71"/>
      <c r="L107" s="72"/>
      <c r="M107" s="71"/>
    </row>
    <row r="108" spans="1:13" x14ac:dyDescent="0.15">
      <c r="A108" s="67"/>
      <c r="B108" s="128">
        <v>105</v>
      </c>
      <c r="C108" s="68" t="s">
        <v>50</v>
      </c>
      <c r="D108" s="69" t="s">
        <v>50</v>
      </c>
      <c r="E108" s="68" t="s">
        <v>50</v>
      </c>
      <c r="F108" s="68" t="s">
        <v>50</v>
      </c>
      <c r="G108" s="68">
        <v>0</v>
      </c>
      <c r="H108" s="73"/>
      <c r="I108" s="70" t="str">
        <f>IF(H108&gt;G108,"采购","否")</f>
        <v>否</v>
      </c>
      <c r="J108" s="71"/>
      <c r="K108" s="71"/>
      <c r="L108" s="72"/>
      <c r="M108" s="71"/>
    </row>
    <row r="109" spans="1:13" x14ac:dyDescent="0.15">
      <c r="A109" s="67"/>
      <c r="B109" s="128">
        <v>106</v>
      </c>
      <c r="C109" s="68" t="s">
        <v>50</v>
      </c>
      <c r="D109" s="69" t="s">
        <v>50</v>
      </c>
      <c r="E109" s="68" t="s">
        <v>50</v>
      </c>
      <c r="F109" s="68" t="s">
        <v>50</v>
      </c>
      <c r="G109" s="68">
        <v>0</v>
      </c>
      <c r="H109" s="73"/>
      <c r="I109" s="70" t="str">
        <f>IF(H109&gt;G109,"采购","否")</f>
        <v>否</v>
      </c>
      <c r="J109" s="71"/>
      <c r="K109" s="71"/>
      <c r="L109" s="72"/>
      <c r="M109" s="71"/>
    </row>
    <row r="110" spans="1:13" x14ac:dyDescent="0.15">
      <c r="A110" s="67"/>
      <c r="B110" s="128">
        <v>107</v>
      </c>
      <c r="C110" s="68" t="s">
        <v>50</v>
      </c>
      <c r="D110" s="69" t="s">
        <v>50</v>
      </c>
      <c r="E110" s="68" t="s">
        <v>50</v>
      </c>
      <c r="F110" s="68" t="s">
        <v>50</v>
      </c>
      <c r="G110" s="68">
        <v>0</v>
      </c>
      <c r="H110" s="73"/>
      <c r="I110" s="70" t="str">
        <f>IF(H110&gt;G110,"采购","否")</f>
        <v>否</v>
      </c>
      <c r="J110" s="71"/>
      <c r="K110" s="71"/>
      <c r="L110" s="72"/>
      <c r="M110" s="71"/>
    </row>
    <row r="111" spans="1:13" x14ac:dyDescent="0.15">
      <c r="A111" s="67"/>
      <c r="B111" s="128">
        <v>108</v>
      </c>
      <c r="C111" s="68" t="s">
        <v>50</v>
      </c>
      <c r="D111" s="69" t="s">
        <v>50</v>
      </c>
      <c r="E111" s="68" t="s">
        <v>50</v>
      </c>
      <c r="F111" s="68" t="s">
        <v>50</v>
      </c>
      <c r="G111" s="68">
        <v>0</v>
      </c>
      <c r="H111" s="73"/>
      <c r="I111" s="70" t="str">
        <f>IF(H111&gt;G111,"采购","否")</f>
        <v>否</v>
      </c>
      <c r="J111" s="71"/>
      <c r="K111" s="71"/>
      <c r="L111" s="72"/>
      <c r="M111" s="71"/>
    </row>
    <row r="112" spans="1:13" x14ac:dyDescent="0.15">
      <c r="A112" s="67"/>
      <c r="B112" s="128">
        <v>109</v>
      </c>
      <c r="C112" s="68" t="s">
        <v>50</v>
      </c>
      <c r="D112" s="69" t="s">
        <v>50</v>
      </c>
      <c r="E112" s="68" t="s">
        <v>50</v>
      </c>
      <c r="F112" s="68" t="s">
        <v>50</v>
      </c>
      <c r="G112" s="68">
        <v>0</v>
      </c>
      <c r="H112" s="73"/>
      <c r="I112" s="70" t="str">
        <f>IF(H112&gt;G112,"采购","否")</f>
        <v>否</v>
      </c>
      <c r="J112" s="71"/>
      <c r="K112" s="71"/>
      <c r="L112" s="72"/>
      <c r="M112" s="71"/>
    </row>
    <row r="113" spans="1:13" x14ac:dyDescent="0.15">
      <c r="A113" s="67"/>
      <c r="B113" s="128">
        <v>110</v>
      </c>
      <c r="C113" s="68" t="s">
        <v>50</v>
      </c>
      <c r="D113" s="69" t="s">
        <v>50</v>
      </c>
      <c r="E113" s="68" t="s">
        <v>50</v>
      </c>
      <c r="F113" s="68" t="s">
        <v>50</v>
      </c>
      <c r="G113" s="68">
        <v>0</v>
      </c>
      <c r="H113" s="73"/>
      <c r="I113" s="70" t="str">
        <f>IF(H113&gt;G113,"采购","否")</f>
        <v>否</v>
      </c>
      <c r="J113" s="71"/>
      <c r="K113" s="71"/>
      <c r="L113" s="72"/>
      <c r="M113" s="71"/>
    </row>
    <row r="114" spans="1:13" x14ac:dyDescent="0.15">
      <c r="A114" s="67"/>
      <c r="B114" s="128">
        <v>111</v>
      </c>
      <c r="C114" s="68" t="s">
        <v>50</v>
      </c>
      <c r="D114" s="69" t="s">
        <v>50</v>
      </c>
      <c r="E114" s="68" t="s">
        <v>50</v>
      </c>
      <c r="F114" s="68" t="s">
        <v>50</v>
      </c>
      <c r="G114" s="68">
        <v>0</v>
      </c>
      <c r="H114" s="73"/>
      <c r="I114" s="70" t="str">
        <f>IF(H114&gt;G114,"采购","否")</f>
        <v>否</v>
      </c>
      <c r="J114" s="71"/>
      <c r="K114" s="71"/>
      <c r="L114" s="72"/>
      <c r="M114" s="71"/>
    </row>
    <row r="115" spans="1:13" x14ac:dyDescent="0.15">
      <c r="A115" s="67"/>
      <c r="B115" s="128">
        <v>112</v>
      </c>
      <c r="C115" s="68" t="s">
        <v>50</v>
      </c>
      <c r="D115" s="69" t="s">
        <v>50</v>
      </c>
      <c r="E115" s="68" t="s">
        <v>50</v>
      </c>
      <c r="F115" s="68" t="s">
        <v>50</v>
      </c>
      <c r="G115" s="68">
        <v>0</v>
      </c>
      <c r="H115" s="73"/>
      <c r="I115" s="70" t="str">
        <f>IF(H115&gt;G115,"采购","否")</f>
        <v>否</v>
      </c>
      <c r="J115" s="71"/>
      <c r="K115" s="71"/>
      <c r="L115" s="72"/>
      <c r="M115" s="71"/>
    </row>
    <row r="116" spans="1:13" x14ac:dyDescent="0.15">
      <c r="A116" s="67"/>
      <c r="B116" s="128">
        <v>113</v>
      </c>
      <c r="C116" s="68" t="s">
        <v>50</v>
      </c>
      <c r="D116" s="69" t="s">
        <v>50</v>
      </c>
      <c r="E116" s="68" t="s">
        <v>50</v>
      </c>
      <c r="F116" s="68" t="s">
        <v>50</v>
      </c>
      <c r="G116" s="68">
        <v>0</v>
      </c>
      <c r="H116" s="73"/>
      <c r="I116" s="70" t="str">
        <f>IF(H116&gt;G116,"采购","否")</f>
        <v>否</v>
      </c>
      <c r="J116" s="71"/>
      <c r="K116" s="71"/>
      <c r="L116" s="72"/>
      <c r="M116" s="71"/>
    </row>
    <row r="117" spans="1:13" x14ac:dyDescent="0.15">
      <c r="A117" s="67"/>
      <c r="B117" s="128">
        <v>114</v>
      </c>
      <c r="C117" s="68" t="s">
        <v>50</v>
      </c>
      <c r="D117" s="69" t="s">
        <v>50</v>
      </c>
      <c r="E117" s="68" t="s">
        <v>50</v>
      </c>
      <c r="F117" s="68" t="s">
        <v>50</v>
      </c>
      <c r="G117" s="68">
        <v>0</v>
      </c>
      <c r="H117" s="73"/>
      <c r="I117" s="70" t="str">
        <f>IF(H117&gt;G117,"采购","否")</f>
        <v>否</v>
      </c>
      <c r="J117" s="71"/>
      <c r="K117" s="71"/>
      <c r="L117" s="72"/>
      <c r="M117" s="71"/>
    </row>
    <row r="118" spans="1:13" x14ac:dyDescent="0.15">
      <c r="A118" s="67"/>
      <c r="B118" s="128">
        <v>115</v>
      </c>
      <c r="C118" s="68" t="s">
        <v>50</v>
      </c>
      <c r="D118" s="69" t="s">
        <v>50</v>
      </c>
      <c r="E118" s="68" t="s">
        <v>50</v>
      </c>
      <c r="F118" s="68" t="s">
        <v>50</v>
      </c>
      <c r="G118" s="68">
        <v>0</v>
      </c>
      <c r="H118" s="73"/>
      <c r="I118" s="70" t="str">
        <f>IF(H118&gt;G118,"采购","否")</f>
        <v>否</v>
      </c>
      <c r="J118" s="71"/>
      <c r="K118" s="71"/>
      <c r="L118" s="72"/>
      <c r="M118" s="71"/>
    </row>
    <row r="119" spans="1:13" x14ac:dyDescent="0.15">
      <c r="A119" s="67"/>
      <c r="B119" s="128">
        <v>116</v>
      </c>
      <c r="C119" s="68" t="s">
        <v>50</v>
      </c>
      <c r="D119" s="69" t="s">
        <v>50</v>
      </c>
      <c r="E119" s="68" t="s">
        <v>50</v>
      </c>
      <c r="F119" s="68" t="s">
        <v>50</v>
      </c>
      <c r="G119" s="68">
        <v>0</v>
      </c>
      <c r="H119" s="73"/>
      <c r="I119" s="70" t="str">
        <f>IF(H119&gt;G119,"采购","否")</f>
        <v>否</v>
      </c>
      <c r="J119" s="71"/>
      <c r="K119" s="71"/>
      <c r="L119" s="72"/>
      <c r="M119" s="71"/>
    </row>
    <row r="120" spans="1:13" x14ac:dyDescent="0.15">
      <c r="A120" s="67"/>
      <c r="B120" s="128">
        <v>117</v>
      </c>
      <c r="C120" s="68" t="s">
        <v>50</v>
      </c>
      <c r="D120" s="69" t="s">
        <v>50</v>
      </c>
      <c r="E120" s="68" t="s">
        <v>50</v>
      </c>
      <c r="F120" s="68" t="s">
        <v>50</v>
      </c>
      <c r="G120" s="68">
        <v>0</v>
      </c>
      <c r="H120" s="73"/>
      <c r="I120" s="70" t="str">
        <f>IF(H120&gt;G120,"采购","否")</f>
        <v>否</v>
      </c>
      <c r="J120" s="71"/>
      <c r="K120" s="71"/>
      <c r="L120" s="72"/>
      <c r="M120" s="71"/>
    </row>
    <row r="121" spans="1:13" x14ac:dyDescent="0.15">
      <c r="A121" s="67"/>
      <c r="B121" s="128">
        <v>118</v>
      </c>
      <c r="C121" s="68" t="s">
        <v>50</v>
      </c>
      <c r="D121" s="69" t="s">
        <v>50</v>
      </c>
      <c r="E121" s="68" t="s">
        <v>50</v>
      </c>
      <c r="F121" s="68" t="s">
        <v>50</v>
      </c>
      <c r="G121" s="68">
        <v>0</v>
      </c>
      <c r="H121" s="73"/>
      <c r="I121" s="70" t="str">
        <f>IF(H121&gt;G121,"采购","否")</f>
        <v>否</v>
      </c>
      <c r="J121" s="71"/>
      <c r="K121" s="71"/>
      <c r="L121" s="72"/>
      <c r="M121" s="71"/>
    </row>
    <row r="122" spans="1:13" x14ac:dyDescent="0.15">
      <c r="A122" s="67"/>
      <c r="B122" s="128">
        <v>119</v>
      </c>
      <c r="C122" s="68" t="s">
        <v>50</v>
      </c>
      <c r="D122" s="69" t="s">
        <v>50</v>
      </c>
      <c r="E122" s="68" t="s">
        <v>50</v>
      </c>
      <c r="F122" s="68" t="s">
        <v>50</v>
      </c>
      <c r="G122" s="68">
        <v>0</v>
      </c>
      <c r="H122" s="73"/>
      <c r="I122" s="70" t="str">
        <f>IF(H122&gt;G122,"采购","否")</f>
        <v>否</v>
      </c>
      <c r="J122" s="71"/>
      <c r="K122" s="71"/>
      <c r="L122" s="72"/>
      <c r="M122" s="71"/>
    </row>
    <row r="123" spans="1:13" x14ac:dyDescent="0.15">
      <c r="A123" s="67"/>
      <c r="B123" s="128">
        <v>120</v>
      </c>
      <c r="C123" s="68" t="s">
        <v>50</v>
      </c>
      <c r="D123" s="69" t="s">
        <v>50</v>
      </c>
      <c r="E123" s="68" t="s">
        <v>50</v>
      </c>
      <c r="F123" s="68" t="s">
        <v>50</v>
      </c>
      <c r="G123" s="68">
        <v>0</v>
      </c>
      <c r="H123" s="73"/>
      <c r="I123" s="70" t="str">
        <f>IF(H123&gt;G123,"采购","否")</f>
        <v>否</v>
      </c>
      <c r="J123" s="71"/>
      <c r="K123" s="71"/>
      <c r="L123" s="72"/>
      <c r="M123" s="71"/>
    </row>
    <row r="124" spans="1:13" x14ac:dyDescent="0.15">
      <c r="A124" s="67"/>
      <c r="B124" s="128">
        <v>121</v>
      </c>
      <c r="C124" s="68" t="s">
        <v>50</v>
      </c>
      <c r="D124" s="69" t="s">
        <v>50</v>
      </c>
      <c r="E124" s="68" t="s">
        <v>50</v>
      </c>
      <c r="F124" s="68" t="s">
        <v>50</v>
      </c>
      <c r="G124" s="68">
        <v>0</v>
      </c>
      <c r="H124" s="73"/>
      <c r="I124" s="70" t="str">
        <f>IF(H124&gt;G124,"采购","否")</f>
        <v>否</v>
      </c>
      <c r="J124" s="71"/>
      <c r="K124" s="71"/>
      <c r="L124" s="72"/>
      <c r="M124" s="71"/>
    </row>
    <row r="125" spans="1:13" x14ac:dyDescent="0.15">
      <c r="A125" s="67"/>
      <c r="B125" s="128">
        <v>122</v>
      </c>
      <c r="C125" s="68" t="s">
        <v>50</v>
      </c>
      <c r="D125" s="69" t="s">
        <v>50</v>
      </c>
      <c r="E125" s="68" t="s">
        <v>50</v>
      </c>
      <c r="F125" s="68" t="s">
        <v>50</v>
      </c>
      <c r="G125" s="68">
        <v>0</v>
      </c>
      <c r="H125" s="73"/>
      <c r="I125" s="70" t="str">
        <f>IF(H125&gt;G125,"采购","否")</f>
        <v>否</v>
      </c>
      <c r="J125" s="71"/>
      <c r="K125" s="71"/>
      <c r="L125" s="72"/>
      <c r="M125" s="71"/>
    </row>
    <row r="126" spans="1:13" x14ac:dyDescent="0.15">
      <c r="A126" s="67"/>
      <c r="B126" s="128">
        <v>123</v>
      </c>
      <c r="C126" s="68" t="s">
        <v>50</v>
      </c>
      <c r="D126" s="69" t="s">
        <v>50</v>
      </c>
      <c r="E126" s="68" t="s">
        <v>50</v>
      </c>
      <c r="F126" s="68" t="s">
        <v>50</v>
      </c>
      <c r="G126" s="68">
        <v>0</v>
      </c>
      <c r="H126" s="73"/>
      <c r="I126" s="70" t="str">
        <f>IF(H126&gt;G126,"采购","否")</f>
        <v>否</v>
      </c>
      <c r="J126" s="71"/>
      <c r="K126" s="71"/>
      <c r="L126" s="72"/>
      <c r="M126" s="71"/>
    </row>
    <row r="127" spans="1:13" x14ac:dyDescent="0.15">
      <c r="A127" s="67"/>
      <c r="B127" s="128">
        <v>124</v>
      </c>
      <c r="C127" s="68" t="s">
        <v>50</v>
      </c>
      <c r="D127" s="69" t="s">
        <v>50</v>
      </c>
      <c r="E127" s="68" t="s">
        <v>50</v>
      </c>
      <c r="F127" s="68" t="s">
        <v>50</v>
      </c>
      <c r="G127" s="68">
        <v>0</v>
      </c>
      <c r="H127" s="73"/>
      <c r="I127" s="70" t="str">
        <f>IF(H127&gt;G127,"采购","否")</f>
        <v>否</v>
      </c>
      <c r="J127" s="71"/>
      <c r="K127" s="71"/>
      <c r="L127" s="72"/>
      <c r="M127" s="71"/>
    </row>
    <row r="128" spans="1:13" x14ac:dyDescent="0.15">
      <c r="A128" s="67"/>
      <c r="B128" s="128">
        <v>125</v>
      </c>
      <c r="C128" s="68" t="s">
        <v>50</v>
      </c>
      <c r="D128" s="69" t="s">
        <v>50</v>
      </c>
      <c r="E128" s="68" t="s">
        <v>50</v>
      </c>
      <c r="F128" s="68" t="s">
        <v>50</v>
      </c>
      <c r="G128" s="68">
        <v>0</v>
      </c>
      <c r="H128" s="73"/>
      <c r="I128" s="70" t="str">
        <f>IF(H128&gt;G128,"采购","否")</f>
        <v>否</v>
      </c>
      <c r="J128" s="71"/>
      <c r="K128" s="71"/>
      <c r="L128" s="72"/>
      <c r="M128" s="71"/>
    </row>
    <row r="129" spans="1:13" x14ac:dyDescent="0.15">
      <c r="A129" s="67"/>
      <c r="B129" s="128">
        <v>126</v>
      </c>
      <c r="C129" s="68" t="s">
        <v>50</v>
      </c>
      <c r="D129" s="69" t="s">
        <v>50</v>
      </c>
      <c r="E129" s="68" t="s">
        <v>50</v>
      </c>
      <c r="F129" s="68" t="s">
        <v>50</v>
      </c>
      <c r="G129" s="68">
        <v>0</v>
      </c>
      <c r="H129" s="73"/>
      <c r="I129" s="70" t="str">
        <f>IF(H129&gt;G129,"采购","否")</f>
        <v>否</v>
      </c>
      <c r="J129" s="71"/>
      <c r="K129" s="71"/>
      <c r="L129" s="72"/>
      <c r="M129" s="71"/>
    </row>
    <row r="130" spans="1:13" x14ac:dyDescent="0.15">
      <c r="A130" s="67"/>
      <c r="B130" s="128">
        <v>127</v>
      </c>
      <c r="C130" s="68" t="s">
        <v>50</v>
      </c>
      <c r="D130" s="69" t="s">
        <v>50</v>
      </c>
      <c r="E130" s="68" t="s">
        <v>50</v>
      </c>
      <c r="F130" s="68" t="s">
        <v>50</v>
      </c>
      <c r="G130" s="68">
        <v>0</v>
      </c>
      <c r="H130" s="73"/>
      <c r="I130" s="70" t="str">
        <f>IF(H130&gt;G130,"采购","否")</f>
        <v>否</v>
      </c>
      <c r="J130" s="71"/>
      <c r="K130" s="71"/>
      <c r="L130" s="72"/>
      <c r="M130" s="71"/>
    </row>
    <row r="131" spans="1:13" x14ac:dyDescent="0.15">
      <c r="A131" s="67"/>
      <c r="B131" s="128">
        <v>128</v>
      </c>
      <c r="C131" s="68" t="s">
        <v>50</v>
      </c>
      <c r="D131" s="69" t="s">
        <v>50</v>
      </c>
      <c r="E131" s="68" t="s">
        <v>50</v>
      </c>
      <c r="F131" s="68" t="s">
        <v>50</v>
      </c>
      <c r="G131" s="68">
        <v>0</v>
      </c>
      <c r="H131" s="73"/>
      <c r="I131" s="70" t="str">
        <f>IF(H131&gt;G131,"采购","否")</f>
        <v>否</v>
      </c>
      <c r="J131" s="71"/>
      <c r="K131" s="71"/>
      <c r="L131" s="72"/>
      <c r="M131" s="71"/>
    </row>
    <row r="132" spans="1:13" x14ac:dyDescent="0.15">
      <c r="A132" s="67"/>
      <c r="B132" s="128">
        <v>129</v>
      </c>
      <c r="C132" s="68" t="s">
        <v>50</v>
      </c>
      <c r="D132" s="69" t="s">
        <v>50</v>
      </c>
      <c r="E132" s="68" t="s">
        <v>50</v>
      </c>
      <c r="F132" s="68" t="s">
        <v>50</v>
      </c>
      <c r="G132" s="68">
        <v>0</v>
      </c>
      <c r="H132" s="73"/>
      <c r="I132" s="70" t="str">
        <f>IF(H132&gt;G132,"采购","否")</f>
        <v>否</v>
      </c>
      <c r="J132" s="71"/>
      <c r="K132" s="71"/>
      <c r="L132" s="72"/>
      <c r="M132" s="71"/>
    </row>
    <row r="133" spans="1:13" x14ac:dyDescent="0.15">
      <c r="A133" s="67"/>
      <c r="B133" s="128">
        <v>130</v>
      </c>
      <c r="C133" s="68" t="s">
        <v>50</v>
      </c>
      <c r="D133" s="69" t="s">
        <v>50</v>
      </c>
      <c r="E133" s="68" t="s">
        <v>50</v>
      </c>
      <c r="F133" s="68" t="s">
        <v>50</v>
      </c>
      <c r="G133" s="68">
        <v>0</v>
      </c>
      <c r="H133" s="73"/>
      <c r="I133" s="70" t="str">
        <f>IF(H133&gt;G133,"采购","否")</f>
        <v>否</v>
      </c>
      <c r="J133" s="71"/>
      <c r="K133" s="71"/>
      <c r="L133" s="72"/>
      <c r="M133" s="71"/>
    </row>
    <row r="134" spans="1:13" x14ac:dyDescent="0.15">
      <c r="A134" s="67"/>
      <c r="B134" s="128">
        <v>131</v>
      </c>
      <c r="C134" s="68" t="s">
        <v>50</v>
      </c>
      <c r="D134" s="69" t="s">
        <v>50</v>
      </c>
      <c r="E134" s="68" t="s">
        <v>50</v>
      </c>
      <c r="F134" s="68" t="s">
        <v>50</v>
      </c>
      <c r="G134" s="68">
        <v>0</v>
      </c>
      <c r="H134" s="73"/>
      <c r="I134" s="70" t="str">
        <f>IF(H134&gt;G134,"采购","否")</f>
        <v>否</v>
      </c>
      <c r="J134" s="71"/>
      <c r="K134" s="71"/>
      <c r="L134" s="72"/>
      <c r="M134" s="71"/>
    </row>
    <row r="135" spans="1:13" x14ac:dyDescent="0.15">
      <c r="A135" s="67"/>
      <c r="B135" s="128">
        <v>132</v>
      </c>
      <c r="C135" s="68" t="s">
        <v>50</v>
      </c>
      <c r="D135" s="69" t="s">
        <v>50</v>
      </c>
      <c r="E135" s="68" t="s">
        <v>50</v>
      </c>
      <c r="F135" s="68" t="s">
        <v>50</v>
      </c>
      <c r="G135" s="68">
        <v>0</v>
      </c>
      <c r="H135" s="73"/>
      <c r="I135" s="70" t="str">
        <f>IF(H135&gt;G135,"采购","否")</f>
        <v>否</v>
      </c>
      <c r="J135" s="71"/>
      <c r="K135" s="71"/>
      <c r="L135" s="72"/>
      <c r="M135" s="71"/>
    </row>
    <row r="136" spans="1:13" x14ac:dyDescent="0.15">
      <c r="A136" s="67"/>
      <c r="B136" s="128">
        <v>133</v>
      </c>
      <c r="C136" s="68" t="s">
        <v>50</v>
      </c>
      <c r="D136" s="69" t="s">
        <v>50</v>
      </c>
      <c r="E136" s="68" t="s">
        <v>50</v>
      </c>
      <c r="F136" s="68" t="s">
        <v>50</v>
      </c>
      <c r="G136" s="68">
        <v>0</v>
      </c>
      <c r="H136" s="73"/>
      <c r="I136" s="70" t="str">
        <f>IF(H136&gt;G136,"采购","否")</f>
        <v>否</v>
      </c>
      <c r="J136" s="71"/>
      <c r="K136" s="71"/>
      <c r="L136" s="72"/>
      <c r="M136" s="71"/>
    </row>
    <row r="137" spans="1:13" x14ac:dyDescent="0.15">
      <c r="A137" s="67"/>
      <c r="B137" s="128">
        <v>134</v>
      </c>
      <c r="C137" s="68" t="s">
        <v>50</v>
      </c>
      <c r="D137" s="69" t="s">
        <v>50</v>
      </c>
      <c r="E137" s="68" t="s">
        <v>50</v>
      </c>
      <c r="F137" s="68" t="s">
        <v>50</v>
      </c>
      <c r="G137" s="68">
        <v>0</v>
      </c>
      <c r="H137" s="73"/>
      <c r="I137" s="70" t="str">
        <f>IF(H137&gt;G137,"采购","否")</f>
        <v>否</v>
      </c>
      <c r="J137" s="71"/>
      <c r="K137" s="71"/>
      <c r="L137" s="72"/>
      <c r="M137" s="71"/>
    </row>
    <row r="138" spans="1:13" x14ac:dyDescent="0.15">
      <c r="A138" s="67"/>
      <c r="B138" s="128">
        <v>135</v>
      </c>
      <c r="C138" s="68" t="s">
        <v>50</v>
      </c>
      <c r="D138" s="69" t="s">
        <v>50</v>
      </c>
      <c r="E138" s="68" t="s">
        <v>50</v>
      </c>
      <c r="F138" s="68" t="s">
        <v>50</v>
      </c>
      <c r="G138" s="68">
        <v>0</v>
      </c>
      <c r="H138" s="73"/>
      <c r="I138" s="70" t="str">
        <f>IF(H138&gt;G138,"采购","否")</f>
        <v>否</v>
      </c>
      <c r="J138" s="71"/>
      <c r="K138" s="71"/>
      <c r="L138" s="72"/>
      <c r="M138" s="71"/>
    </row>
    <row r="139" spans="1:13" x14ac:dyDescent="0.15">
      <c r="A139" s="67"/>
      <c r="B139" s="128">
        <v>136</v>
      </c>
      <c r="C139" s="68" t="s">
        <v>50</v>
      </c>
      <c r="D139" s="69" t="s">
        <v>50</v>
      </c>
      <c r="E139" s="68" t="s">
        <v>50</v>
      </c>
      <c r="F139" s="68" t="s">
        <v>50</v>
      </c>
      <c r="G139" s="68">
        <v>0</v>
      </c>
      <c r="H139" s="73"/>
      <c r="I139" s="70" t="s">
        <v>52</v>
      </c>
      <c r="J139" s="71"/>
      <c r="K139" s="71"/>
      <c r="L139" s="72"/>
      <c r="M139" s="71"/>
    </row>
    <row r="140" spans="1:13" x14ac:dyDescent="0.15">
      <c r="A140" s="67"/>
      <c r="B140" s="128">
        <v>137</v>
      </c>
      <c r="C140" s="68" t="s">
        <v>50</v>
      </c>
      <c r="D140" s="69" t="s">
        <v>50</v>
      </c>
      <c r="E140" s="68" t="s">
        <v>50</v>
      </c>
      <c r="F140" s="68" t="s">
        <v>50</v>
      </c>
      <c r="G140" s="68">
        <v>0</v>
      </c>
      <c r="H140" s="73"/>
      <c r="I140" s="70" t="s">
        <v>52</v>
      </c>
      <c r="J140" s="71"/>
      <c r="K140" s="71"/>
      <c r="L140" s="72"/>
      <c r="M140" s="71"/>
    </row>
    <row r="141" spans="1:13" x14ac:dyDescent="0.15">
      <c r="A141" s="67"/>
      <c r="B141" s="128">
        <v>138</v>
      </c>
      <c r="C141" s="68" t="s">
        <v>50</v>
      </c>
      <c r="D141" s="69" t="s">
        <v>50</v>
      </c>
      <c r="E141" s="68" t="s">
        <v>50</v>
      </c>
      <c r="F141" s="68" t="s">
        <v>50</v>
      </c>
      <c r="G141" s="68">
        <v>0</v>
      </c>
      <c r="H141" s="73"/>
      <c r="I141" s="70" t="s">
        <v>52</v>
      </c>
      <c r="J141" s="71"/>
      <c r="K141" s="71"/>
      <c r="L141" s="72"/>
      <c r="M141" s="71"/>
    </row>
    <row r="142" spans="1:13" x14ac:dyDescent="0.15">
      <c r="A142" s="67"/>
      <c r="B142" s="128">
        <v>139</v>
      </c>
      <c r="C142" s="68" t="s">
        <v>50</v>
      </c>
      <c r="D142" s="69" t="s">
        <v>50</v>
      </c>
      <c r="E142" s="68" t="s">
        <v>50</v>
      </c>
      <c r="F142" s="68" t="s">
        <v>50</v>
      </c>
      <c r="G142" s="68">
        <v>0</v>
      </c>
      <c r="H142" s="73"/>
      <c r="I142" s="70" t="s">
        <v>52</v>
      </c>
      <c r="J142" s="71"/>
      <c r="K142" s="71"/>
      <c r="L142" s="72"/>
      <c r="M142" s="71"/>
    </row>
    <row r="143" spans="1:13" x14ac:dyDescent="0.15">
      <c r="A143" s="67"/>
      <c r="B143" s="128">
        <v>140</v>
      </c>
      <c r="C143" s="68" t="s">
        <v>50</v>
      </c>
      <c r="D143" s="69" t="s">
        <v>50</v>
      </c>
      <c r="E143" s="68" t="s">
        <v>50</v>
      </c>
      <c r="F143" s="68" t="s">
        <v>50</v>
      </c>
      <c r="G143" s="68">
        <v>0</v>
      </c>
      <c r="H143" s="73"/>
      <c r="I143" s="70" t="s">
        <v>52</v>
      </c>
      <c r="J143" s="71"/>
      <c r="K143" s="71"/>
      <c r="L143" s="72"/>
      <c r="M143" s="71"/>
    </row>
    <row r="144" spans="1:13" x14ac:dyDescent="0.15">
      <c r="A144" s="67"/>
      <c r="B144" s="128">
        <v>141</v>
      </c>
      <c r="C144" s="68" t="s">
        <v>50</v>
      </c>
      <c r="D144" s="69" t="s">
        <v>50</v>
      </c>
      <c r="E144" s="68" t="s">
        <v>50</v>
      </c>
      <c r="F144" s="68" t="s">
        <v>50</v>
      </c>
      <c r="G144" s="68">
        <v>0</v>
      </c>
      <c r="H144" s="73"/>
      <c r="I144" s="70" t="s">
        <v>52</v>
      </c>
      <c r="J144" s="71"/>
      <c r="K144" s="71"/>
      <c r="L144" s="72"/>
      <c r="M144" s="71"/>
    </row>
    <row r="145" spans="1:13" x14ac:dyDescent="0.15">
      <c r="A145" s="67"/>
      <c r="B145" s="128">
        <v>142</v>
      </c>
      <c r="C145" s="68" t="s">
        <v>50</v>
      </c>
      <c r="D145" s="69" t="s">
        <v>50</v>
      </c>
      <c r="E145" s="68" t="s">
        <v>50</v>
      </c>
      <c r="F145" s="68" t="s">
        <v>50</v>
      </c>
      <c r="G145" s="68">
        <v>0</v>
      </c>
      <c r="H145" s="73"/>
      <c r="I145" s="70" t="s">
        <v>52</v>
      </c>
      <c r="J145" s="71"/>
      <c r="K145" s="71"/>
      <c r="L145" s="72"/>
      <c r="M145" s="71"/>
    </row>
    <row r="146" spans="1:13" x14ac:dyDescent="0.15">
      <c r="A146" s="67"/>
      <c r="B146" s="128">
        <v>143</v>
      </c>
      <c r="C146" s="68" t="s">
        <v>50</v>
      </c>
      <c r="D146" s="69" t="s">
        <v>50</v>
      </c>
      <c r="E146" s="68" t="s">
        <v>50</v>
      </c>
      <c r="F146" s="68" t="s">
        <v>50</v>
      </c>
      <c r="G146" s="68">
        <v>0</v>
      </c>
      <c r="H146" s="73"/>
      <c r="I146" s="70" t="s">
        <v>52</v>
      </c>
      <c r="J146" s="71"/>
      <c r="K146" s="71"/>
      <c r="L146" s="72"/>
      <c r="M146" s="71"/>
    </row>
    <row r="147" spans="1:13" x14ac:dyDescent="0.15">
      <c r="A147" s="67"/>
      <c r="B147" s="128">
        <v>144</v>
      </c>
      <c r="C147" s="68" t="s">
        <v>50</v>
      </c>
      <c r="D147" s="69" t="s">
        <v>50</v>
      </c>
      <c r="E147" s="68" t="s">
        <v>50</v>
      </c>
      <c r="F147" s="68" t="s">
        <v>50</v>
      </c>
      <c r="G147" s="68">
        <v>0</v>
      </c>
      <c r="H147" s="73"/>
      <c r="I147" s="70" t="s">
        <v>52</v>
      </c>
      <c r="J147" s="71"/>
      <c r="K147" s="71"/>
      <c r="L147" s="72"/>
      <c r="M147" s="71"/>
    </row>
    <row r="148" spans="1:13" x14ac:dyDescent="0.15">
      <c r="A148" s="67"/>
      <c r="B148" s="128">
        <v>145</v>
      </c>
      <c r="C148" s="68" t="s">
        <v>50</v>
      </c>
      <c r="D148" s="69" t="s">
        <v>50</v>
      </c>
      <c r="E148" s="68" t="s">
        <v>50</v>
      </c>
      <c r="F148" s="68" t="s">
        <v>50</v>
      </c>
      <c r="G148" s="68">
        <v>0</v>
      </c>
      <c r="H148" s="73"/>
      <c r="I148" s="70" t="s">
        <v>52</v>
      </c>
      <c r="J148" s="71"/>
      <c r="K148" s="71"/>
      <c r="L148" s="72"/>
      <c r="M148" s="71"/>
    </row>
    <row r="149" spans="1:13" x14ac:dyDescent="0.15">
      <c r="A149" s="67"/>
      <c r="B149" s="128">
        <v>146</v>
      </c>
      <c r="C149" s="68" t="s">
        <v>50</v>
      </c>
      <c r="D149" s="69" t="s">
        <v>50</v>
      </c>
      <c r="E149" s="68" t="s">
        <v>50</v>
      </c>
      <c r="F149" s="68" t="s">
        <v>50</v>
      </c>
      <c r="G149" s="68">
        <v>0</v>
      </c>
      <c r="H149" s="73"/>
      <c r="I149" s="70" t="s">
        <v>52</v>
      </c>
      <c r="J149" s="71"/>
      <c r="K149" s="71"/>
      <c r="L149" s="72"/>
      <c r="M149" s="71"/>
    </row>
    <row r="150" spans="1:13" x14ac:dyDescent="0.15">
      <c r="A150" s="67"/>
      <c r="B150" s="128">
        <v>146</v>
      </c>
      <c r="C150" s="68" t="s">
        <v>50</v>
      </c>
      <c r="D150" s="69" t="s">
        <v>50</v>
      </c>
      <c r="E150" s="68" t="s">
        <v>50</v>
      </c>
      <c r="F150" s="68" t="s">
        <v>50</v>
      </c>
      <c r="G150" s="68">
        <v>0</v>
      </c>
      <c r="H150" s="73"/>
      <c r="I150" s="70" t="s">
        <v>52</v>
      </c>
      <c r="J150" s="71"/>
      <c r="K150" s="71"/>
      <c r="L150" s="72"/>
      <c r="M150" s="71"/>
    </row>
    <row r="151" spans="1:13" x14ac:dyDescent="0.15">
      <c r="A151" s="67"/>
      <c r="B151" s="129">
        <v>146</v>
      </c>
      <c r="C151" s="68" t="s">
        <v>50</v>
      </c>
      <c r="D151" s="69" t="s">
        <v>50</v>
      </c>
      <c r="E151" s="68" t="s">
        <v>50</v>
      </c>
      <c r="F151" s="68" t="s">
        <v>50</v>
      </c>
      <c r="G151" s="68">
        <v>0</v>
      </c>
      <c r="H151" s="73"/>
      <c r="I151" s="70" t="s">
        <v>52</v>
      </c>
      <c r="J151" s="71"/>
      <c r="K151" s="71"/>
      <c r="L151" s="72"/>
      <c r="M151" s="71"/>
    </row>
    <row r="152" spans="1:13" x14ac:dyDescent="0.15">
      <c r="A152" s="67"/>
      <c r="B152" s="129">
        <v>147</v>
      </c>
      <c r="C152" s="68" t="s">
        <v>50</v>
      </c>
      <c r="D152" s="69" t="s">
        <v>50</v>
      </c>
      <c r="E152" s="68" t="s">
        <v>50</v>
      </c>
      <c r="F152" s="68" t="s">
        <v>50</v>
      </c>
      <c r="G152" s="68">
        <v>0</v>
      </c>
      <c r="H152" s="73"/>
      <c r="I152" s="70" t="s">
        <v>52</v>
      </c>
      <c r="J152" s="71"/>
      <c r="K152" s="71"/>
      <c r="L152" s="72"/>
      <c r="M152" s="71"/>
    </row>
    <row r="153" spans="1:13" x14ac:dyDescent="0.15">
      <c r="A153" s="67"/>
      <c r="B153" s="129">
        <v>148</v>
      </c>
      <c r="C153" s="68" t="s">
        <v>50</v>
      </c>
      <c r="D153" s="69" t="s">
        <v>50</v>
      </c>
      <c r="E153" s="68" t="s">
        <v>50</v>
      </c>
      <c r="F153" s="68" t="s">
        <v>50</v>
      </c>
      <c r="G153" s="68">
        <v>0</v>
      </c>
      <c r="H153" s="73"/>
      <c r="I153" s="70" t="s">
        <v>52</v>
      </c>
      <c r="J153" s="71"/>
      <c r="K153" s="71"/>
      <c r="L153" s="72"/>
      <c r="M153" s="71"/>
    </row>
    <row r="154" spans="1:13" x14ac:dyDescent="0.15">
      <c r="A154" s="67"/>
      <c r="B154" s="129">
        <v>149</v>
      </c>
      <c r="C154" s="68" t="s">
        <v>50</v>
      </c>
      <c r="D154" s="69" t="s">
        <v>50</v>
      </c>
      <c r="E154" s="68" t="s">
        <v>50</v>
      </c>
      <c r="F154" s="68" t="s">
        <v>50</v>
      </c>
      <c r="G154" s="68">
        <v>0</v>
      </c>
      <c r="H154" s="73"/>
      <c r="I154" s="70" t="s">
        <v>52</v>
      </c>
      <c r="J154" s="71"/>
      <c r="K154" s="71"/>
      <c r="L154" s="72"/>
      <c r="M154" s="71"/>
    </row>
    <row r="155" spans="1:13" x14ac:dyDescent="0.15">
      <c r="A155" s="67"/>
      <c r="B155" s="129">
        <v>150</v>
      </c>
      <c r="C155" s="68" t="s">
        <v>50</v>
      </c>
      <c r="D155" s="69" t="s">
        <v>50</v>
      </c>
      <c r="E155" s="68" t="s">
        <v>50</v>
      </c>
      <c r="F155" s="68" t="s">
        <v>50</v>
      </c>
      <c r="G155" s="68">
        <v>0</v>
      </c>
      <c r="H155" s="73"/>
      <c r="I155" s="70" t="s">
        <v>52</v>
      </c>
      <c r="J155" s="71"/>
      <c r="K155" s="71"/>
      <c r="L155" s="72"/>
      <c r="M155" s="71"/>
    </row>
    <row r="156" spans="1:13" x14ac:dyDescent="0.15">
      <c r="A156" s="67"/>
      <c r="B156" s="129">
        <v>151</v>
      </c>
      <c r="C156" s="68" t="s">
        <v>50</v>
      </c>
      <c r="D156" s="69" t="s">
        <v>50</v>
      </c>
      <c r="E156" s="68" t="s">
        <v>50</v>
      </c>
      <c r="F156" s="68" t="s">
        <v>50</v>
      </c>
      <c r="G156" s="68">
        <v>0</v>
      </c>
      <c r="H156" s="73"/>
      <c r="I156" s="70" t="s">
        <v>52</v>
      </c>
      <c r="J156" s="71"/>
      <c r="K156" s="71"/>
      <c r="L156" s="72"/>
      <c r="M156" s="71"/>
    </row>
    <row r="157" spans="1:13" x14ac:dyDescent="0.15">
      <c r="A157" s="67"/>
      <c r="B157" s="129">
        <v>152</v>
      </c>
      <c r="C157" s="68" t="s">
        <v>50</v>
      </c>
      <c r="D157" s="69" t="s">
        <v>50</v>
      </c>
      <c r="E157" s="68" t="s">
        <v>50</v>
      </c>
      <c r="F157" s="68" t="s">
        <v>50</v>
      </c>
      <c r="G157" s="68">
        <v>0</v>
      </c>
      <c r="H157" s="73"/>
      <c r="I157" s="70" t="s">
        <v>52</v>
      </c>
      <c r="J157" s="71"/>
      <c r="K157" s="71"/>
      <c r="L157" s="72"/>
      <c r="M157" s="71"/>
    </row>
    <row r="158" spans="1:13" x14ac:dyDescent="0.15">
      <c r="A158" s="67"/>
      <c r="B158" s="129">
        <v>153</v>
      </c>
      <c r="C158" s="68" t="s">
        <v>50</v>
      </c>
      <c r="D158" s="69" t="s">
        <v>50</v>
      </c>
      <c r="E158" s="68" t="s">
        <v>50</v>
      </c>
      <c r="F158" s="68" t="s">
        <v>50</v>
      </c>
      <c r="G158" s="68">
        <v>0</v>
      </c>
      <c r="H158" s="73"/>
      <c r="I158" s="70" t="s">
        <v>52</v>
      </c>
      <c r="J158" s="71"/>
      <c r="K158" s="71"/>
      <c r="L158" s="72"/>
      <c r="M158" s="71"/>
    </row>
    <row r="159" spans="1:13" x14ac:dyDescent="0.15">
      <c r="A159" s="67"/>
      <c r="B159" s="129">
        <v>154</v>
      </c>
      <c r="C159" s="68" t="s">
        <v>50</v>
      </c>
      <c r="D159" s="69" t="s">
        <v>50</v>
      </c>
      <c r="E159" s="68" t="s">
        <v>50</v>
      </c>
      <c r="F159" s="68" t="s">
        <v>50</v>
      </c>
      <c r="G159" s="68">
        <v>0</v>
      </c>
      <c r="H159" s="73"/>
      <c r="I159" s="70" t="s">
        <v>52</v>
      </c>
      <c r="J159" s="71"/>
      <c r="K159" s="71"/>
      <c r="L159" s="72"/>
      <c r="M159" s="71"/>
    </row>
    <row r="160" spans="1:13" x14ac:dyDescent="0.15">
      <c r="A160" s="67"/>
      <c r="B160" s="129">
        <v>155</v>
      </c>
      <c r="C160" s="68" t="s">
        <v>50</v>
      </c>
      <c r="D160" s="69" t="s">
        <v>50</v>
      </c>
      <c r="E160" s="68" t="s">
        <v>50</v>
      </c>
      <c r="F160" s="68" t="s">
        <v>50</v>
      </c>
      <c r="G160" s="68">
        <v>0</v>
      </c>
      <c r="H160" s="73"/>
      <c r="I160" s="70" t="s">
        <v>52</v>
      </c>
      <c r="J160" s="71"/>
      <c r="K160" s="71"/>
      <c r="L160" s="72"/>
      <c r="M160" s="71"/>
    </row>
    <row r="161" spans="1:13" x14ac:dyDescent="0.15">
      <c r="A161" s="67"/>
      <c r="B161" s="129">
        <v>156</v>
      </c>
      <c r="C161" s="68" t="s">
        <v>50</v>
      </c>
      <c r="D161" s="69" t="s">
        <v>50</v>
      </c>
      <c r="E161" s="68" t="s">
        <v>50</v>
      </c>
      <c r="F161" s="68" t="s">
        <v>50</v>
      </c>
      <c r="G161" s="68">
        <v>0</v>
      </c>
      <c r="H161" s="73"/>
      <c r="I161" s="70" t="s">
        <v>52</v>
      </c>
      <c r="J161" s="71"/>
      <c r="K161" s="71"/>
      <c r="L161" s="72"/>
      <c r="M161" s="71"/>
    </row>
    <row r="162" spans="1:13" x14ac:dyDescent="0.15">
      <c r="A162" s="67"/>
      <c r="B162" s="129">
        <v>157</v>
      </c>
      <c r="C162" s="68" t="s">
        <v>50</v>
      </c>
      <c r="D162" s="69" t="s">
        <v>50</v>
      </c>
      <c r="E162" s="68" t="s">
        <v>50</v>
      </c>
      <c r="F162" s="68" t="s">
        <v>50</v>
      </c>
      <c r="G162" s="68">
        <v>0</v>
      </c>
      <c r="H162" s="73"/>
      <c r="I162" s="70" t="s">
        <v>52</v>
      </c>
      <c r="J162" s="71"/>
      <c r="K162" s="71"/>
      <c r="L162" s="72"/>
      <c r="M162" s="71"/>
    </row>
    <row r="163" spans="1:13" x14ac:dyDescent="0.15">
      <c r="A163" s="67"/>
      <c r="B163" s="129">
        <v>158</v>
      </c>
      <c r="C163" s="68" t="s">
        <v>50</v>
      </c>
      <c r="D163" s="69" t="s">
        <v>50</v>
      </c>
      <c r="E163" s="68" t="s">
        <v>50</v>
      </c>
      <c r="F163" s="68" t="s">
        <v>50</v>
      </c>
      <c r="G163" s="68">
        <v>0</v>
      </c>
      <c r="H163" s="73"/>
      <c r="I163" s="70" t="s">
        <v>52</v>
      </c>
      <c r="J163" s="71"/>
      <c r="K163" s="71"/>
      <c r="L163" s="72"/>
      <c r="M163" s="71"/>
    </row>
    <row r="164" spans="1:13" x14ac:dyDescent="0.15">
      <c r="A164" s="67"/>
      <c r="B164" s="129">
        <v>159</v>
      </c>
      <c r="C164" s="68" t="s">
        <v>50</v>
      </c>
      <c r="D164" s="69" t="s">
        <v>50</v>
      </c>
      <c r="E164" s="68" t="s">
        <v>50</v>
      </c>
      <c r="F164" s="68" t="s">
        <v>50</v>
      </c>
      <c r="G164" s="68">
        <v>0</v>
      </c>
      <c r="H164" s="73"/>
      <c r="I164" s="70" t="s">
        <v>52</v>
      </c>
      <c r="J164" s="71"/>
      <c r="K164" s="71"/>
      <c r="L164" s="72"/>
      <c r="M164" s="71"/>
    </row>
    <row r="165" spans="1:13" x14ac:dyDescent="0.15">
      <c r="A165" s="67"/>
      <c r="B165" s="129">
        <v>160</v>
      </c>
      <c r="C165" s="68" t="s">
        <v>50</v>
      </c>
      <c r="D165" s="69" t="s">
        <v>50</v>
      </c>
      <c r="E165" s="68" t="s">
        <v>50</v>
      </c>
      <c r="F165" s="68" t="s">
        <v>50</v>
      </c>
      <c r="G165" s="68">
        <v>0</v>
      </c>
      <c r="H165" s="73"/>
      <c r="I165" s="70" t="s">
        <v>52</v>
      </c>
      <c r="J165" s="71"/>
      <c r="K165" s="71"/>
      <c r="L165" s="72"/>
      <c r="M165" s="71"/>
    </row>
    <row r="166" spans="1:13" x14ac:dyDescent="0.15">
      <c r="A166" s="67"/>
      <c r="B166" s="129">
        <v>161</v>
      </c>
      <c r="C166" s="68" t="s">
        <v>50</v>
      </c>
      <c r="D166" s="69" t="s">
        <v>50</v>
      </c>
      <c r="E166" s="68" t="s">
        <v>50</v>
      </c>
      <c r="F166" s="68" t="s">
        <v>50</v>
      </c>
      <c r="G166" s="68">
        <v>0</v>
      </c>
      <c r="H166" s="73"/>
      <c r="I166" s="70" t="s">
        <v>52</v>
      </c>
      <c r="J166" s="71"/>
      <c r="K166" s="71"/>
      <c r="L166" s="72"/>
      <c r="M166" s="71"/>
    </row>
    <row r="167" spans="1:13" x14ac:dyDescent="0.15">
      <c r="A167" s="67"/>
      <c r="B167" s="129">
        <v>162</v>
      </c>
      <c r="C167" s="68" t="s">
        <v>50</v>
      </c>
      <c r="D167" s="69" t="s">
        <v>50</v>
      </c>
      <c r="E167" s="68" t="s">
        <v>50</v>
      </c>
      <c r="F167" s="68" t="s">
        <v>50</v>
      </c>
      <c r="G167" s="68">
        <v>0</v>
      </c>
      <c r="H167" s="73"/>
      <c r="I167" s="70" t="s">
        <v>52</v>
      </c>
      <c r="J167" s="71"/>
      <c r="K167" s="71"/>
      <c r="L167" s="72"/>
      <c r="M167" s="71"/>
    </row>
    <row r="168" spans="1:13" x14ac:dyDescent="0.15">
      <c r="A168" s="67"/>
      <c r="B168" s="129">
        <v>163</v>
      </c>
      <c r="C168" s="68" t="s">
        <v>50</v>
      </c>
      <c r="D168" s="69" t="s">
        <v>50</v>
      </c>
      <c r="E168" s="68" t="s">
        <v>50</v>
      </c>
      <c r="F168" s="68" t="s">
        <v>50</v>
      </c>
      <c r="G168" s="68">
        <v>0</v>
      </c>
      <c r="H168" s="73"/>
      <c r="I168" s="70" t="s">
        <v>52</v>
      </c>
      <c r="J168" s="71"/>
      <c r="K168" s="71"/>
      <c r="L168" s="72"/>
      <c r="M168" s="71"/>
    </row>
    <row r="169" spans="1:13" x14ac:dyDescent="0.15">
      <c r="A169" s="67"/>
      <c r="B169" s="129">
        <v>164</v>
      </c>
      <c r="C169" s="68" t="s">
        <v>50</v>
      </c>
      <c r="D169" s="69" t="s">
        <v>50</v>
      </c>
      <c r="E169" s="68" t="s">
        <v>50</v>
      </c>
      <c r="F169" s="68" t="s">
        <v>50</v>
      </c>
      <c r="G169" s="68">
        <v>0</v>
      </c>
      <c r="H169" s="73"/>
      <c r="I169" s="70" t="s">
        <v>52</v>
      </c>
      <c r="J169" s="71"/>
      <c r="K169" s="71"/>
      <c r="L169" s="72"/>
      <c r="M169" s="71"/>
    </row>
    <row r="170" spans="1:13" x14ac:dyDescent="0.15">
      <c r="A170" s="67"/>
      <c r="B170" s="129">
        <v>165</v>
      </c>
      <c r="C170" s="68" t="s">
        <v>50</v>
      </c>
      <c r="D170" s="69" t="s">
        <v>50</v>
      </c>
      <c r="E170" s="68" t="s">
        <v>50</v>
      </c>
      <c r="F170" s="68" t="s">
        <v>50</v>
      </c>
      <c r="G170" s="68">
        <v>0</v>
      </c>
      <c r="H170" s="73"/>
      <c r="I170" s="70" t="s">
        <v>52</v>
      </c>
      <c r="J170" s="71"/>
      <c r="K170" s="71"/>
      <c r="L170" s="72"/>
      <c r="M170" s="71"/>
    </row>
    <row r="171" spans="1:13" x14ac:dyDescent="0.15">
      <c r="A171" s="67"/>
      <c r="B171" s="129">
        <v>166</v>
      </c>
      <c r="C171" s="68" t="s">
        <v>50</v>
      </c>
      <c r="D171" s="69" t="s">
        <v>50</v>
      </c>
      <c r="E171" s="68" t="s">
        <v>50</v>
      </c>
      <c r="F171" s="68" t="s">
        <v>50</v>
      </c>
      <c r="G171" s="68">
        <v>0</v>
      </c>
      <c r="H171" s="73"/>
      <c r="I171" s="70" t="s">
        <v>52</v>
      </c>
      <c r="J171" s="71"/>
      <c r="K171" s="71"/>
      <c r="L171" s="72"/>
      <c r="M171" s="71"/>
    </row>
    <row r="172" spans="1:13" x14ac:dyDescent="0.15">
      <c r="A172" s="67"/>
      <c r="B172" s="129">
        <v>167</v>
      </c>
      <c r="C172" s="68" t="s">
        <v>50</v>
      </c>
      <c r="D172" s="69" t="s">
        <v>50</v>
      </c>
      <c r="E172" s="68" t="s">
        <v>50</v>
      </c>
      <c r="F172" s="68" t="s">
        <v>50</v>
      </c>
      <c r="G172" s="68">
        <v>0</v>
      </c>
      <c r="H172" s="73"/>
      <c r="I172" s="70" t="s">
        <v>52</v>
      </c>
      <c r="J172" s="71"/>
      <c r="K172" s="71"/>
      <c r="L172" s="72"/>
      <c r="M172" s="71"/>
    </row>
    <row r="173" spans="1:13" x14ac:dyDescent="0.15">
      <c r="A173" s="67"/>
      <c r="B173" s="129">
        <v>168</v>
      </c>
      <c r="C173" s="68" t="s">
        <v>50</v>
      </c>
      <c r="D173" s="69" t="s">
        <v>50</v>
      </c>
      <c r="E173" s="68" t="s">
        <v>50</v>
      </c>
      <c r="F173" s="68" t="s">
        <v>50</v>
      </c>
      <c r="G173" s="68">
        <v>0</v>
      </c>
      <c r="H173" s="73"/>
      <c r="I173" s="70" t="s">
        <v>52</v>
      </c>
      <c r="J173" s="71"/>
      <c r="K173" s="71"/>
      <c r="L173" s="72"/>
      <c r="M173" s="71"/>
    </row>
    <row r="174" spans="1:13" x14ac:dyDescent="0.15">
      <c r="A174" s="67"/>
      <c r="B174" s="129">
        <v>169</v>
      </c>
      <c r="C174" s="68" t="s">
        <v>50</v>
      </c>
      <c r="D174" s="69" t="s">
        <v>50</v>
      </c>
      <c r="E174" s="68" t="s">
        <v>50</v>
      </c>
      <c r="F174" s="68" t="s">
        <v>50</v>
      </c>
      <c r="G174" s="68">
        <v>0</v>
      </c>
      <c r="H174" s="73"/>
      <c r="I174" s="70" t="s">
        <v>52</v>
      </c>
      <c r="J174" s="71"/>
      <c r="K174" s="71"/>
      <c r="L174" s="72"/>
      <c r="M174" s="71"/>
    </row>
    <row r="175" spans="1:13" x14ac:dyDescent="0.15">
      <c r="A175" s="67"/>
      <c r="B175" s="129">
        <v>170</v>
      </c>
      <c r="C175" s="68" t="s">
        <v>50</v>
      </c>
      <c r="D175" s="69" t="s">
        <v>50</v>
      </c>
      <c r="E175" s="68" t="s">
        <v>50</v>
      </c>
      <c r="F175" s="68" t="s">
        <v>50</v>
      </c>
      <c r="G175" s="68">
        <v>0</v>
      </c>
      <c r="H175" s="73"/>
      <c r="I175" s="70" t="s">
        <v>52</v>
      </c>
      <c r="J175" s="71"/>
      <c r="K175" s="71"/>
      <c r="L175" s="72"/>
      <c r="M175" s="71"/>
    </row>
    <row r="176" spans="1:13" x14ac:dyDescent="0.15">
      <c r="A176" s="67"/>
      <c r="B176" s="129">
        <v>171</v>
      </c>
      <c r="C176" s="68" t="s">
        <v>50</v>
      </c>
      <c r="D176" s="69" t="s">
        <v>50</v>
      </c>
      <c r="E176" s="68" t="s">
        <v>50</v>
      </c>
      <c r="F176" s="68" t="s">
        <v>50</v>
      </c>
      <c r="G176" s="68">
        <v>0</v>
      </c>
      <c r="H176" s="73"/>
      <c r="I176" s="70" t="s">
        <v>52</v>
      </c>
      <c r="J176" s="71"/>
      <c r="K176" s="71"/>
      <c r="L176" s="72"/>
      <c r="M176" s="71"/>
    </row>
    <row r="177" spans="1:13" x14ac:dyDescent="0.15">
      <c r="A177" s="67"/>
      <c r="B177" s="129">
        <v>172</v>
      </c>
      <c r="C177" s="68" t="s">
        <v>50</v>
      </c>
      <c r="D177" s="69" t="s">
        <v>50</v>
      </c>
      <c r="E177" s="68" t="s">
        <v>50</v>
      </c>
      <c r="F177" s="68" t="s">
        <v>50</v>
      </c>
      <c r="G177" s="68">
        <v>0</v>
      </c>
      <c r="H177" s="73"/>
      <c r="I177" s="70" t="s">
        <v>52</v>
      </c>
      <c r="J177" s="71"/>
      <c r="K177" s="71"/>
      <c r="L177" s="72"/>
      <c r="M177" s="71"/>
    </row>
    <row r="178" spans="1:13" x14ac:dyDescent="0.15">
      <c r="A178" s="67"/>
      <c r="B178" s="129">
        <v>173</v>
      </c>
      <c r="C178" s="68" t="s">
        <v>50</v>
      </c>
      <c r="D178" s="69" t="s">
        <v>50</v>
      </c>
      <c r="E178" s="68" t="s">
        <v>50</v>
      </c>
      <c r="F178" s="68" t="s">
        <v>50</v>
      </c>
      <c r="G178" s="68">
        <v>0</v>
      </c>
      <c r="H178" s="73"/>
      <c r="I178" s="70" t="s">
        <v>52</v>
      </c>
      <c r="J178" s="71"/>
      <c r="K178" s="71"/>
      <c r="L178" s="72"/>
      <c r="M178" s="71"/>
    </row>
    <row r="179" spans="1:13" x14ac:dyDescent="0.15">
      <c r="A179" s="67"/>
      <c r="B179" s="129">
        <v>174</v>
      </c>
      <c r="C179" s="68" t="s">
        <v>50</v>
      </c>
      <c r="D179" s="69" t="s">
        <v>50</v>
      </c>
      <c r="E179" s="68" t="s">
        <v>50</v>
      </c>
      <c r="F179" s="68" t="s">
        <v>50</v>
      </c>
      <c r="G179" s="68">
        <v>0</v>
      </c>
      <c r="H179" s="73"/>
      <c r="I179" s="70" t="s">
        <v>52</v>
      </c>
      <c r="J179" s="71"/>
      <c r="K179" s="71"/>
      <c r="L179" s="72"/>
      <c r="M179" s="71"/>
    </row>
    <row r="180" spans="1:13" x14ac:dyDescent="0.15">
      <c r="A180" s="67"/>
      <c r="B180" s="129">
        <v>175</v>
      </c>
      <c r="C180" s="68" t="s">
        <v>50</v>
      </c>
      <c r="D180" s="69" t="s">
        <v>50</v>
      </c>
      <c r="E180" s="68" t="s">
        <v>50</v>
      </c>
      <c r="F180" s="68" t="s">
        <v>50</v>
      </c>
      <c r="G180" s="68">
        <v>0</v>
      </c>
      <c r="H180" s="73"/>
      <c r="I180" s="70" t="s">
        <v>52</v>
      </c>
      <c r="J180" s="71"/>
      <c r="K180" s="71"/>
      <c r="L180" s="72"/>
      <c r="M180" s="71"/>
    </row>
    <row r="181" spans="1:13" x14ac:dyDescent="0.15">
      <c r="A181" s="67"/>
      <c r="B181" s="129">
        <v>176</v>
      </c>
      <c r="C181" s="68" t="s">
        <v>50</v>
      </c>
      <c r="D181" s="69" t="s">
        <v>50</v>
      </c>
      <c r="E181" s="68" t="s">
        <v>50</v>
      </c>
      <c r="F181" s="68" t="s">
        <v>50</v>
      </c>
      <c r="G181" s="68">
        <v>0</v>
      </c>
      <c r="H181" s="73"/>
      <c r="I181" s="70" t="s">
        <v>52</v>
      </c>
      <c r="J181" s="71"/>
      <c r="K181" s="71"/>
      <c r="L181" s="72"/>
      <c r="M181" s="71"/>
    </row>
    <row r="182" spans="1:13" x14ac:dyDescent="0.15">
      <c r="A182" s="67"/>
      <c r="B182" s="129">
        <v>177</v>
      </c>
      <c r="C182" s="68" t="s">
        <v>50</v>
      </c>
      <c r="D182" s="69" t="s">
        <v>50</v>
      </c>
      <c r="E182" s="68" t="s">
        <v>50</v>
      </c>
      <c r="F182" s="68" t="s">
        <v>50</v>
      </c>
      <c r="G182" s="68">
        <v>0</v>
      </c>
      <c r="H182" s="73"/>
      <c r="I182" s="70" t="s">
        <v>52</v>
      </c>
      <c r="J182" s="71"/>
      <c r="K182" s="71"/>
      <c r="L182" s="72"/>
      <c r="M182" s="71"/>
    </row>
    <row r="183" spans="1:13" x14ac:dyDescent="0.15">
      <c r="A183" s="67"/>
      <c r="B183" s="129">
        <v>178</v>
      </c>
      <c r="C183" s="68" t="s">
        <v>50</v>
      </c>
      <c r="D183" s="69" t="s">
        <v>50</v>
      </c>
      <c r="E183" s="68" t="s">
        <v>50</v>
      </c>
      <c r="F183" s="68" t="s">
        <v>50</v>
      </c>
      <c r="G183" s="68">
        <v>0</v>
      </c>
      <c r="H183" s="73"/>
      <c r="I183" s="70" t="s">
        <v>52</v>
      </c>
      <c r="J183" s="71"/>
      <c r="K183" s="71"/>
      <c r="L183" s="72"/>
      <c r="M183" s="71"/>
    </row>
    <row r="184" spans="1:13" x14ac:dyDescent="0.15">
      <c r="A184" s="67"/>
      <c r="B184" s="129">
        <v>179</v>
      </c>
      <c r="C184" s="68" t="s">
        <v>50</v>
      </c>
      <c r="D184" s="69" t="s">
        <v>50</v>
      </c>
      <c r="E184" s="68" t="s">
        <v>50</v>
      </c>
      <c r="F184" s="68" t="s">
        <v>50</v>
      </c>
      <c r="G184" s="68">
        <v>0</v>
      </c>
      <c r="H184" s="73"/>
      <c r="I184" s="70" t="s">
        <v>52</v>
      </c>
      <c r="J184" s="71"/>
      <c r="K184" s="71"/>
      <c r="L184" s="72"/>
      <c r="M184" s="71"/>
    </row>
    <row r="185" spans="1:13" x14ac:dyDescent="0.15">
      <c r="A185" s="67"/>
      <c r="B185" s="129">
        <v>180</v>
      </c>
      <c r="C185" s="68" t="s">
        <v>50</v>
      </c>
      <c r="D185" s="69" t="s">
        <v>50</v>
      </c>
      <c r="E185" s="68" t="s">
        <v>50</v>
      </c>
      <c r="F185" s="68" t="s">
        <v>50</v>
      </c>
      <c r="G185" s="68">
        <v>0</v>
      </c>
      <c r="H185" s="73"/>
      <c r="I185" s="70" t="s">
        <v>52</v>
      </c>
      <c r="J185" s="71"/>
      <c r="K185" s="71"/>
      <c r="L185" s="72"/>
      <c r="M185" s="71"/>
    </row>
    <row r="186" spans="1:13" x14ac:dyDescent="0.15">
      <c r="A186" s="67"/>
      <c r="B186" s="129">
        <v>181</v>
      </c>
      <c r="C186" s="68" t="s">
        <v>50</v>
      </c>
      <c r="D186" s="69" t="s">
        <v>50</v>
      </c>
      <c r="E186" s="68" t="s">
        <v>50</v>
      </c>
      <c r="F186" s="68" t="s">
        <v>50</v>
      </c>
      <c r="G186" s="68">
        <v>0</v>
      </c>
      <c r="H186" s="73"/>
      <c r="I186" s="70" t="s">
        <v>52</v>
      </c>
      <c r="J186" s="71"/>
      <c r="K186" s="71"/>
      <c r="L186" s="72"/>
      <c r="M186" s="71"/>
    </row>
    <row r="187" spans="1:13" x14ac:dyDescent="0.15">
      <c r="A187" s="67"/>
      <c r="B187" s="129">
        <v>182</v>
      </c>
      <c r="C187" s="68" t="s">
        <v>50</v>
      </c>
      <c r="D187" s="69" t="s">
        <v>50</v>
      </c>
      <c r="E187" s="68" t="s">
        <v>50</v>
      </c>
      <c r="F187" s="68" t="s">
        <v>50</v>
      </c>
      <c r="G187" s="68">
        <v>0</v>
      </c>
      <c r="H187" s="73"/>
      <c r="I187" s="70" t="s">
        <v>52</v>
      </c>
      <c r="J187" s="71"/>
      <c r="K187" s="71"/>
      <c r="L187" s="72"/>
      <c r="M187" s="71"/>
    </row>
    <row r="188" spans="1:13" x14ac:dyDescent="0.15">
      <c r="A188" s="67"/>
      <c r="B188" s="129">
        <v>183</v>
      </c>
      <c r="C188" s="68" t="s">
        <v>50</v>
      </c>
      <c r="D188" s="69" t="s">
        <v>50</v>
      </c>
      <c r="E188" s="68" t="s">
        <v>50</v>
      </c>
      <c r="F188" s="68" t="s">
        <v>50</v>
      </c>
      <c r="G188" s="68">
        <v>0</v>
      </c>
      <c r="H188" s="73"/>
      <c r="I188" s="70" t="s">
        <v>52</v>
      </c>
      <c r="J188" s="71"/>
      <c r="K188" s="71"/>
      <c r="L188" s="72"/>
      <c r="M188" s="71"/>
    </row>
    <row r="189" spans="1:13" x14ac:dyDescent="0.15">
      <c r="A189" s="67"/>
      <c r="B189" s="129">
        <v>184</v>
      </c>
      <c r="C189" s="68" t="s">
        <v>50</v>
      </c>
      <c r="D189" s="69" t="s">
        <v>50</v>
      </c>
      <c r="E189" s="68" t="s">
        <v>50</v>
      </c>
      <c r="F189" s="68" t="s">
        <v>50</v>
      </c>
      <c r="G189" s="68">
        <v>0</v>
      </c>
      <c r="H189" s="73"/>
      <c r="I189" s="70" t="s">
        <v>52</v>
      </c>
      <c r="J189" s="71"/>
      <c r="K189" s="71"/>
      <c r="L189" s="72"/>
      <c r="M189" s="71"/>
    </row>
    <row r="190" spans="1:13" x14ac:dyDescent="0.15">
      <c r="A190" s="67"/>
      <c r="B190" s="129">
        <v>185</v>
      </c>
      <c r="C190" s="68" t="s">
        <v>50</v>
      </c>
      <c r="D190" s="69" t="s">
        <v>50</v>
      </c>
      <c r="E190" s="68" t="s">
        <v>50</v>
      </c>
      <c r="F190" s="68" t="s">
        <v>50</v>
      </c>
      <c r="G190" s="68">
        <v>0</v>
      </c>
      <c r="H190" s="73"/>
      <c r="I190" s="70" t="s">
        <v>52</v>
      </c>
      <c r="J190" s="71"/>
      <c r="K190" s="71"/>
      <c r="L190" s="72"/>
      <c r="M190" s="71"/>
    </row>
    <row r="191" spans="1:13" x14ac:dyDescent="0.15">
      <c r="A191" s="67"/>
      <c r="B191" s="129">
        <v>186</v>
      </c>
      <c r="C191" s="68" t="s">
        <v>50</v>
      </c>
      <c r="D191" s="69" t="s">
        <v>50</v>
      </c>
      <c r="E191" s="68" t="s">
        <v>50</v>
      </c>
      <c r="F191" s="68" t="s">
        <v>50</v>
      </c>
      <c r="G191" s="68">
        <v>0</v>
      </c>
      <c r="H191" s="73"/>
      <c r="I191" s="70" t="s">
        <v>52</v>
      </c>
      <c r="J191" s="71"/>
      <c r="K191" s="71"/>
      <c r="L191" s="72"/>
      <c r="M191" s="71"/>
    </row>
    <row r="192" spans="1:13" x14ac:dyDescent="0.15">
      <c r="A192" s="67"/>
      <c r="B192" s="129">
        <v>187</v>
      </c>
      <c r="C192" s="68" t="s">
        <v>50</v>
      </c>
      <c r="D192" s="69" t="s">
        <v>50</v>
      </c>
      <c r="E192" s="68" t="s">
        <v>50</v>
      </c>
      <c r="F192" s="68" t="s">
        <v>50</v>
      </c>
      <c r="G192" s="68">
        <v>0</v>
      </c>
      <c r="H192" s="73"/>
      <c r="I192" s="70" t="s">
        <v>52</v>
      </c>
      <c r="J192" s="71"/>
      <c r="K192" s="71"/>
      <c r="L192" s="72"/>
      <c r="M192" s="71"/>
    </row>
    <row r="193" spans="1:13" x14ac:dyDescent="0.15">
      <c r="A193" s="67"/>
      <c r="B193" s="129">
        <v>188</v>
      </c>
      <c r="C193" s="68" t="s">
        <v>50</v>
      </c>
      <c r="D193" s="69" t="s">
        <v>50</v>
      </c>
      <c r="E193" s="68" t="s">
        <v>50</v>
      </c>
      <c r="F193" s="68" t="s">
        <v>50</v>
      </c>
      <c r="G193" s="68">
        <v>0</v>
      </c>
      <c r="H193" s="73"/>
      <c r="I193" s="70" t="s">
        <v>52</v>
      </c>
      <c r="J193" s="71"/>
      <c r="K193" s="71"/>
      <c r="L193" s="72"/>
      <c r="M193" s="71"/>
    </row>
    <row r="194" spans="1:13" x14ac:dyDescent="0.15">
      <c r="A194" s="67"/>
      <c r="B194" s="129">
        <v>189</v>
      </c>
      <c r="C194" s="68" t="s">
        <v>50</v>
      </c>
      <c r="D194" s="69" t="s">
        <v>50</v>
      </c>
      <c r="E194" s="68" t="s">
        <v>50</v>
      </c>
      <c r="F194" s="68" t="s">
        <v>50</v>
      </c>
      <c r="G194" s="68">
        <v>0</v>
      </c>
      <c r="H194" s="73"/>
      <c r="I194" s="70" t="s">
        <v>52</v>
      </c>
      <c r="J194" s="71"/>
      <c r="K194" s="71"/>
      <c r="L194" s="72"/>
      <c r="M194" s="71"/>
    </row>
    <row r="195" spans="1:13" x14ac:dyDescent="0.15">
      <c r="A195" s="67"/>
      <c r="B195" s="129">
        <v>190</v>
      </c>
      <c r="C195" s="68" t="s">
        <v>50</v>
      </c>
      <c r="D195" s="69" t="s">
        <v>50</v>
      </c>
      <c r="E195" s="68" t="s">
        <v>50</v>
      </c>
      <c r="F195" s="68" t="s">
        <v>50</v>
      </c>
      <c r="G195" s="68">
        <v>0</v>
      </c>
      <c r="H195" s="73"/>
      <c r="I195" s="70" t="s">
        <v>52</v>
      </c>
      <c r="J195" s="71"/>
      <c r="K195" s="71"/>
      <c r="L195" s="72"/>
      <c r="M195" s="71"/>
    </row>
    <row r="196" spans="1:13" x14ac:dyDescent="0.15">
      <c r="A196" s="67"/>
      <c r="B196" s="129">
        <v>191</v>
      </c>
      <c r="C196" s="68" t="s">
        <v>50</v>
      </c>
      <c r="D196" s="69" t="s">
        <v>50</v>
      </c>
      <c r="E196" s="68" t="s">
        <v>50</v>
      </c>
      <c r="F196" s="68" t="s">
        <v>50</v>
      </c>
      <c r="G196" s="68">
        <v>0</v>
      </c>
      <c r="H196" s="73"/>
      <c r="I196" s="70" t="s">
        <v>52</v>
      </c>
      <c r="J196" s="71"/>
      <c r="K196" s="71"/>
      <c r="L196" s="72"/>
      <c r="M196" s="71"/>
    </row>
    <row r="197" spans="1:13" x14ac:dyDescent="0.15">
      <c r="A197" s="67"/>
      <c r="B197" s="129">
        <v>192</v>
      </c>
      <c r="C197" s="68" t="s">
        <v>50</v>
      </c>
      <c r="D197" s="69" t="s">
        <v>50</v>
      </c>
      <c r="E197" s="68" t="s">
        <v>50</v>
      </c>
      <c r="F197" s="68" t="s">
        <v>50</v>
      </c>
      <c r="G197" s="68">
        <v>0</v>
      </c>
      <c r="H197" s="73"/>
      <c r="I197" s="70" t="s">
        <v>52</v>
      </c>
      <c r="J197" s="71"/>
      <c r="K197" s="71"/>
      <c r="L197" s="72"/>
      <c r="M197" s="71"/>
    </row>
    <row r="198" spans="1:13" x14ac:dyDescent="0.15">
      <c r="A198" s="67"/>
      <c r="B198" s="129">
        <v>193</v>
      </c>
      <c r="C198" s="68" t="s">
        <v>50</v>
      </c>
      <c r="D198" s="69" t="s">
        <v>50</v>
      </c>
      <c r="E198" s="68" t="s">
        <v>50</v>
      </c>
      <c r="F198" s="68" t="s">
        <v>50</v>
      </c>
      <c r="G198" s="68">
        <v>0</v>
      </c>
      <c r="H198" s="73"/>
      <c r="I198" s="70" t="s">
        <v>52</v>
      </c>
      <c r="J198" s="71"/>
      <c r="K198" s="71"/>
      <c r="L198" s="72"/>
      <c r="M198" s="71"/>
    </row>
    <row r="199" spans="1:13" x14ac:dyDescent="0.15">
      <c r="A199" s="67"/>
      <c r="B199" s="129">
        <v>194</v>
      </c>
      <c r="C199" s="68" t="s">
        <v>50</v>
      </c>
      <c r="D199" s="69" t="s">
        <v>50</v>
      </c>
      <c r="E199" s="68" t="s">
        <v>50</v>
      </c>
      <c r="F199" s="68" t="s">
        <v>50</v>
      </c>
      <c r="G199" s="68">
        <v>0</v>
      </c>
      <c r="H199" s="73"/>
      <c r="I199" s="70" t="s">
        <v>52</v>
      </c>
      <c r="J199" s="71"/>
      <c r="K199" s="71"/>
      <c r="L199" s="72"/>
      <c r="M199" s="71"/>
    </row>
    <row r="200" spans="1:13" x14ac:dyDescent="0.15">
      <c r="A200" s="67"/>
      <c r="B200" s="129">
        <v>195</v>
      </c>
      <c r="C200" s="68" t="s">
        <v>50</v>
      </c>
      <c r="D200" s="69" t="s">
        <v>50</v>
      </c>
      <c r="E200" s="68" t="s">
        <v>50</v>
      </c>
      <c r="F200" s="68" t="s">
        <v>50</v>
      </c>
      <c r="G200" s="68">
        <v>0</v>
      </c>
      <c r="H200" s="73"/>
      <c r="I200" s="70" t="s">
        <v>52</v>
      </c>
      <c r="J200" s="71"/>
      <c r="K200" s="71"/>
      <c r="L200" s="72"/>
      <c r="M200" s="71"/>
    </row>
    <row r="201" spans="1:13" x14ac:dyDescent="0.15">
      <c r="A201" s="67"/>
      <c r="B201" s="129">
        <v>196</v>
      </c>
      <c r="C201" s="68" t="s">
        <v>50</v>
      </c>
      <c r="D201" s="69" t="s">
        <v>50</v>
      </c>
      <c r="E201" s="68" t="s">
        <v>50</v>
      </c>
      <c r="F201" s="68" t="s">
        <v>50</v>
      </c>
      <c r="G201" s="68">
        <v>0</v>
      </c>
      <c r="H201" s="73"/>
      <c r="I201" s="70" t="s">
        <v>52</v>
      </c>
      <c r="J201" s="71"/>
      <c r="K201" s="71"/>
      <c r="L201" s="72"/>
      <c r="M201" s="71"/>
    </row>
    <row r="202" spans="1:13" x14ac:dyDescent="0.15">
      <c r="A202" s="67"/>
      <c r="B202" s="129">
        <v>197</v>
      </c>
      <c r="C202" s="68" t="s">
        <v>50</v>
      </c>
      <c r="D202" s="69" t="s">
        <v>50</v>
      </c>
      <c r="E202" s="68" t="s">
        <v>50</v>
      </c>
      <c r="F202" s="68" t="s">
        <v>50</v>
      </c>
      <c r="G202" s="68">
        <v>0</v>
      </c>
      <c r="H202" s="73"/>
      <c r="I202" s="70" t="s">
        <v>52</v>
      </c>
      <c r="J202" s="71"/>
      <c r="K202" s="71"/>
      <c r="L202" s="72"/>
      <c r="M202" s="71"/>
    </row>
    <row r="203" spans="1:13" x14ac:dyDescent="0.15">
      <c r="A203" s="67"/>
      <c r="B203" s="129">
        <v>198</v>
      </c>
      <c r="C203" s="68" t="s">
        <v>50</v>
      </c>
      <c r="D203" s="69" t="s">
        <v>50</v>
      </c>
      <c r="E203" s="68" t="s">
        <v>50</v>
      </c>
      <c r="F203" s="68" t="s">
        <v>50</v>
      </c>
      <c r="G203" s="68">
        <v>0</v>
      </c>
      <c r="H203" s="73"/>
      <c r="I203" s="70" t="s">
        <v>52</v>
      </c>
      <c r="J203" s="71"/>
      <c r="K203" s="71"/>
      <c r="L203" s="72"/>
      <c r="M203" s="71"/>
    </row>
    <row r="204" spans="1:13" x14ac:dyDescent="0.15">
      <c r="A204" s="67"/>
      <c r="B204" s="129">
        <v>199</v>
      </c>
      <c r="C204" s="68" t="s">
        <v>50</v>
      </c>
      <c r="D204" s="69" t="s">
        <v>50</v>
      </c>
      <c r="E204" s="68" t="s">
        <v>50</v>
      </c>
      <c r="F204" s="68" t="s">
        <v>50</v>
      </c>
      <c r="G204" s="68">
        <v>0</v>
      </c>
      <c r="H204" s="73"/>
      <c r="I204" s="70" t="s">
        <v>52</v>
      </c>
      <c r="J204" s="71"/>
      <c r="K204" s="71"/>
      <c r="L204" s="72"/>
      <c r="M204" s="71"/>
    </row>
    <row r="205" spans="1:13" x14ac:dyDescent="0.15">
      <c r="A205" s="67"/>
      <c r="B205" s="129">
        <v>200</v>
      </c>
      <c r="C205" s="68" t="s">
        <v>50</v>
      </c>
      <c r="D205" s="69" t="s">
        <v>50</v>
      </c>
      <c r="E205" s="68" t="s">
        <v>50</v>
      </c>
      <c r="F205" s="68" t="s">
        <v>50</v>
      </c>
      <c r="G205" s="68">
        <v>0</v>
      </c>
      <c r="H205" s="73"/>
      <c r="I205" s="70" t="s">
        <v>52</v>
      </c>
      <c r="J205" s="71"/>
      <c r="K205" s="71"/>
      <c r="L205" s="72"/>
      <c r="M205" s="71"/>
    </row>
    <row r="206" spans="1:13" x14ac:dyDescent="0.15">
      <c r="A206" s="67"/>
      <c r="B206" s="74"/>
      <c r="C206" s="75"/>
      <c r="D206" s="69" t="s">
        <v>50</v>
      </c>
      <c r="E206" s="75"/>
      <c r="F206" s="75"/>
      <c r="G206" s="75"/>
      <c r="H206" s="75"/>
      <c r="I206" s="75"/>
      <c r="J206" s="71"/>
      <c r="K206" s="71"/>
      <c r="L206" s="72"/>
      <c r="M206" s="71"/>
    </row>
    <row r="207" spans="1:13" x14ac:dyDescent="0.15">
      <c r="D207" s="69" t="s">
        <v>50</v>
      </c>
    </row>
    <row r="208" spans="1:13" x14ac:dyDescent="0.15">
      <c r="D208" s="69" t="s">
        <v>50</v>
      </c>
    </row>
    <row r="209" spans="4:4" x14ac:dyDescent="0.15">
      <c r="D209" s="69" t="s">
        <v>50</v>
      </c>
    </row>
    <row r="210" spans="4:4" x14ac:dyDescent="0.15">
      <c r="D210" s="69" t="s">
        <v>50</v>
      </c>
    </row>
    <row r="211" spans="4:4" x14ac:dyDescent="0.15">
      <c r="D211" s="69" t="s">
        <v>50</v>
      </c>
    </row>
    <row r="212" spans="4:4" x14ac:dyDescent="0.15">
      <c r="D212" s="69" t="s">
        <v>50</v>
      </c>
    </row>
    <row r="213" spans="4:4" x14ac:dyDescent="0.15">
      <c r="D213" s="69" t="s">
        <v>50</v>
      </c>
    </row>
    <row r="214" spans="4:4" x14ac:dyDescent="0.15">
      <c r="D214" s="69" t="s">
        <v>50</v>
      </c>
    </row>
    <row r="215" spans="4:4" x14ac:dyDescent="0.15">
      <c r="D215" s="69" t="s">
        <v>50</v>
      </c>
    </row>
    <row r="216" spans="4:4" x14ac:dyDescent="0.15">
      <c r="D216" s="69" t="s">
        <v>50</v>
      </c>
    </row>
    <row r="217" spans="4:4" x14ac:dyDescent="0.15">
      <c r="D217" s="69" t="s">
        <v>50</v>
      </c>
    </row>
    <row r="218" spans="4:4" x14ac:dyDescent="0.15">
      <c r="D218" s="69" t="s">
        <v>50</v>
      </c>
    </row>
    <row r="219" spans="4:4" x14ac:dyDescent="0.15">
      <c r="D219" s="69" t="s">
        <v>50</v>
      </c>
    </row>
    <row r="220" spans="4:4" x14ac:dyDescent="0.15">
      <c r="D220" s="69" t="s">
        <v>50</v>
      </c>
    </row>
    <row r="221" spans="4:4" x14ac:dyDescent="0.15">
      <c r="D221" s="69" t="s">
        <v>50</v>
      </c>
    </row>
    <row r="222" spans="4:4" x14ac:dyDescent="0.15">
      <c r="D222" s="69" t="s">
        <v>50</v>
      </c>
    </row>
    <row r="223" spans="4:4" x14ac:dyDescent="0.15">
      <c r="D223" s="69" t="s">
        <v>50</v>
      </c>
    </row>
    <row r="224" spans="4:4" x14ac:dyDescent="0.15">
      <c r="D224" s="69" t="s">
        <v>50</v>
      </c>
    </row>
    <row r="225" spans="4:4" x14ac:dyDescent="0.15">
      <c r="D225" s="69" t="s">
        <v>50</v>
      </c>
    </row>
    <row r="226" spans="4:4" x14ac:dyDescent="0.15">
      <c r="D226" s="69" t="s">
        <v>50</v>
      </c>
    </row>
    <row r="227" spans="4:4" x14ac:dyDescent="0.15">
      <c r="D227" s="69" t="s">
        <v>50</v>
      </c>
    </row>
    <row r="228" spans="4:4" x14ac:dyDescent="0.15">
      <c r="D228" s="69" t="s">
        <v>50</v>
      </c>
    </row>
    <row r="229" spans="4:4" x14ac:dyDescent="0.15">
      <c r="D229" s="69" t="s">
        <v>50</v>
      </c>
    </row>
    <row r="230" spans="4:4" x14ac:dyDescent="0.15">
      <c r="D230" s="69" t="s">
        <v>50</v>
      </c>
    </row>
    <row r="231" spans="4:4" x14ac:dyDescent="0.15">
      <c r="D231" s="69" t="s">
        <v>50</v>
      </c>
    </row>
    <row r="232" spans="4:4" x14ac:dyDescent="0.15">
      <c r="D232" s="69" t="s">
        <v>50</v>
      </c>
    </row>
    <row r="233" spans="4:4" x14ac:dyDescent="0.15">
      <c r="D233" s="69" t="s">
        <v>50</v>
      </c>
    </row>
    <row r="234" spans="4:4" x14ac:dyDescent="0.15">
      <c r="D234" s="69" t="s">
        <v>50</v>
      </c>
    </row>
    <row r="235" spans="4:4" x14ac:dyDescent="0.15">
      <c r="D235" s="69" t="s">
        <v>50</v>
      </c>
    </row>
    <row r="236" spans="4:4" x14ac:dyDescent="0.15">
      <c r="D236" s="69" t="s">
        <v>50</v>
      </c>
    </row>
    <row r="237" spans="4:4" x14ac:dyDescent="0.15">
      <c r="D237" s="69" t="s">
        <v>50</v>
      </c>
    </row>
    <row r="238" spans="4:4" x14ac:dyDescent="0.15">
      <c r="D238" s="69" t="s">
        <v>50</v>
      </c>
    </row>
    <row r="239" spans="4:4" x14ac:dyDescent="0.15">
      <c r="D239" s="69" t="s">
        <v>50</v>
      </c>
    </row>
    <row r="240" spans="4:4" x14ac:dyDescent="0.15">
      <c r="D240" s="69" t="s">
        <v>50</v>
      </c>
    </row>
    <row r="241" spans="4:4" x14ac:dyDescent="0.15">
      <c r="D241" s="69" t="s">
        <v>50</v>
      </c>
    </row>
    <row r="242" spans="4:4" x14ac:dyDescent="0.15">
      <c r="D242" s="69" t="s">
        <v>50</v>
      </c>
    </row>
    <row r="243" spans="4:4" x14ac:dyDescent="0.15">
      <c r="D243" s="69" t="s">
        <v>50</v>
      </c>
    </row>
    <row r="244" spans="4:4" x14ac:dyDescent="0.15">
      <c r="D244" s="69" t="s">
        <v>50</v>
      </c>
    </row>
    <row r="245" spans="4:4" x14ac:dyDescent="0.15">
      <c r="D245" s="69" t="s">
        <v>50</v>
      </c>
    </row>
    <row r="246" spans="4:4" x14ac:dyDescent="0.15">
      <c r="D246" s="69" t="s">
        <v>50</v>
      </c>
    </row>
    <row r="247" spans="4:4" x14ac:dyDescent="0.15">
      <c r="D247" s="69" t="s">
        <v>50</v>
      </c>
    </row>
    <row r="248" spans="4:4" x14ac:dyDescent="0.15">
      <c r="D248" s="69" t="s">
        <v>50</v>
      </c>
    </row>
    <row r="249" spans="4:4" x14ac:dyDescent="0.15">
      <c r="D249" s="69" t="s">
        <v>50</v>
      </c>
    </row>
    <row r="250" spans="4:4" x14ac:dyDescent="0.15">
      <c r="D250" s="69" t="s">
        <v>50</v>
      </c>
    </row>
    <row r="251" spans="4:4" x14ac:dyDescent="0.15">
      <c r="D251" s="69" t="s">
        <v>50</v>
      </c>
    </row>
    <row r="252" spans="4:4" x14ac:dyDescent="0.15">
      <c r="D252" s="69" t="s">
        <v>50</v>
      </c>
    </row>
    <row r="253" spans="4:4" x14ac:dyDescent="0.15">
      <c r="D253" s="69" t="s">
        <v>50</v>
      </c>
    </row>
    <row r="254" spans="4:4" x14ac:dyDescent="0.15">
      <c r="D254" s="69" t="s">
        <v>50</v>
      </c>
    </row>
    <row r="255" spans="4:4" x14ac:dyDescent="0.15">
      <c r="D255" s="69" t="s">
        <v>50</v>
      </c>
    </row>
    <row r="256" spans="4:4" x14ac:dyDescent="0.15">
      <c r="D256" s="69" t="s">
        <v>50</v>
      </c>
    </row>
    <row r="257" spans="4:4" x14ac:dyDescent="0.15">
      <c r="D257" s="69" t="s">
        <v>50</v>
      </c>
    </row>
    <row r="258" spans="4:4" x14ac:dyDescent="0.15">
      <c r="D258" s="69" t="s">
        <v>50</v>
      </c>
    </row>
    <row r="259" spans="4:4" x14ac:dyDescent="0.15">
      <c r="D259" s="69" t="s">
        <v>50</v>
      </c>
    </row>
    <row r="260" spans="4:4" x14ac:dyDescent="0.15">
      <c r="D260" s="69" t="s">
        <v>50</v>
      </c>
    </row>
    <row r="261" spans="4:4" x14ac:dyDescent="0.15">
      <c r="D261" s="69" t="s">
        <v>50</v>
      </c>
    </row>
    <row r="262" spans="4:4" x14ac:dyDescent="0.15">
      <c r="D262" s="69" t="s">
        <v>50</v>
      </c>
    </row>
    <row r="263" spans="4:4" x14ac:dyDescent="0.15">
      <c r="D263" s="69" t="s">
        <v>50</v>
      </c>
    </row>
    <row r="264" spans="4:4" x14ac:dyDescent="0.15">
      <c r="D264" s="69" t="s">
        <v>50</v>
      </c>
    </row>
    <row r="265" spans="4:4" x14ac:dyDescent="0.15">
      <c r="D265" s="69" t="s">
        <v>50</v>
      </c>
    </row>
    <row r="266" spans="4:4" x14ac:dyDescent="0.15">
      <c r="D266" s="69" t="s">
        <v>50</v>
      </c>
    </row>
    <row r="267" spans="4:4" x14ac:dyDescent="0.15">
      <c r="D267" s="69" t="s">
        <v>50</v>
      </c>
    </row>
    <row r="268" spans="4:4" x14ac:dyDescent="0.15">
      <c r="D268" s="69" t="s">
        <v>50</v>
      </c>
    </row>
    <row r="269" spans="4:4" x14ac:dyDescent="0.15">
      <c r="D269" s="69" t="s">
        <v>50</v>
      </c>
    </row>
    <row r="270" spans="4:4" x14ac:dyDescent="0.15">
      <c r="D270" s="69" t="s">
        <v>50</v>
      </c>
    </row>
    <row r="271" spans="4:4" x14ac:dyDescent="0.15">
      <c r="D271" s="69" t="s">
        <v>50</v>
      </c>
    </row>
    <row r="272" spans="4:4" x14ac:dyDescent="0.15">
      <c r="D272" s="69" t="s">
        <v>50</v>
      </c>
    </row>
    <row r="273" spans="4:4" x14ac:dyDescent="0.15">
      <c r="D273" s="69" t="s">
        <v>50</v>
      </c>
    </row>
    <row r="274" spans="4:4" x14ac:dyDescent="0.15">
      <c r="D274" s="69" t="s">
        <v>50</v>
      </c>
    </row>
    <row r="275" spans="4:4" x14ac:dyDescent="0.15">
      <c r="D275" s="69" t="s">
        <v>50</v>
      </c>
    </row>
    <row r="276" spans="4:4" x14ac:dyDescent="0.15">
      <c r="D276" s="69" t="s">
        <v>50</v>
      </c>
    </row>
    <row r="277" spans="4:4" x14ac:dyDescent="0.15">
      <c r="D277" s="69" t="s">
        <v>50</v>
      </c>
    </row>
    <row r="278" spans="4:4" x14ac:dyDescent="0.15">
      <c r="D278" s="69" t="s">
        <v>50</v>
      </c>
    </row>
    <row r="279" spans="4:4" x14ac:dyDescent="0.15">
      <c r="D279" s="69" t="s">
        <v>50</v>
      </c>
    </row>
    <row r="280" spans="4:4" x14ac:dyDescent="0.15">
      <c r="D280" s="69" t="s">
        <v>50</v>
      </c>
    </row>
    <row r="281" spans="4:4" x14ac:dyDescent="0.15">
      <c r="D281" s="69" t="s">
        <v>50</v>
      </c>
    </row>
    <row r="282" spans="4:4" x14ac:dyDescent="0.15">
      <c r="D282" s="69" t="s">
        <v>50</v>
      </c>
    </row>
    <row r="283" spans="4:4" x14ac:dyDescent="0.15">
      <c r="D283" s="69" t="s">
        <v>50</v>
      </c>
    </row>
    <row r="284" spans="4:4" x14ac:dyDescent="0.15">
      <c r="D284" s="69" t="s">
        <v>50</v>
      </c>
    </row>
    <row r="285" spans="4:4" x14ac:dyDescent="0.15">
      <c r="D285" s="69" t="s">
        <v>50</v>
      </c>
    </row>
    <row r="286" spans="4:4" x14ac:dyDescent="0.15">
      <c r="D286" s="69" t="s">
        <v>50</v>
      </c>
    </row>
    <row r="287" spans="4:4" x14ac:dyDescent="0.15">
      <c r="D287" s="69" t="s">
        <v>50</v>
      </c>
    </row>
    <row r="288" spans="4:4" x14ac:dyDescent="0.15">
      <c r="D288" s="69" t="s">
        <v>50</v>
      </c>
    </row>
    <row r="289" spans="4:4" x14ac:dyDescent="0.15">
      <c r="D289" s="69" t="s">
        <v>50</v>
      </c>
    </row>
    <row r="290" spans="4:4" x14ac:dyDescent="0.15">
      <c r="D290" s="69" t="s">
        <v>50</v>
      </c>
    </row>
    <row r="291" spans="4:4" x14ac:dyDescent="0.15">
      <c r="D291" s="69" t="s">
        <v>50</v>
      </c>
    </row>
    <row r="292" spans="4:4" x14ac:dyDescent="0.15">
      <c r="D292" s="69" t="s">
        <v>50</v>
      </c>
    </row>
    <row r="293" spans="4:4" x14ac:dyDescent="0.15">
      <c r="D293" s="69" t="s">
        <v>50</v>
      </c>
    </row>
    <row r="294" spans="4:4" x14ac:dyDescent="0.15">
      <c r="D294" s="69" t="s">
        <v>50</v>
      </c>
    </row>
    <row r="295" spans="4:4" x14ac:dyDescent="0.15">
      <c r="D295" s="69" t="s">
        <v>50</v>
      </c>
    </row>
    <row r="296" spans="4:4" x14ac:dyDescent="0.15">
      <c r="D296" s="69" t="s">
        <v>50</v>
      </c>
    </row>
    <row r="297" spans="4:4" x14ac:dyDescent="0.15">
      <c r="D297" s="69" t="s">
        <v>50</v>
      </c>
    </row>
    <row r="298" spans="4:4" x14ac:dyDescent="0.15">
      <c r="D298" s="69" t="s">
        <v>50</v>
      </c>
    </row>
    <row r="299" spans="4:4" x14ac:dyDescent="0.15">
      <c r="D299" s="69" t="s">
        <v>50</v>
      </c>
    </row>
    <row r="300" spans="4:4" x14ac:dyDescent="0.15">
      <c r="D300" s="69" t="s">
        <v>50</v>
      </c>
    </row>
    <row r="301" spans="4:4" x14ac:dyDescent="0.15">
      <c r="D301" s="69" t="s">
        <v>50</v>
      </c>
    </row>
    <row r="302" spans="4:4" x14ac:dyDescent="0.15">
      <c r="D302" s="69" t="s">
        <v>50</v>
      </c>
    </row>
    <row r="303" spans="4:4" x14ac:dyDescent="0.15">
      <c r="D303" s="69" t="s">
        <v>50</v>
      </c>
    </row>
    <row r="304" spans="4:4" x14ac:dyDescent="0.15">
      <c r="D304" s="69" t="s">
        <v>50</v>
      </c>
    </row>
    <row r="305" spans="4:4" x14ac:dyDescent="0.15">
      <c r="D305" s="69" t="s">
        <v>50</v>
      </c>
    </row>
    <row r="306" spans="4:4" x14ac:dyDescent="0.15">
      <c r="D306" s="69" t="s">
        <v>50</v>
      </c>
    </row>
    <row r="307" spans="4:4" x14ac:dyDescent="0.15">
      <c r="D307" s="69" t="s">
        <v>50</v>
      </c>
    </row>
    <row r="308" spans="4:4" x14ac:dyDescent="0.15">
      <c r="D308" s="69" t="s">
        <v>50</v>
      </c>
    </row>
    <row r="309" spans="4:4" x14ac:dyDescent="0.15">
      <c r="D309" s="69" t="s">
        <v>50</v>
      </c>
    </row>
    <row r="310" spans="4:4" x14ac:dyDescent="0.15">
      <c r="D310" s="69" t="s">
        <v>50</v>
      </c>
    </row>
    <row r="311" spans="4:4" x14ac:dyDescent="0.15">
      <c r="D311" s="69" t="s">
        <v>50</v>
      </c>
    </row>
    <row r="312" spans="4:4" x14ac:dyDescent="0.15">
      <c r="D312" s="69" t="s">
        <v>50</v>
      </c>
    </row>
    <row r="313" spans="4:4" x14ac:dyDescent="0.15">
      <c r="D313" s="69" t="s">
        <v>50</v>
      </c>
    </row>
    <row r="314" spans="4:4" x14ac:dyDescent="0.15">
      <c r="D314" s="69" t="s">
        <v>50</v>
      </c>
    </row>
    <row r="315" spans="4:4" x14ac:dyDescent="0.15">
      <c r="D315" s="69" t="s">
        <v>50</v>
      </c>
    </row>
    <row r="316" spans="4:4" x14ac:dyDescent="0.15">
      <c r="D316" s="69" t="s">
        <v>50</v>
      </c>
    </row>
    <row r="317" spans="4:4" x14ac:dyDescent="0.15">
      <c r="D317" s="69" t="s">
        <v>50</v>
      </c>
    </row>
    <row r="318" spans="4:4" x14ac:dyDescent="0.15">
      <c r="D318" s="69" t="s">
        <v>50</v>
      </c>
    </row>
    <row r="319" spans="4:4" x14ac:dyDescent="0.15">
      <c r="D319" s="69" t="s">
        <v>50</v>
      </c>
    </row>
    <row r="320" spans="4:4" x14ac:dyDescent="0.15">
      <c r="D320" s="69" t="s">
        <v>50</v>
      </c>
    </row>
    <row r="321" spans="4:4" x14ac:dyDescent="0.15">
      <c r="D321" s="69" t="s">
        <v>50</v>
      </c>
    </row>
    <row r="322" spans="4:4" x14ac:dyDescent="0.15">
      <c r="D322" s="69" t="s">
        <v>50</v>
      </c>
    </row>
    <row r="323" spans="4:4" x14ac:dyDescent="0.15">
      <c r="D323" s="69" t="s">
        <v>50</v>
      </c>
    </row>
    <row r="324" spans="4:4" x14ac:dyDescent="0.15">
      <c r="D324" s="69" t="s">
        <v>50</v>
      </c>
    </row>
    <row r="325" spans="4:4" x14ac:dyDescent="0.15">
      <c r="D325" s="69" t="s">
        <v>50</v>
      </c>
    </row>
    <row r="326" spans="4:4" x14ac:dyDescent="0.15">
      <c r="D326" s="69" t="s">
        <v>50</v>
      </c>
    </row>
    <row r="327" spans="4:4" x14ac:dyDescent="0.15">
      <c r="D327" s="69" t="s">
        <v>50</v>
      </c>
    </row>
    <row r="328" spans="4:4" x14ac:dyDescent="0.15">
      <c r="D328" s="69" t="s">
        <v>50</v>
      </c>
    </row>
    <row r="329" spans="4:4" x14ac:dyDescent="0.15">
      <c r="D329" s="69" t="s">
        <v>50</v>
      </c>
    </row>
    <row r="330" spans="4:4" x14ac:dyDescent="0.15">
      <c r="D330" s="69" t="s">
        <v>50</v>
      </c>
    </row>
    <row r="331" spans="4:4" x14ac:dyDescent="0.15">
      <c r="D331" s="69" t="s">
        <v>50</v>
      </c>
    </row>
    <row r="332" spans="4:4" x14ac:dyDescent="0.15">
      <c r="D332" s="69" t="s">
        <v>50</v>
      </c>
    </row>
    <row r="333" spans="4:4" x14ac:dyDescent="0.15">
      <c r="D333" s="69" t="s">
        <v>50</v>
      </c>
    </row>
    <row r="334" spans="4:4" x14ac:dyDescent="0.15">
      <c r="D334" s="69" t="s">
        <v>50</v>
      </c>
    </row>
    <row r="335" spans="4:4" x14ac:dyDescent="0.15">
      <c r="D335" s="69" t="s">
        <v>50</v>
      </c>
    </row>
    <row r="336" spans="4:4" x14ac:dyDescent="0.15">
      <c r="D336" s="69" t="s">
        <v>50</v>
      </c>
    </row>
    <row r="337" spans="4:4" x14ac:dyDescent="0.15">
      <c r="D337" s="69" t="s">
        <v>50</v>
      </c>
    </row>
    <row r="338" spans="4:4" x14ac:dyDescent="0.15">
      <c r="D338" s="69" t="s">
        <v>50</v>
      </c>
    </row>
    <row r="339" spans="4:4" x14ac:dyDescent="0.15">
      <c r="D339" s="69" t="s">
        <v>50</v>
      </c>
    </row>
    <row r="340" spans="4:4" x14ac:dyDescent="0.15">
      <c r="D340" s="69" t="s">
        <v>50</v>
      </c>
    </row>
    <row r="341" spans="4:4" x14ac:dyDescent="0.15">
      <c r="D341" s="69" t="s">
        <v>50</v>
      </c>
    </row>
    <row r="342" spans="4:4" x14ac:dyDescent="0.15">
      <c r="D342" s="69" t="s">
        <v>50</v>
      </c>
    </row>
    <row r="343" spans="4:4" x14ac:dyDescent="0.15">
      <c r="D343" s="69" t="s">
        <v>50</v>
      </c>
    </row>
    <row r="344" spans="4:4" x14ac:dyDescent="0.15">
      <c r="D344" s="69" t="s">
        <v>50</v>
      </c>
    </row>
    <row r="345" spans="4:4" x14ac:dyDescent="0.15">
      <c r="D345" s="69" t="s">
        <v>50</v>
      </c>
    </row>
    <row r="346" spans="4:4" x14ac:dyDescent="0.15">
      <c r="D346" s="69" t="s">
        <v>50</v>
      </c>
    </row>
    <row r="347" spans="4:4" x14ac:dyDescent="0.15">
      <c r="D347" s="69" t="s">
        <v>50</v>
      </c>
    </row>
    <row r="348" spans="4:4" x14ac:dyDescent="0.15">
      <c r="D348" s="69" t="s">
        <v>50</v>
      </c>
    </row>
    <row r="349" spans="4:4" x14ac:dyDescent="0.15">
      <c r="D349" s="69" t="s">
        <v>50</v>
      </c>
    </row>
    <row r="350" spans="4:4" x14ac:dyDescent="0.15">
      <c r="D350" s="69" t="s">
        <v>50</v>
      </c>
    </row>
    <row r="351" spans="4:4" x14ac:dyDescent="0.15">
      <c r="D351" s="69" t="s">
        <v>50</v>
      </c>
    </row>
    <row r="352" spans="4:4" x14ac:dyDescent="0.15">
      <c r="D352" s="69" t="s">
        <v>50</v>
      </c>
    </row>
    <row r="353" spans="4:4" x14ac:dyDescent="0.15">
      <c r="D353" s="69" t="s">
        <v>50</v>
      </c>
    </row>
    <row r="354" spans="4:4" x14ac:dyDescent="0.15">
      <c r="D354" s="69" t="s">
        <v>50</v>
      </c>
    </row>
    <row r="355" spans="4:4" x14ac:dyDescent="0.15">
      <c r="D355" s="69" t="s">
        <v>50</v>
      </c>
    </row>
    <row r="356" spans="4:4" x14ac:dyDescent="0.15">
      <c r="D356" s="69" t="s">
        <v>50</v>
      </c>
    </row>
    <row r="357" spans="4:4" x14ac:dyDescent="0.15">
      <c r="D357" s="69" t="s">
        <v>50</v>
      </c>
    </row>
    <row r="358" spans="4:4" x14ac:dyDescent="0.15">
      <c r="D358" s="69" t="s">
        <v>50</v>
      </c>
    </row>
    <row r="359" spans="4:4" x14ac:dyDescent="0.15">
      <c r="D359" s="69" t="s">
        <v>50</v>
      </c>
    </row>
    <row r="360" spans="4:4" x14ac:dyDescent="0.15">
      <c r="D360" s="69" t="s">
        <v>50</v>
      </c>
    </row>
    <row r="361" spans="4:4" x14ac:dyDescent="0.15">
      <c r="D361" s="69" t="s">
        <v>50</v>
      </c>
    </row>
    <row r="362" spans="4:4" x14ac:dyDescent="0.15">
      <c r="D362" s="69" t="s">
        <v>50</v>
      </c>
    </row>
    <row r="363" spans="4:4" x14ac:dyDescent="0.15">
      <c r="D363" s="69" t="s">
        <v>50</v>
      </c>
    </row>
    <row r="364" spans="4:4" x14ac:dyDescent="0.15">
      <c r="D364" s="69" t="s">
        <v>50</v>
      </c>
    </row>
    <row r="365" spans="4:4" x14ac:dyDescent="0.15">
      <c r="D365" s="69" t="s">
        <v>50</v>
      </c>
    </row>
    <row r="366" spans="4:4" x14ac:dyDescent="0.15">
      <c r="D366" s="69" t="s">
        <v>50</v>
      </c>
    </row>
    <row r="367" spans="4:4" x14ac:dyDescent="0.15">
      <c r="D367" s="69" t="s">
        <v>50</v>
      </c>
    </row>
    <row r="368" spans="4:4" x14ac:dyDescent="0.15">
      <c r="D368" s="69" t="s">
        <v>50</v>
      </c>
    </row>
    <row r="369" spans="4:4" x14ac:dyDescent="0.15">
      <c r="D369" s="69" t="s">
        <v>50</v>
      </c>
    </row>
    <row r="370" spans="4:4" x14ac:dyDescent="0.15">
      <c r="D370" s="69" t="s">
        <v>50</v>
      </c>
    </row>
    <row r="371" spans="4:4" x14ac:dyDescent="0.15">
      <c r="D371" s="69" t="s">
        <v>50</v>
      </c>
    </row>
    <row r="372" spans="4:4" x14ac:dyDescent="0.15">
      <c r="D372" s="69" t="s">
        <v>50</v>
      </c>
    </row>
    <row r="373" spans="4:4" x14ac:dyDescent="0.15">
      <c r="D373" s="69" t="s">
        <v>50</v>
      </c>
    </row>
    <row r="374" spans="4:4" x14ac:dyDescent="0.15">
      <c r="D374" s="69" t="s">
        <v>50</v>
      </c>
    </row>
    <row r="375" spans="4:4" x14ac:dyDescent="0.15">
      <c r="D375" s="69" t="s">
        <v>50</v>
      </c>
    </row>
    <row r="376" spans="4:4" x14ac:dyDescent="0.15">
      <c r="D376" s="69" t="s">
        <v>50</v>
      </c>
    </row>
    <row r="377" spans="4:4" x14ac:dyDescent="0.15">
      <c r="D377" s="69" t="s">
        <v>50</v>
      </c>
    </row>
    <row r="378" spans="4:4" x14ac:dyDescent="0.15">
      <c r="D378" s="69" t="s">
        <v>50</v>
      </c>
    </row>
    <row r="379" spans="4:4" x14ac:dyDescent="0.15">
      <c r="D379" s="69" t="s">
        <v>50</v>
      </c>
    </row>
    <row r="380" spans="4:4" x14ac:dyDescent="0.15">
      <c r="D380" s="69" t="s">
        <v>50</v>
      </c>
    </row>
    <row r="381" spans="4:4" x14ac:dyDescent="0.15">
      <c r="D381" s="69" t="s">
        <v>50</v>
      </c>
    </row>
    <row r="382" spans="4:4" x14ac:dyDescent="0.15">
      <c r="D382" s="69" t="s">
        <v>50</v>
      </c>
    </row>
    <row r="383" spans="4:4" x14ac:dyDescent="0.15">
      <c r="D383" s="69" t="s">
        <v>50</v>
      </c>
    </row>
    <row r="384" spans="4:4" x14ac:dyDescent="0.15">
      <c r="D384" s="69" t="s">
        <v>50</v>
      </c>
    </row>
    <row r="385" spans="4:4" x14ac:dyDescent="0.15">
      <c r="D385" s="69" t="s">
        <v>50</v>
      </c>
    </row>
    <row r="386" spans="4:4" x14ac:dyDescent="0.15">
      <c r="D386" s="69" t="s">
        <v>50</v>
      </c>
    </row>
    <row r="387" spans="4:4" x14ac:dyDescent="0.15">
      <c r="D387" s="69" t="s">
        <v>50</v>
      </c>
    </row>
    <row r="388" spans="4:4" x14ac:dyDescent="0.15">
      <c r="D388" s="69" t="s">
        <v>50</v>
      </c>
    </row>
    <row r="389" spans="4:4" x14ac:dyDescent="0.15">
      <c r="D389" s="69" t="s">
        <v>50</v>
      </c>
    </row>
    <row r="390" spans="4:4" x14ac:dyDescent="0.15">
      <c r="D390" s="69" t="s">
        <v>50</v>
      </c>
    </row>
    <row r="391" spans="4:4" x14ac:dyDescent="0.15">
      <c r="D391" s="69" t="s">
        <v>50</v>
      </c>
    </row>
    <row r="392" spans="4:4" x14ac:dyDescent="0.15">
      <c r="D392" s="69" t="s">
        <v>50</v>
      </c>
    </row>
    <row r="393" spans="4:4" x14ac:dyDescent="0.15">
      <c r="D393" s="69" t="s">
        <v>50</v>
      </c>
    </row>
    <row r="394" spans="4:4" x14ac:dyDescent="0.15">
      <c r="D394" s="69" t="s">
        <v>50</v>
      </c>
    </row>
    <row r="395" spans="4:4" x14ac:dyDescent="0.15">
      <c r="D395" s="69" t="s">
        <v>50</v>
      </c>
    </row>
    <row r="396" spans="4:4" x14ac:dyDescent="0.15">
      <c r="D396" s="69" t="s">
        <v>50</v>
      </c>
    </row>
    <row r="397" spans="4:4" x14ac:dyDescent="0.15">
      <c r="D397" s="69" t="s">
        <v>50</v>
      </c>
    </row>
    <row r="398" spans="4:4" x14ac:dyDescent="0.15">
      <c r="D398" s="69" t="s">
        <v>50</v>
      </c>
    </row>
    <row r="399" spans="4:4" x14ac:dyDescent="0.15">
      <c r="D399" s="69" t="s">
        <v>50</v>
      </c>
    </row>
    <row r="400" spans="4:4" x14ac:dyDescent="0.15">
      <c r="D400" s="69" t="s">
        <v>50</v>
      </c>
    </row>
    <row r="401" spans="4:4" x14ac:dyDescent="0.15">
      <c r="D401" s="69" t="s">
        <v>50</v>
      </c>
    </row>
    <row r="402" spans="4:4" x14ac:dyDescent="0.15">
      <c r="D402" s="69" t="s">
        <v>50</v>
      </c>
    </row>
    <row r="403" spans="4:4" x14ac:dyDescent="0.15">
      <c r="D403" s="69" t="s">
        <v>50</v>
      </c>
    </row>
    <row r="404" spans="4:4" x14ac:dyDescent="0.15">
      <c r="D404" s="69" t="s">
        <v>50</v>
      </c>
    </row>
    <row r="405" spans="4:4" x14ac:dyDescent="0.15">
      <c r="D405" s="69" t="s">
        <v>50</v>
      </c>
    </row>
    <row r="406" spans="4:4" x14ac:dyDescent="0.15">
      <c r="D406" s="69" t="s">
        <v>50</v>
      </c>
    </row>
    <row r="407" spans="4:4" x14ac:dyDescent="0.15">
      <c r="D407" s="69" t="s">
        <v>50</v>
      </c>
    </row>
    <row r="408" spans="4:4" x14ac:dyDescent="0.15">
      <c r="D408" s="69" t="s">
        <v>50</v>
      </c>
    </row>
    <row r="409" spans="4:4" x14ac:dyDescent="0.15">
      <c r="D409" s="69" t="s">
        <v>50</v>
      </c>
    </row>
    <row r="410" spans="4:4" x14ac:dyDescent="0.15">
      <c r="D410" s="69" t="s">
        <v>50</v>
      </c>
    </row>
    <row r="411" spans="4:4" x14ac:dyDescent="0.15">
      <c r="D411" s="69" t="s">
        <v>50</v>
      </c>
    </row>
    <row r="412" spans="4:4" x14ac:dyDescent="0.15">
      <c r="D412" s="69" t="s">
        <v>50</v>
      </c>
    </row>
    <row r="413" spans="4:4" x14ac:dyDescent="0.15">
      <c r="D413" s="69" t="s">
        <v>50</v>
      </c>
    </row>
    <row r="414" spans="4:4" x14ac:dyDescent="0.15">
      <c r="D414" s="69" t="s">
        <v>50</v>
      </c>
    </row>
    <row r="415" spans="4:4" x14ac:dyDescent="0.15">
      <c r="D415" s="69" t="s">
        <v>50</v>
      </c>
    </row>
    <row r="416" spans="4:4" x14ac:dyDescent="0.15">
      <c r="D416" s="69" t="s">
        <v>50</v>
      </c>
    </row>
    <row r="417" spans="4:4" x14ac:dyDescent="0.15">
      <c r="D417" s="69" t="s">
        <v>50</v>
      </c>
    </row>
    <row r="418" spans="4:4" x14ac:dyDescent="0.15">
      <c r="D418" s="69" t="s">
        <v>50</v>
      </c>
    </row>
    <row r="419" spans="4:4" x14ac:dyDescent="0.15">
      <c r="D419" s="69" t="s">
        <v>50</v>
      </c>
    </row>
    <row r="420" spans="4:4" x14ac:dyDescent="0.15">
      <c r="D420" s="69" t="s">
        <v>50</v>
      </c>
    </row>
    <row r="421" spans="4:4" x14ac:dyDescent="0.15">
      <c r="D421" s="69" t="s">
        <v>50</v>
      </c>
    </row>
    <row r="422" spans="4:4" x14ac:dyDescent="0.15">
      <c r="D422" s="69" t="s">
        <v>50</v>
      </c>
    </row>
    <row r="423" spans="4:4" x14ac:dyDescent="0.15">
      <c r="D423" s="69" t="s">
        <v>50</v>
      </c>
    </row>
    <row r="424" spans="4:4" x14ac:dyDescent="0.15">
      <c r="D424" s="69" t="s">
        <v>50</v>
      </c>
    </row>
    <row r="425" spans="4:4" x14ac:dyDescent="0.15">
      <c r="D425" s="69" t="s">
        <v>50</v>
      </c>
    </row>
    <row r="426" spans="4:4" x14ac:dyDescent="0.15">
      <c r="D426" s="69" t="s">
        <v>50</v>
      </c>
    </row>
    <row r="427" spans="4:4" x14ac:dyDescent="0.15">
      <c r="D427" s="69" t="s">
        <v>50</v>
      </c>
    </row>
    <row r="428" spans="4:4" x14ac:dyDescent="0.15">
      <c r="D428" s="69" t="s">
        <v>50</v>
      </c>
    </row>
    <row r="429" spans="4:4" x14ac:dyDescent="0.15">
      <c r="D429" s="69" t="s">
        <v>50</v>
      </c>
    </row>
    <row r="430" spans="4:4" x14ac:dyDescent="0.15">
      <c r="D430" s="69" t="s">
        <v>50</v>
      </c>
    </row>
    <row r="431" spans="4:4" x14ac:dyDescent="0.15">
      <c r="D431" s="69" t="s">
        <v>50</v>
      </c>
    </row>
    <row r="432" spans="4:4" x14ac:dyDescent="0.15">
      <c r="D432" s="69" t="s">
        <v>50</v>
      </c>
    </row>
    <row r="433" spans="4:4" x14ac:dyDescent="0.15">
      <c r="D433" s="69" t="s">
        <v>50</v>
      </c>
    </row>
    <row r="434" spans="4:4" x14ac:dyDescent="0.15">
      <c r="D434" s="69" t="s">
        <v>50</v>
      </c>
    </row>
    <row r="435" spans="4:4" x14ac:dyDescent="0.15">
      <c r="D435" s="69" t="s">
        <v>50</v>
      </c>
    </row>
    <row r="436" spans="4:4" x14ac:dyDescent="0.15">
      <c r="D436" s="69" t="s">
        <v>50</v>
      </c>
    </row>
    <row r="437" spans="4:4" x14ac:dyDescent="0.15">
      <c r="D437" s="69" t="s">
        <v>50</v>
      </c>
    </row>
    <row r="438" spans="4:4" x14ac:dyDescent="0.15">
      <c r="D438" s="69" t="s">
        <v>50</v>
      </c>
    </row>
    <row r="439" spans="4:4" x14ac:dyDescent="0.15">
      <c r="D439" s="69" t="s">
        <v>50</v>
      </c>
    </row>
    <row r="440" spans="4:4" x14ac:dyDescent="0.15">
      <c r="D440" s="69" t="s">
        <v>50</v>
      </c>
    </row>
    <row r="441" spans="4:4" x14ac:dyDescent="0.15">
      <c r="D441" s="69" t="s">
        <v>50</v>
      </c>
    </row>
    <row r="442" spans="4:4" x14ac:dyDescent="0.15">
      <c r="D442" s="69" t="s">
        <v>50</v>
      </c>
    </row>
    <row r="443" spans="4:4" x14ac:dyDescent="0.15">
      <c r="D443" s="69" t="s">
        <v>50</v>
      </c>
    </row>
    <row r="444" spans="4:4" x14ac:dyDescent="0.15">
      <c r="D444" s="69" t="s">
        <v>50</v>
      </c>
    </row>
    <row r="445" spans="4:4" x14ac:dyDescent="0.15">
      <c r="D445" s="69" t="s">
        <v>50</v>
      </c>
    </row>
    <row r="446" spans="4:4" x14ac:dyDescent="0.15">
      <c r="D446" s="69" t="s">
        <v>50</v>
      </c>
    </row>
    <row r="447" spans="4:4" x14ac:dyDescent="0.15">
      <c r="D447" s="69" t="s">
        <v>50</v>
      </c>
    </row>
    <row r="448" spans="4:4" x14ac:dyDescent="0.15">
      <c r="D448" s="69" t="s">
        <v>50</v>
      </c>
    </row>
    <row r="449" spans="4:4" x14ac:dyDescent="0.15">
      <c r="D449" s="69" t="s">
        <v>50</v>
      </c>
    </row>
    <row r="450" spans="4:4" x14ac:dyDescent="0.15">
      <c r="D450" s="69" t="s">
        <v>50</v>
      </c>
    </row>
    <row r="451" spans="4:4" x14ac:dyDescent="0.15">
      <c r="D451" s="69" t="s">
        <v>50</v>
      </c>
    </row>
    <row r="452" spans="4:4" x14ac:dyDescent="0.15">
      <c r="D452" s="69" t="s">
        <v>50</v>
      </c>
    </row>
    <row r="453" spans="4:4" x14ac:dyDescent="0.15">
      <c r="D453" s="69" t="s">
        <v>50</v>
      </c>
    </row>
    <row r="454" spans="4:4" x14ac:dyDescent="0.15">
      <c r="D454" s="69" t="s">
        <v>50</v>
      </c>
    </row>
    <row r="455" spans="4:4" x14ac:dyDescent="0.15">
      <c r="D455" s="69" t="s">
        <v>50</v>
      </c>
    </row>
    <row r="456" spans="4:4" x14ac:dyDescent="0.15">
      <c r="D456" s="69" t="s">
        <v>50</v>
      </c>
    </row>
    <row r="457" spans="4:4" x14ac:dyDescent="0.15">
      <c r="D457" s="69" t="s">
        <v>50</v>
      </c>
    </row>
    <row r="458" spans="4:4" x14ac:dyDescent="0.15">
      <c r="D458" s="69" t="s">
        <v>50</v>
      </c>
    </row>
    <row r="459" spans="4:4" x14ac:dyDescent="0.15">
      <c r="D459" s="69" t="s">
        <v>50</v>
      </c>
    </row>
    <row r="460" spans="4:4" x14ac:dyDescent="0.15">
      <c r="D460" s="69" t="s">
        <v>50</v>
      </c>
    </row>
    <row r="461" spans="4:4" x14ac:dyDescent="0.15">
      <c r="D461" s="69" t="s">
        <v>50</v>
      </c>
    </row>
    <row r="462" spans="4:4" x14ac:dyDescent="0.15">
      <c r="D462" s="69" t="s">
        <v>50</v>
      </c>
    </row>
    <row r="463" spans="4:4" x14ac:dyDescent="0.15">
      <c r="D463" s="69" t="s">
        <v>50</v>
      </c>
    </row>
    <row r="464" spans="4:4" x14ac:dyDescent="0.15">
      <c r="D464" s="69" t="s">
        <v>50</v>
      </c>
    </row>
    <row r="465" spans="4:4" x14ac:dyDescent="0.15">
      <c r="D465" s="69" t="s">
        <v>50</v>
      </c>
    </row>
    <row r="466" spans="4:4" x14ac:dyDescent="0.15">
      <c r="D466" s="69" t="s">
        <v>50</v>
      </c>
    </row>
    <row r="467" spans="4:4" x14ac:dyDescent="0.15">
      <c r="D467" s="69" t="s">
        <v>50</v>
      </c>
    </row>
    <row r="468" spans="4:4" x14ac:dyDescent="0.15">
      <c r="D468" s="69" t="s">
        <v>50</v>
      </c>
    </row>
    <row r="469" spans="4:4" x14ac:dyDescent="0.15">
      <c r="D469" s="69" t="s">
        <v>50</v>
      </c>
    </row>
    <row r="470" spans="4:4" x14ac:dyDescent="0.15">
      <c r="D470" s="69" t="s">
        <v>50</v>
      </c>
    </row>
    <row r="471" spans="4:4" x14ac:dyDescent="0.15">
      <c r="D471" s="69" t="s">
        <v>50</v>
      </c>
    </row>
    <row r="472" spans="4:4" x14ac:dyDescent="0.15">
      <c r="D472" s="69" t="s">
        <v>50</v>
      </c>
    </row>
    <row r="473" spans="4:4" x14ac:dyDescent="0.15">
      <c r="D473" s="69" t="s">
        <v>50</v>
      </c>
    </row>
    <row r="474" spans="4:4" x14ac:dyDescent="0.15">
      <c r="D474" s="69" t="s">
        <v>50</v>
      </c>
    </row>
    <row r="475" spans="4:4" x14ac:dyDescent="0.15">
      <c r="D475" s="69" t="s">
        <v>50</v>
      </c>
    </row>
    <row r="476" spans="4:4" x14ac:dyDescent="0.15">
      <c r="D476" s="69" t="s">
        <v>50</v>
      </c>
    </row>
    <row r="477" spans="4:4" x14ac:dyDescent="0.15">
      <c r="D477" s="69" t="s">
        <v>50</v>
      </c>
    </row>
    <row r="478" spans="4:4" x14ac:dyDescent="0.15">
      <c r="D478" s="69" t="s">
        <v>50</v>
      </c>
    </row>
    <row r="479" spans="4:4" x14ac:dyDescent="0.15">
      <c r="D479" s="69" t="s">
        <v>50</v>
      </c>
    </row>
    <row r="480" spans="4:4" x14ac:dyDescent="0.15">
      <c r="D480" s="69" t="s">
        <v>50</v>
      </c>
    </row>
    <row r="481" spans="4:4" x14ac:dyDescent="0.15">
      <c r="D481" s="69" t="s">
        <v>50</v>
      </c>
    </row>
    <row r="482" spans="4:4" x14ac:dyDescent="0.15">
      <c r="D482" s="69" t="s">
        <v>50</v>
      </c>
    </row>
    <row r="483" spans="4:4" x14ac:dyDescent="0.15">
      <c r="D483" s="69" t="s">
        <v>50</v>
      </c>
    </row>
    <row r="484" spans="4:4" x14ac:dyDescent="0.15">
      <c r="D484" s="69" t="s">
        <v>50</v>
      </c>
    </row>
    <row r="485" spans="4:4" x14ac:dyDescent="0.15">
      <c r="D485" s="69" t="s">
        <v>50</v>
      </c>
    </row>
    <row r="486" spans="4:4" x14ac:dyDescent="0.15">
      <c r="D486" s="69" t="s">
        <v>50</v>
      </c>
    </row>
    <row r="487" spans="4:4" x14ac:dyDescent="0.15">
      <c r="D487" s="69" t="s">
        <v>50</v>
      </c>
    </row>
    <row r="488" spans="4:4" x14ac:dyDescent="0.15">
      <c r="D488" s="69" t="s">
        <v>50</v>
      </c>
    </row>
    <row r="489" spans="4:4" x14ac:dyDescent="0.15">
      <c r="D489" s="69" t="s">
        <v>50</v>
      </c>
    </row>
    <row r="490" spans="4:4" x14ac:dyDescent="0.15">
      <c r="D490" s="69" t="s">
        <v>50</v>
      </c>
    </row>
    <row r="491" spans="4:4" x14ac:dyDescent="0.15">
      <c r="D491" s="69" t="s">
        <v>50</v>
      </c>
    </row>
    <row r="492" spans="4:4" x14ac:dyDescent="0.15">
      <c r="D492" s="69" t="s">
        <v>50</v>
      </c>
    </row>
    <row r="493" spans="4:4" x14ac:dyDescent="0.15">
      <c r="D493" s="69" t="s">
        <v>50</v>
      </c>
    </row>
    <row r="494" spans="4:4" x14ac:dyDescent="0.15">
      <c r="D494" s="69" t="s">
        <v>50</v>
      </c>
    </row>
    <row r="495" spans="4:4" x14ac:dyDescent="0.15">
      <c r="D495" s="69" t="s">
        <v>50</v>
      </c>
    </row>
    <row r="496" spans="4:4" x14ac:dyDescent="0.15">
      <c r="D496" s="69" t="s">
        <v>50</v>
      </c>
    </row>
    <row r="497" spans="4:4" x14ac:dyDescent="0.15">
      <c r="D497" s="69" t="s">
        <v>50</v>
      </c>
    </row>
    <row r="498" spans="4:4" x14ac:dyDescent="0.15">
      <c r="D498" s="69" t="s">
        <v>50</v>
      </c>
    </row>
    <row r="499" spans="4:4" x14ac:dyDescent="0.15">
      <c r="D499" s="69" t="s">
        <v>50</v>
      </c>
    </row>
    <row r="500" spans="4:4" x14ac:dyDescent="0.15">
      <c r="D500" s="69" t="s">
        <v>50</v>
      </c>
    </row>
    <row r="501" spans="4:4" x14ac:dyDescent="0.15">
      <c r="D501" s="69" t="s">
        <v>50</v>
      </c>
    </row>
    <row r="502" spans="4:4" x14ac:dyDescent="0.15">
      <c r="D502" s="69" t="s">
        <v>50</v>
      </c>
    </row>
    <row r="503" spans="4:4" x14ac:dyDescent="0.15">
      <c r="D503" s="69" t="s">
        <v>50</v>
      </c>
    </row>
    <row r="504" spans="4:4" x14ac:dyDescent="0.15">
      <c r="D504" s="69" t="s">
        <v>50</v>
      </c>
    </row>
    <row r="505" spans="4:4" x14ac:dyDescent="0.15">
      <c r="D505" s="69" t="s">
        <v>50</v>
      </c>
    </row>
    <row r="506" spans="4:4" x14ac:dyDescent="0.15">
      <c r="D506" s="69" t="s">
        <v>50</v>
      </c>
    </row>
    <row r="507" spans="4:4" x14ac:dyDescent="0.15">
      <c r="D507" s="69" t="s">
        <v>50</v>
      </c>
    </row>
    <row r="508" spans="4:4" x14ac:dyDescent="0.15">
      <c r="D508" s="69" t="s">
        <v>50</v>
      </c>
    </row>
    <row r="509" spans="4:4" x14ac:dyDescent="0.15">
      <c r="D509" s="69" t="s">
        <v>50</v>
      </c>
    </row>
    <row r="510" spans="4:4" x14ac:dyDescent="0.15">
      <c r="D510" s="69" t="s">
        <v>50</v>
      </c>
    </row>
    <row r="511" spans="4:4" x14ac:dyDescent="0.15">
      <c r="D511" s="69" t="s">
        <v>50</v>
      </c>
    </row>
    <row r="512" spans="4:4" x14ac:dyDescent="0.15">
      <c r="D512" s="69" t="s">
        <v>50</v>
      </c>
    </row>
    <row r="513" spans="4:4" x14ac:dyDescent="0.15">
      <c r="D513" s="69" t="s">
        <v>50</v>
      </c>
    </row>
    <row r="514" spans="4:4" x14ac:dyDescent="0.15">
      <c r="D514" s="69" t="s">
        <v>50</v>
      </c>
    </row>
    <row r="515" spans="4:4" x14ac:dyDescent="0.15">
      <c r="D515" s="69" t="s">
        <v>50</v>
      </c>
    </row>
    <row r="516" spans="4:4" x14ac:dyDescent="0.15">
      <c r="D516" s="69" t="s">
        <v>50</v>
      </c>
    </row>
    <row r="517" spans="4:4" x14ac:dyDescent="0.15">
      <c r="D517" s="69" t="s">
        <v>50</v>
      </c>
    </row>
    <row r="518" spans="4:4" x14ac:dyDescent="0.15">
      <c r="D518" s="69" t="s">
        <v>50</v>
      </c>
    </row>
    <row r="519" spans="4:4" x14ac:dyDescent="0.15">
      <c r="D519" s="69" t="s">
        <v>50</v>
      </c>
    </row>
    <row r="520" spans="4:4" x14ac:dyDescent="0.15">
      <c r="D520" s="69" t="s">
        <v>50</v>
      </c>
    </row>
    <row r="521" spans="4:4" x14ac:dyDescent="0.15">
      <c r="D521" s="69" t="s">
        <v>50</v>
      </c>
    </row>
    <row r="522" spans="4:4" x14ac:dyDescent="0.15">
      <c r="D522" s="69" t="s">
        <v>50</v>
      </c>
    </row>
    <row r="523" spans="4:4" x14ac:dyDescent="0.15">
      <c r="D523" s="69" t="s">
        <v>50</v>
      </c>
    </row>
    <row r="524" spans="4:4" x14ac:dyDescent="0.15">
      <c r="D524" s="69" t="s">
        <v>50</v>
      </c>
    </row>
    <row r="525" spans="4:4" x14ac:dyDescent="0.15">
      <c r="D525" s="69" t="s">
        <v>50</v>
      </c>
    </row>
    <row r="526" spans="4:4" x14ac:dyDescent="0.15">
      <c r="D526" s="69" t="s">
        <v>50</v>
      </c>
    </row>
    <row r="527" spans="4:4" x14ac:dyDescent="0.15">
      <c r="D527" s="69" t="s">
        <v>50</v>
      </c>
    </row>
    <row r="528" spans="4:4" x14ac:dyDescent="0.15">
      <c r="D528" s="69" t="s">
        <v>50</v>
      </c>
    </row>
    <row r="529" spans="4:4" x14ac:dyDescent="0.15">
      <c r="D529" s="69" t="s">
        <v>50</v>
      </c>
    </row>
    <row r="530" spans="4:4" x14ac:dyDescent="0.15">
      <c r="D530" s="69" t="s">
        <v>50</v>
      </c>
    </row>
    <row r="531" spans="4:4" x14ac:dyDescent="0.15">
      <c r="D531" s="69" t="s">
        <v>50</v>
      </c>
    </row>
    <row r="532" spans="4:4" x14ac:dyDescent="0.15">
      <c r="D532" s="69" t="s">
        <v>50</v>
      </c>
    </row>
    <row r="533" spans="4:4" x14ac:dyDescent="0.15">
      <c r="D533" s="69" t="s">
        <v>50</v>
      </c>
    </row>
    <row r="534" spans="4:4" x14ac:dyDescent="0.15">
      <c r="D534" s="69" t="s">
        <v>50</v>
      </c>
    </row>
    <row r="535" spans="4:4" x14ac:dyDescent="0.15">
      <c r="D535" s="69" t="s">
        <v>50</v>
      </c>
    </row>
    <row r="536" spans="4:4" x14ac:dyDescent="0.15">
      <c r="D536" s="69" t="s">
        <v>50</v>
      </c>
    </row>
    <row r="537" spans="4:4" x14ac:dyDescent="0.15">
      <c r="D537" s="69" t="s">
        <v>50</v>
      </c>
    </row>
    <row r="538" spans="4:4" x14ac:dyDescent="0.15">
      <c r="D538" s="69" t="s">
        <v>50</v>
      </c>
    </row>
    <row r="539" spans="4:4" x14ac:dyDescent="0.15">
      <c r="D539" s="69" t="s">
        <v>50</v>
      </c>
    </row>
    <row r="540" spans="4:4" x14ac:dyDescent="0.15">
      <c r="D540" s="69" t="s">
        <v>50</v>
      </c>
    </row>
    <row r="541" spans="4:4" x14ac:dyDescent="0.15">
      <c r="D541" s="69" t="s">
        <v>50</v>
      </c>
    </row>
    <row r="542" spans="4:4" x14ac:dyDescent="0.15">
      <c r="D542" s="69" t="s">
        <v>50</v>
      </c>
    </row>
    <row r="543" spans="4:4" x14ac:dyDescent="0.15">
      <c r="D543" s="69" t="s">
        <v>50</v>
      </c>
    </row>
    <row r="544" spans="4:4" x14ac:dyDescent="0.15">
      <c r="D544" s="69" t="s">
        <v>50</v>
      </c>
    </row>
    <row r="545" spans="4:4" x14ac:dyDescent="0.15">
      <c r="D545" s="69" t="s">
        <v>50</v>
      </c>
    </row>
    <row r="546" spans="4:4" x14ac:dyDescent="0.15">
      <c r="D546" s="69" t="s">
        <v>50</v>
      </c>
    </row>
    <row r="547" spans="4:4" x14ac:dyDescent="0.15">
      <c r="D547" s="69" t="s">
        <v>50</v>
      </c>
    </row>
    <row r="548" spans="4:4" x14ac:dyDescent="0.15">
      <c r="D548" s="69" t="s">
        <v>50</v>
      </c>
    </row>
    <row r="549" spans="4:4" x14ac:dyDescent="0.15">
      <c r="D549" s="69" t="s">
        <v>50</v>
      </c>
    </row>
    <row r="550" spans="4:4" x14ac:dyDescent="0.15">
      <c r="D550" s="69" t="s">
        <v>50</v>
      </c>
    </row>
    <row r="551" spans="4:4" x14ac:dyDescent="0.15">
      <c r="D551" s="69" t="s">
        <v>50</v>
      </c>
    </row>
    <row r="552" spans="4:4" x14ac:dyDescent="0.15">
      <c r="D552" s="69" t="s">
        <v>50</v>
      </c>
    </row>
    <row r="553" spans="4:4" x14ac:dyDescent="0.15">
      <c r="D553" s="69" t="s">
        <v>50</v>
      </c>
    </row>
    <row r="554" spans="4:4" x14ac:dyDescent="0.15">
      <c r="D554" s="69" t="s">
        <v>50</v>
      </c>
    </row>
    <row r="555" spans="4:4" x14ac:dyDescent="0.15">
      <c r="D555" s="69" t="s">
        <v>50</v>
      </c>
    </row>
    <row r="556" spans="4:4" x14ac:dyDescent="0.15">
      <c r="D556" s="69" t="s">
        <v>50</v>
      </c>
    </row>
    <row r="557" spans="4:4" x14ac:dyDescent="0.15">
      <c r="D557" s="69" t="s">
        <v>50</v>
      </c>
    </row>
    <row r="558" spans="4:4" x14ac:dyDescent="0.15">
      <c r="D558" s="69" t="s">
        <v>50</v>
      </c>
    </row>
    <row r="559" spans="4:4" x14ac:dyDescent="0.15">
      <c r="D559" s="69" t="s">
        <v>50</v>
      </c>
    </row>
    <row r="560" spans="4:4" x14ac:dyDescent="0.15">
      <c r="D560" s="69" t="s">
        <v>50</v>
      </c>
    </row>
    <row r="561" spans="4:4" x14ac:dyDescent="0.15">
      <c r="D561" s="69" t="s">
        <v>50</v>
      </c>
    </row>
    <row r="562" spans="4:4" x14ac:dyDescent="0.15">
      <c r="D562" s="69" t="s">
        <v>50</v>
      </c>
    </row>
    <row r="563" spans="4:4" x14ac:dyDescent="0.15">
      <c r="D563" s="69" t="s">
        <v>50</v>
      </c>
    </row>
    <row r="564" spans="4:4" x14ac:dyDescent="0.15">
      <c r="D564" s="69" t="s">
        <v>50</v>
      </c>
    </row>
    <row r="565" spans="4:4" x14ac:dyDescent="0.15">
      <c r="D565" s="69" t="s">
        <v>50</v>
      </c>
    </row>
    <row r="566" spans="4:4" x14ac:dyDescent="0.15">
      <c r="D566" s="69" t="s">
        <v>50</v>
      </c>
    </row>
    <row r="567" spans="4:4" x14ac:dyDescent="0.15">
      <c r="D567" s="69" t="s">
        <v>50</v>
      </c>
    </row>
    <row r="568" spans="4:4" x14ac:dyDescent="0.15">
      <c r="D568" s="69" t="s">
        <v>50</v>
      </c>
    </row>
    <row r="569" spans="4:4" x14ac:dyDescent="0.15">
      <c r="D569" s="69" t="s">
        <v>50</v>
      </c>
    </row>
    <row r="570" spans="4:4" x14ac:dyDescent="0.15">
      <c r="D570" s="69" t="s">
        <v>50</v>
      </c>
    </row>
    <row r="571" spans="4:4" x14ac:dyDescent="0.15">
      <c r="D571" s="69" t="s">
        <v>50</v>
      </c>
    </row>
    <row r="572" spans="4:4" x14ac:dyDescent="0.15">
      <c r="D572" s="69" t="s">
        <v>50</v>
      </c>
    </row>
    <row r="573" spans="4:4" x14ac:dyDescent="0.15">
      <c r="D573" s="69" t="s">
        <v>50</v>
      </c>
    </row>
    <row r="574" spans="4:4" x14ac:dyDescent="0.15">
      <c r="D574" s="69" t="s">
        <v>50</v>
      </c>
    </row>
    <row r="575" spans="4:4" x14ac:dyDescent="0.15">
      <c r="D575" s="69" t="s">
        <v>50</v>
      </c>
    </row>
    <row r="576" spans="4:4" x14ac:dyDescent="0.15">
      <c r="D576" s="69" t="s">
        <v>50</v>
      </c>
    </row>
    <row r="577" spans="4:4" x14ac:dyDescent="0.15">
      <c r="D577" s="69" t="s">
        <v>50</v>
      </c>
    </row>
    <row r="578" spans="4:4" x14ac:dyDescent="0.15">
      <c r="D578" s="69" t="s">
        <v>50</v>
      </c>
    </row>
    <row r="579" spans="4:4" x14ac:dyDescent="0.15">
      <c r="D579" s="69" t="s">
        <v>50</v>
      </c>
    </row>
    <row r="580" spans="4:4" x14ac:dyDescent="0.15">
      <c r="D580" s="69" t="s">
        <v>50</v>
      </c>
    </row>
    <row r="581" spans="4:4" x14ac:dyDescent="0.15">
      <c r="D581" s="69" t="s">
        <v>50</v>
      </c>
    </row>
    <row r="582" spans="4:4" x14ac:dyDescent="0.15">
      <c r="D582" s="69" t="s">
        <v>50</v>
      </c>
    </row>
    <row r="583" spans="4:4" x14ac:dyDescent="0.15">
      <c r="D583" s="69" t="s">
        <v>50</v>
      </c>
    </row>
    <row r="584" spans="4:4" x14ac:dyDescent="0.15">
      <c r="D584" s="69" t="s">
        <v>50</v>
      </c>
    </row>
    <row r="585" spans="4:4" x14ac:dyDescent="0.15">
      <c r="D585" s="69" t="s">
        <v>50</v>
      </c>
    </row>
    <row r="586" spans="4:4" x14ac:dyDescent="0.15">
      <c r="D586" s="69" t="s">
        <v>50</v>
      </c>
    </row>
    <row r="587" spans="4:4" x14ac:dyDescent="0.15">
      <c r="D587" s="69" t="s">
        <v>50</v>
      </c>
    </row>
    <row r="588" spans="4:4" x14ac:dyDescent="0.15">
      <c r="D588" s="69" t="s">
        <v>50</v>
      </c>
    </row>
    <row r="589" spans="4:4" x14ac:dyDescent="0.15">
      <c r="D589" s="69" t="s">
        <v>50</v>
      </c>
    </row>
    <row r="590" spans="4:4" x14ac:dyDescent="0.15">
      <c r="D590" s="69" t="s">
        <v>50</v>
      </c>
    </row>
    <row r="591" spans="4:4" x14ac:dyDescent="0.15">
      <c r="D591" s="69" t="s">
        <v>50</v>
      </c>
    </row>
    <row r="592" spans="4:4" x14ac:dyDescent="0.15">
      <c r="D592" s="69" t="s">
        <v>50</v>
      </c>
    </row>
    <row r="593" spans="4:4" x14ac:dyDescent="0.15">
      <c r="D593" s="69" t="s">
        <v>50</v>
      </c>
    </row>
    <row r="594" spans="4:4" x14ac:dyDescent="0.15">
      <c r="D594" s="69" t="s">
        <v>50</v>
      </c>
    </row>
    <row r="595" spans="4:4" x14ac:dyDescent="0.15">
      <c r="D595" s="69" t="s">
        <v>50</v>
      </c>
    </row>
    <row r="596" spans="4:4" x14ac:dyDescent="0.15">
      <c r="D596" s="69" t="s">
        <v>50</v>
      </c>
    </row>
    <row r="597" spans="4:4" x14ac:dyDescent="0.15">
      <c r="D597" s="69" t="s">
        <v>50</v>
      </c>
    </row>
    <row r="598" spans="4:4" x14ac:dyDescent="0.15">
      <c r="D598" s="69" t="s">
        <v>50</v>
      </c>
    </row>
    <row r="599" spans="4:4" x14ac:dyDescent="0.15">
      <c r="D599" s="69" t="s">
        <v>50</v>
      </c>
    </row>
    <row r="600" spans="4:4" x14ac:dyDescent="0.15">
      <c r="D600" s="69" t="s">
        <v>50</v>
      </c>
    </row>
    <row r="601" spans="4:4" x14ac:dyDescent="0.15">
      <c r="D601" s="69" t="s">
        <v>50</v>
      </c>
    </row>
    <row r="602" spans="4:4" x14ac:dyDescent="0.15">
      <c r="D602" s="69" t="s">
        <v>50</v>
      </c>
    </row>
    <row r="603" spans="4:4" x14ac:dyDescent="0.15">
      <c r="D603" s="69" t="s">
        <v>50</v>
      </c>
    </row>
    <row r="604" spans="4:4" x14ac:dyDescent="0.15">
      <c r="D604" s="69" t="s">
        <v>50</v>
      </c>
    </row>
    <row r="605" spans="4:4" x14ac:dyDescent="0.15">
      <c r="D605" s="69" t="s">
        <v>50</v>
      </c>
    </row>
    <row r="606" spans="4:4" x14ac:dyDescent="0.15">
      <c r="D606" s="69" t="s">
        <v>50</v>
      </c>
    </row>
    <row r="607" spans="4:4" x14ac:dyDescent="0.15">
      <c r="D607" s="69" t="s">
        <v>50</v>
      </c>
    </row>
    <row r="608" spans="4:4" x14ac:dyDescent="0.15">
      <c r="D608" s="69" t="s">
        <v>50</v>
      </c>
    </row>
    <row r="609" spans="4:4" x14ac:dyDescent="0.15">
      <c r="D609" s="69" t="s">
        <v>50</v>
      </c>
    </row>
    <row r="610" spans="4:4" x14ac:dyDescent="0.15">
      <c r="D610" s="69" t="s">
        <v>50</v>
      </c>
    </row>
    <row r="611" spans="4:4" x14ac:dyDescent="0.15">
      <c r="D611" s="69" t="s">
        <v>50</v>
      </c>
    </row>
    <row r="612" spans="4:4" x14ac:dyDescent="0.15">
      <c r="D612" s="69" t="s">
        <v>50</v>
      </c>
    </row>
    <row r="613" spans="4:4" x14ac:dyDescent="0.15">
      <c r="D613" s="69" t="s">
        <v>50</v>
      </c>
    </row>
    <row r="614" spans="4:4" x14ac:dyDescent="0.15">
      <c r="D614" s="69" t="s">
        <v>50</v>
      </c>
    </row>
    <row r="615" spans="4:4" x14ac:dyDescent="0.15">
      <c r="D615" s="69" t="s">
        <v>50</v>
      </c>
    </row>
    <row r="616" spans="4:4" x14ac:dyDescent="0.15">
      <c r="D616" s="69" t="s">
        <v>50</v>
      </c>
    </row>
    <row r="617" spans="4:4" x14ac:dyDescent="0.15">
      <c r="D617" s="69" t="s">
        <v>50</v>
      </c>
    </row>
    <row r="618" spans="4:4" x14ac:dyDescent="0.15">
      <c r="D618" s="69" t="s">
        <v>50</v>
      </c>
    </row>
    <row r="619" spans="4:4" x14ac:dyDescent="0.15">
      <c r="D619" s="69" t="s">
        <v>50</v>
      </c>
    </row>
    <row r="620" spans="4:4" x14ac:dyDescent="0.15">
      <c r="D620" s="69" t="s">
        <v>50</v>
      </c>
    </row>
    <row r="621" spans="4:4" x14ac:dyDescent="0.15">
      <c r="D621" s="69" t="s">
        <v>50</v>
      </c>
    </row>
    <row r="622" spans="4:4" x14ac:dyDescent="0.15">
      <c r="D622" s="69" t="s">
        <v>50</v>
      </c>
    </row>
    <row r="623" spans="4:4" x14ac:dyDescent="0.15">
      <c r="D623" s="69" t="s">
        <v>50</v>
      </c>
    </row>
    <row r="624" spans="4:4" x14ac:dyDescent="0.15">
      <c r="D624" s="69" t="s">
        <v>50</v>
      </c>
    </row>
    <row r="625" spans="4:4" x14ac:dyDescent="0.15">
      <c r="D625" s="69" t="s">
        <v>50</v>
      </c>
    </row>
    <row r="626" spans="4:4" x14ac:dyDescent="0.15">
      <c r="D626" s="69" t="s">
        <v>50</v>
      </c>
    </row>
    <row r="627" spans="4:4" x14ac:dyDescent="0.15">
      <c r="D627" s="69" t="s">
        <v>50</v>
      </c>
    </row>
    <row r="628" spans="4:4" x14ac:dyDescent="0.15">
      <c r="D628" s="69" t="s">
        <v>50</v>
      </c>
    </row>
    <row r="629" spans="4:4" x14ac:dyDescent="0.15">
      <c r="D629" s="69" t="s">
        <v>50</v>
      </c>
    </row>
    <row r="630" spans="4:4" x14ac:dyDescent="0.15">
      <c r="D630" s="69" t="s">
        <v>50</v>
      </c>
    </row>
    <row r="631" spans="4:4" x14ac:dyDescent="0.15">
      <c r="D631" s="69" t="s">
        <v>50</v>
      </c>
    </row>
    <row r="632" spans="4:4" x14ac:dyDescent="0.15">
      <c r="D632" s="69" t="s">
        <v>50</v>
      </c>
    </row>
    <row r="633" spans="4:4" x14ac:dyDescent="0.15">
      <c r="D633" s="69" t="s">
        <v>50</v>
      </c>
    </row>
    <row r="634" spans="4:4" x14ac:dyDescent="0.15">
      <c r="D634" s="69" t="s">
        <v>50</v>
      </c>
    </row>
    <row r="635" spans="4:4" x14ac:dyDescent="0.15">
      <c r="D635" s="69" t="s">
        <v>50</v>
      </c>
    </row>
    <row r="636" spans="4:4" x14ac:dyDescent="0.15">
      <c r="D636" s="69" t="s">
        <v>50</v>
      </c>
    </row>
    <row r="637" spans="4:4" x14ac:dyDescent="0.15">
      <c r="D637" s="69" t="s">
        <v>50</v>
      </c>
    </row>
    <row r="638" spans="4:4" x14ac:dyDescent="0.15">
      <c r="D638" s="69" t="s">
        <v>50</v>
      </c>
    </row>
    <row r="639" spans="4:4" x14ac:dyDescent="0.15">
      <c r="D639" s="69" t="s">
        <v>50</v>
      </c>
    </row>
    <row r="640" spans="4:4" x14ac:dyDescent="0.15">
      <c r="D640" s="69" t="s">
        <v>50</v>
      </c>
    </row>
    <row r="641" spans="4:4" x14ac:dyDescent="0.15">
      <c r="D641" s="69" t="s">
        <v>50</v>
      </c>
    </row>
    <row r="642" spans="4:4" x14ac:dyDescent="0.15">
      <c r="D642" s="69" t="s">
        <v>50</v>
      </c>
    </row>
    <row r="643" spans="4:4" x14ac:dyDescent="0.15">
      <c r="D643" s="69" t="s">
        <v>50</v>
      </c>
    </row>
    <row r="644" spans="4:4" x14ac:dyDescent="0.15">
      <c r="D644" s="69" t="s">
        <v>50</v>
      </c>
    </row>
    <row r="645" spans="4:4" x14ac:dyDescent="0.15">
      <c r="D645" s="69" t="s">
        <v>50</v>
      </c>
    </row>
    <row r="646" spans="4:4" x14ac:dyDescent="0.15">
      <c r="D646" s="69" t="s">
        <v>50</v>
      </c>
    </row>
    <row r="647" spans="4:4" x14ac:dyDescent="0.15">
      <c r="D647" s="69" t="s">
        <v>50</v>
      </c>
    </row>
    <row r="648" spans="4:4" x14ac:dyDescent="0.15">
      <c r="D648" s="69" t="s">
        <v>50</v>
      </c>
    </row>
    <row r="649" spans="4:4" x14ac:dyDescent="0.15">
      <c r="D649" s="69" t="s">
        <v>50</v>
      </c>
    </row>
    <row r="650" spans="4:4" x14ac:dyDescent="0.15">
      <c r="D650" s="69" t="s">
        <v>50</v>
      </c>
    </row>
    <row r="651" spans="4:4" x14ac:dyDescent="0.15">
      <c r="D651" s="69" t="s">
        <v>50</v>
      </c>
    </row>
    <row r="652" spans="4:4" x14ac:dyDescent="0.15">
      <c r="D652" s="69" t="s">
        <v>50</v>
      </c>
    </row>
    <row r="653" spans="4:4" x14ac:dyDescent="0.15">
      <c r="D653" s="69" t="s">
        <v>50</v>
      </c>
    </row>
    <row r="654" spans="4:4" x14ac:dyDescent="0.15">
      <c r="D654" s="69" t="s">
        <v>50</v>
      </c>
    </row>
    <row r="655" spans="4:4" x14ac:dyDescent="0.15">
      <c r="D655" s="69" t="s">
        <v>50</v>
      </c>
    </row>
    <row r="656" spans="4:4" x14ac:dyDescent="0.15">
      <c r="D656" s="69" t="s">
        <v>50</v>
      </c>
    </row>
    <row r="657" spans="4:4" x14ac:dyDescent="0.15">
      <c r="D657" s="69" t="s">
        <v>50</v>
      </c>
    </row>
    <row r="658" spans="4:4" x14ac:dyDescent="0.15">
      <c r="D658" s="69" t="s">
        <v>50</v>
      </c>
    </row>
    <row r="659" spans="4:4" x14ac:dyDescent="0.15">
      <c r="D659" s="69" t="s">
        <v>50</v>
      </c>
    </row>
    <row r="660" spans="4:4" x14ac:dyDescent="0.15">
      <c r="D660" s="69" t="s">
        <v>50</v>
      </c>
    </row>
    <row r="661" spans="4:4" x14ac:dyDescent="0.15">
      <c r="D661" s="69" t="s">
        <v>50</v>
      </c>
    </row>
    <row r="662" spans="4:4" x14ac:dyDescent="0.15">
      <c r="D662" s="69" t="s">
        <v>50</v>
      </c>
    </row>
    <row r="663" spans="4:4" x14ac:dyDescent="0.15">
      <c r="D663" s="69" t="s">
        <v>50</v>
      </c>
    </row>
    <row r="664" spans="4:4" x14ac:dyDescent="0.15">
      <c r="D664" s="69" t="s">
        <v>50</v>
      </c>
    </row>
    <row r="665" spans="4:4" x14ac:dyDescent="0.15">
      <c r="D665" s="69" t="s">
        <v>50</v>
      </c>
    </row>
    <row r="666" spans="4:4" x14ac:dyDescent="0.15">
      <c r="D666" s="69" t="s">
        <v>50</v>
      </c>
    </row>
    <row r="667" spans="4:4" x14ac:dyDescent="0.15">
      <c r="D667" s="69" t="s">
        <v>50</v>
      </c>
    </row>
    <row r="668" spans="4:4" x14ac:dyDescent="0.15">
      <c r="D668" s="69" t="s">
        <v>50</v>
      </c>
    </row>
    <row r="669" spans="4:4" x14ac:dyDescent="0.15">
      <c r="D669" s="69" t="s">
        <v>50</v>
      </c>
    </row>
    <row r="670" spans="4:4" x14ac:dyDescent="0.15">
      <c r="D670" s="69" t="s">
        <v>50</v>
      </c>
    </row>
    <row r="671" spans="4:4" x14ac:dyDescent="0.15">
      <c r="D671" s="69" t="s">
        <v>50</v>
      </c>
    </row>
    <row r="672" spans="4:4" x14ac:dyDescent="0.15">
      <c r="D672" s="69" t="s">
        <v>50</v>
      </c>
    </row>
    <row r="673" spans="4:4" x14ac:dyDescent="0.15">
      <c r="D673" s="69" t="s">
        <v>50</v>
      </c>
    </row>
    <row r="674" spans="4:4" x14ac:dyDescent="0.15">
      <c r="D674" s="69" t="s">
        <v>50</v>
      </c>
    </row>
    <row r="675" spans="4:4" x14ac:dyDescent="0.15">
      <c r="D675" s="69" t="s">
        <v>50</v>
      </c>
    </row>
    <row r="676" spans="4:4" x14ac:dyDescent="0.15">
      <c r="D676" s="69" t="s">
        <v>50</v>
      </c>
    </row>
    <row r="677" spans="4:4" x14ac:dyDescent="0.15">
      <c r="D677" s="69" t="s">
        <v>50</v>
      </c>
    </row>
    <row r="678" spans="4:4" x14ac:dyDescent="0.15">
      <c r="D678" s="69" t="s">
        <v>50</v>
      </c>
    </row>
    <row r="679" spans="4:4" x14ac:dyDescent="0.15">
      <c r="D679" s="69" t="s">
        <v>50</v>
      </c>
    </row>
    <row r="680" spans="4:4" x14ac:dyDescent="0.15">
      <c r="D680" s="69" t="s">
        <v>50</v>
      </c>
    </row>
    <row r="681" spans="4:4" x14ac:dyDescent="0.15">
      <c r="D681" s="69" t="s">
        <v>50</v>
      </c>
    </row>
    <row r="682" spans="4:4" x14ac:dyDescent="0.15">
      <c r="D682" s="69" t="s">
        <v>50</v>
      </c>
    </row>
    <row r="683" spans="4:4" x14ac:dyDescent="0.15">
      <c r="D683" s="69" t="s">
        <v>50</v>
      </c>
    </row>
    <row r="684" spans="4:4" x14ac:dyDescent="0.15">
      <c r="D684" s="69" t="s">
        <v>50</v>
      </c>
    </row>
    <row r="685" spans="4:4" x14ac:dyDescent="0.15">
      <c r="D685" s="69" t="s">
        <v>50</v>
      </c>
    </row>
    <row r="686" spans="4:4" x14ac:dyDescent="0.15">
      <c r="D686" s="69" t="s">
        <v>50</v>
      </c>
    </row>
    <row r="687" spans="4:4" x14ac:dyDescent="0.15">
      <c r="D687" s="69" t="s">
        <v>50</v>
      </c>
    </row>
    <row r="688" spans="4:4" x14ac:dyDescent="0.15">
      <c r="D688" s="69" t="s">
        <v>50</v>
      </c>
    </row>
    <row r="689" spans="4:4" x14ac:dyDescent="0.15">
      <c r="D689" s="69" t="s">
        <v>50</v>
      </c>
    </row>
    <row r="690" spans="4:4" x14ac:dyDescent="0.15">
      <c r="D690" s="69" t="s">
        <v>50</v>
      </c>
    </row>
    <row r="691" spans="4:4" x14ac:dyDescent="0.15">
      <c r="D691" s="69" t="s">
        <v>50</v>
      </c>
    </row>
    <row r="692" spans="4:4" x14ac:dyDescent="0.15">
      <c r="D692" s="69" t="s">
        <v>50</v>
      </c>
    </row>
    <row r="693" spans="4:4" x14ac:dyDescent="0.15">
      <c r="D693" s="69" t="s">
        <v>50</v>
      </c>
    </row>
    <row r="694" spans="4:4" x14ac:dyDescent="0.15">
      <c r="D694" s="69" t="s">
        <v>50</v>
      </c>
    </row>
    <row r="695" spans="4:4" x14ac:dyDescent="0.15">
      <c r="D695" s="69" t="s">
        <v>50</v>
      </c>
    </row>
    <row r="696" spans="4:4" x14ac:dyDescent="0.15">
      <c r="D696" s="69" t="s">
        <v>50</v>
      </c>
    </row>
    <row r="697" spans="4:4" x14ac:dyDescent="0.15">
      <c r="D697" s="69" t="s">
        <v>50</v>
      </c>
    </row>
    <row r="698" spans="4:4" x14ac:dyDescent="0.15">
      <c r="D698" s="69" t="s">
        <v>50</v>
      </c>
    </row>
    <row r="699" spans="4:4" x14ac:dyDescent="0.15">
      <c r="D699" s="69" t="s">
        <v>50</v>
      </c>
    </row>
    <row r="700" spans="4:4" x14ac:dyDescent="0.15">
      <c r="D700" s="69" t="s">
        <v>50</v>
      </c>
    </row>
    <row r="701" spans="4:4" x14ac:dyDescent="0.15">
      <c r="D701" s="69" t="s">
        <v>50</v>
      </c>
    </row>
    <row r="702" spans="4:4" x14ac:dyDescent="0.15">
      <c r="D702" s="69" t="s">
        <v>50</v>
      </c>
    </row>
    <row r="703" spans="4:4" x14ac:dyDescent="0.15">
      <c r="D703" s="69" t="s">
        <v>50</v>
      </c>
    </row>
    <row r="704" spans="4:4" x14ac:dyDescent="0.15">
      <c r="D704" s="69" t="s">
        <v>50</v>
      </c>
    </row>
    <row r="705" spans="4:4" x14ac:dyDescent="0.15">
      <c r="D705" s="69" t="s">
        <v>50</v>
      </c>
    </row>
    <row r="706" spans="4:4" x14ac:dyDescent="0.15">
      <c r="D706" s="69" t="s">
        <v>50</v>
      </c>
    </row>
    <row r="707" spans="4:4" x14ac:dyDescent="0.15">
      <c r="D707" s="69" t="s">
        <v>50</v>
      </c>
    </row>
    <row r="708" spans="4:4" x14ac:dyDescent="0.15">
      <c r="D708" s="69" t="s">
        <v>50</v>
      </c>
    </row>
    <row r="709" spans="4:4" x14ac:dyDescent="0.15">
      <c r="D709" s="69" t="s">
        <v>50</v>
      </c>
    </row>
    <row r="710" spans="4:4" x14ac:dyDescent="0.15">
      <c r="D710" s="69" t="s">
        <v>50</v>
      </c>
    </row>
    <row r="711" spans="4:4" x14ac:dyDescent="0.15">
      <c r="D711" s="69" t="s">
        <v>50</v>
      </c>
    </row>
    <row r="712" spans="4:4" x14ac:dyDescent="0.15">
      <c r="D712" s="69" t="s">
        <v>50</v>
      </c>
    </row>
    <row r="713" spans="4:4" x14ac:dyDescent="0.15">
      <c r="D713" s="69" t="s">
        <v>50</v>
      </c>
    </row>
    <row r="714" spans="4:4" x14ac:dyDescent="0.15">
      <c r="D714" s="69" t="s">
        <v>50</v>
      </c>
    </row>
    <row r="715" spans="4:4" x14ac:dyDescent="0.15">
      <c r="D715" s="69" t="s">
        <v>50</v>
      </c>
    </row>
    <row r="716" spans="4:4" x14ac:dyDescent="0.15">
      <c r="D716" s="69" t="s">
        <v>50</v>
      </c>
    </row>
    <row r="717" spans="4:4" x14ac:dyDescent="0.15">
      <c r="D717" s="69" t="s">
        <v>50</v>
      </c>
    </row>
    <row r="718" spans="4:4" x14ac:dyDescent="0.15">
      <c r="D718" s="69" t="s">
        <v>50</v>
      </c>
    </row>
    <row r="719" spans="4:4" x14ac:dyDescent="0.15">
      <c r="D719" s="69" t="s">
        <v>50</v>
      </c>
    </row>
    <row r="720" spans="4:4" x14ac:dyDescent="0.15">
      <c r="D720" s="69" t="s">
        <v>50</v>
      </c>
    </row>
    <row r="721" spans="4:4" x14ac:dyDescent="0.15">
      <c r="D721" s="69" t="s">
        <v>50</v>
      </c>
    </row>
    <row r="722" spans="4:4" x14ac:dyDescent="0.15">
      <c r="D722" s="69" t="s">
        <v>50</v>
      </c>
    </row>
    <row r="723" spans="4:4" x14ac:dyDescent="0.15">
      <c r="D723" s="69" t="s">
        <v>50</v>
      </c>
    </row>
    <row r="724" spans="4:4" x14ac:dyDescent="0.15">
      <c r="D724" s="69" t="s">
        <v>50</v>
      </c>
    </row>
    <row r="725" spans="4:4" x14ac:dyDescent="0.15">
      <c r="D725" s="69" t="s">
        <v>50</v>
      </c>
    </row>
    <row r="726" spans="4:4" x14ac:dyDescent="0.15">
      <c r="D726" s="69" t="s">
        <v>50</v>
      </c>
    </row>
    <row r="727" spans="4:4" x14ac:dyDescent="0.15">
      <c r="D727" s="69" t="s">
        <v>50</v>
      </c>
    </row>
    <row r="728" spans="4:4" x14ac:dyDescent="0.15">
      <c r="D728" s="69" t="s">
        <v>50</v>
      </c>
    </row>
    <row r="729" spans="4:4" x14ac:dyDescent="0.15">
      <c r="D729" s="69" t="s">
        <v>50</v>
      </c>
    </row>
    <row r="730" spans="4:4" x14ac:dyDescent="0.15">
      <c r="D730" s="69" t="s">
        <v>50</v>
      </c>
    </row>
    <row r="731" spans="4:4" x14ac:dyDescent="0.15">
      <c r="D731" s="69" t="s">
        <v>50</v>
      </c>
    </row>
    <row r="732" spans="4:4" x14ac:dyDescent="0.15">
      <c r="D732" s="69" t="s">
        <v>50</v>
      </c>
    </row>
    <row r="733" spans="4:4" x14ac:dyDescent="0.15">
      <c r="D733" s="69" t="s">
        <v>50</v>
      </c>
    </row>
    <row r="734" spans="4:4" x14ac:dyDescent="0.15">
      <c r="D734" s="69" t="s">
        <v>50</v>
      </c>
    </row>
    <row r="735" spans="4:4" x14ac:dyDescent="0.15">
      <c r="D735" s="69" t="s">
        <v>50</v>
      </c>
    </row>
    <row r="736" spans="4:4" x14ac:dyDescent="0.15">
      <c r="D736" s="69" t="s">
        <v>50</v>
      </c>
    </row>
    <row r="737" spans="4:4" x14ac:dyDescent="0.15">
      <c r="D737" s="69" t="s">
        <v>50</v>
      </c>
    </row>
    <row r="738" spans="4:4" x14ac:dyDescent="0.15">
      <c r="D738" s="69" t="s">
        <v>50</v>
      </c>
    </row>
    <row r="739" spans="4:4" x14ac:dyDescent="0.15">
      <c r="D739" s="69" t="s">
        <v>50</v>
      </c>
    </row>
    <row r="740" spans="4:4" x14ac:dyDescent="0.15">
      <c r="D740" s="69" t="s">
        <v>50</v>
      </c>
    </row>
    <row r="741" spans="4:4" x14ac:dyDescent="0.15">
      <c r="D741" s="69" t="s">
        <v>50</v>
      </c>
    </row>
    <row r="742" spans="4:4" x14ac:dyDescent="0.15">
      <c r="D742" s="69" t="s">
        <v>50</v>
      </c>
    </row>
    <row r="743" spans="4:4" x14ac:dyDescent="0.15">
      <c r="D743" s="69" t="s">
        <v>50</v>
      </c>
    </row>
    <row r="744" spans="4:4" x14ac:dyDescent="0.15">
      <c r="D744" s="69" t="s">
        <v>50</v>
      </c>
    </row>
    <row r="745" spans="4:4" x14ac:dyDescent="0.15">
      <c r="D745" s="69" t="s">
        <v>50</v>
      </c>
    </row>
    <row r="746" spans="4:4" x14ac:dyDescent="0.15">
      <c r="D746" s="69" t="s">
        <v>50</v>
      </c>
    </row>
    <row r="747" spans="4:4" x14ac:dyDescent="0.15">
      <c r="D747" s="69" t="s">
        <v>50</v>
      </c>
    </row>
    <row r="748" spans="4:4" x14ac:dyDescent="0.15">
      <c r="D748" s="69" t="s">
        <v>50</v>
      </c>
    </row>
    <row r="749" spans="4:4" x14ac:dyDescent="0.15">
      <c r="D749" s="69" t="s">
        <v>50</v>
      </c>
    </row>
    <row r="750" spans="4:4" x14ac:dyDescent="0.15">
      <c r="D750" s="69" t="s">
        <v>50</v>
      </c>
    </row>
    <row r="751" spans="4:4" x14ac:dyDescent="0.15">
      <c r="D751" s="69" t="s">
        <v>50</v>
      </c>
    </row>
    <row r="752" spans="4:4" x14ac:dyDescent="0.15">
      <c r="D752" s="69" t="s">
        <v>50</v>
      </c>
    </row>
    <row r="753" spans="4:4" x14ac:dyDescent="0.15">
      <c r="D753" s="69" t="s">
        <v>50</v>
      </c>
    </row>
    <row r="754" spans="4:4" x14ac:dyDescent="0.15">
      <c r="D754" s="69" t="s">
        <v>50</v>
      </c>
    </row>
    <row r="755" spans="4:4" x14ac:dyDescent="0.15">
      <c r="D755" s="69" t="s">
        <v>50</v>
      </c>
    </row>
    <row r="756" spans="4:4" x14ac:dyDescent="0.15">
      <c r="D756" s="69" t="s">
        <v>50</v>
      </c>
    </row>
    <row r="757" spans="4:4" x14ac:dyDescent="0.15">
      <c r="D757" s="69" t="s">
        <v>50</v>
      </c>
    </row>
    <row r="758" spans="4:4" x14ac:dyDescent="0.15">
      <c r="D758" s="69" t="s">
        <v>50</v>
      </c>
    </row>
    <row r="759" spans="4:4" x14ac:dyDescent="0.15">
      <c r="D759" s="69" t="s">
        <v>50</v>
      </c>
    </row>
    <row r="760" spans="4:4" x14ac:dyDescent="0.15">
      <c r="D760" s="69" t="s">
        <v>50</v>
      </c>
    </row>
    <row r="761" spans="4:4" x14ac:dyDescent="0.15">
      <c r="D761" s="69" t="s">
        <v>50</v>
      </c>
    </row>
    <row r="762" spans="4:4" x14ac:dyDescent="0.15">
      <c r="D762" s="69" t="s">
        <v>50</v>
      </c>
    </row>
    <row r="763" spans="4:4" x14ac:dyDescent="0.15">
      <c r="D763" s="69" t="s">
        <v>50</v>
      </c>
    </row>
    <row r="764" spans="4:4" x14ac:dyDescent="0.15">
      <c r="D764" s="69" t="s">
        <v>50</v>
      </c>
    </row>
    <row r="765" spans="4:4" x14ac:dyDescent="0.15">
      <c r="D765" s="69" t="s">
        <v>50</v>
      </c>
    </row>
    <row r="766" spans="4:4" x14ac:dyDescent="0.15">
      <c r="D766" s="69" t="s">
        <v>50</v>
      </c>
    </row>
    <row r="767" spans="4:4" x14ac:dyDescent="0.15">
      <c r="D767" s="69" t="s">
        <v>50</v>
      </c>
    </row>
    <row r="768" spans="4:4" x14ac:dyDescent="0.15">
      <c r="D768" s="69" t="s">
        <v>50</v>
      </c>
    </row>
    <row r="769" spans="4:4" x14ac:dyDescent="0.15">
      <c r="D769" s="69" t="s">
        <v>50</v>
      </c>
    </row>
    <row r="770" spans="4:4" x14ac:dyDescent="0.15">
      <c r="D770" s="69" t="s">
        <v>50</v>
      </c>
    </row>
    <row r="771" spans="4:4" x14ac:dyDescent="0.15">
      <c r="D771" s="69" t="s">
        <v>50</v>
      </c>
    </row>
    <row r="772" spans="4:4" x14ac:dyDescent="0.15">
      <c r="D772" s="69" t="s">
        <v>50</v>
      </c>
    </row>
    <row r="773" spans="4:4" x14ac:dyDescent="0.15">
      <c r="D773" s="69" t="s">
        <v>50</v>
      </c>
    </row>
    <row r="774" spans="4:4" x14ac:dyDescent="0.15">
      <c r="D774" s="69" t="s">
        <v>50</v>
      </c>
    </row>
    <row r="775" spans="4:4" x14ac:dyDescent="0.15">
      <c r="D775" s="69" t="s">
        <v>50</v>
      </c>
    </row>
    <row r="776" spans="4:4" x14ac:dyDescent="0.15">
      <c r="D776" s="69" t="s">
        <v>50</v>
      </c>
    </row>
    <row r="777" spans="4:4" x14ac:dyDescent="0.15">
      <c r="D777" s="69" t="s">
        <v>50</v>
      </c>
    </row>
    <row r="778" spans="4:4" x14ac:dyDescent="0.15">
      <c r="D778" s="69" t="s">
        <v>50</v>
      </c>
    </row>
    <row r="779" spans="4:4" x14ac:dyDescent="0.15">
      <c r="D779" s="69" t="s">
        <v>50</v>
      </c>
    </row>
    <row r="780" spans="4:4" x14ac:dyDescent="0.15">
      <c r="D780" s="69" t="s">
        <v>50</v>
      </c>
    </row>
    <row r="781" spans="4:4" x14ac:dyDescent="0.15">
      <c r="D781" s="69" t="s">
        <v>50</v>
      </c>
    </row>
    <row r="782" spans="4:4" x14ac:dyDescent="0.15">
      <c r="D782" s="69" t="s">
        <v>50</v>
      </c>
    </row>
    <row r="783" spans="4:4" x14ac:dyDescent="0.15">
      <c r="D783" s="69" t="s">
        <v>50</v>
      </c>
    </row>
    <row r="784" spans="4:4" x14ac:dyDescent="0.15">
      <c r="D784" s="69" t="s">
        <v>50</v>
      </c>
    </row>
    <row r="785" spans="4:4" x14ac:dyDescent="0.15">
      <c r="D785" s="69" t="s">
        <v>50</v>
      </c>
    </row>
    <row r="786" spans="4:4" x14ac:dyDescent="0.15">
      <c r="D786" s="69" t="s">
        <v>50</v>
      </c>
    </row>
    <row r="787" spans="4:4" x14ac:dyDescent="0.15">
      <c r="D787" s="69" t="s">
        <v>50</v>
      </c>
    </row>
    <row r="788" spans="4:4" x14ac:dyDescent="0.15">
      <c r="D788" s="69" t="s">
        <v>50</v>
      </c>
    </row>
    <row r="789" spans="4:4" x14ac:dyDescent="0.15">
      <c r="D789" s="69" t="s">
        <v>50</v>
      </c>
    </row>
    <row r="790" spans="4:4" x14ac:dyDescent="0.15">
      <c r="D790" s="69" t="s">
        <v>50</v>
      </c>
    </row>
    <row r="791" spans="4:4" x14ac:dyDescent="0.15">
      <c r="D791" s="69" t="s">
        <v>50</v>
      </c>
    </row>
    <row r="792" spans="4:4" x14ac:dyDescent="0.15">
      <c r="D792" s="69" t="s">
        <v>50</v>
      </c>
    </row>
    <row r="793" spans="4:4" x14ac:dyDescent="0.15">
      <c r="D793" s="69" t="s">
        <v>50</v>
      </c>
    </row>
    <row r="794" spans="4:4" x14ac:dyDescent="0.15">
      <c r="D794" s="69" t="s">
        <v>50</v>
      </c>
    </row>
    <row r="795" spans="4:4" x14ac:dyDescent="0.15">
      <c r="D795" s="69" t="s">
        <v>50</v>
      </c>
    </row>
    <row r="796" spans="4:4" x14ac:dyDescent="0.15">
      <c r="D796" s="69" t="s">
        <v>50</v>
      </c>
    </row>
    <row r="797" spans="4:4" x14ac:dyDescent="0.15">
      <c r="D797" s="69" t="s">
        <v>50</v>
      </c>
    </row>
    <row r="798" spans="4:4" x14ac:dyDescent="0.15">
      <c r="D798" s="69" t="s">
        <v>50</v>
      </c>
    </row>
    <row r="799" spans="4:4" x14ac:dyDescent="0.15">
      <c r="D799" s="69" t="s">
        <v>50</v>
      </c>
    </row>
    <row r="800" spans="4:4" x14ac:dyDescent="0.15">
      <c r="D800" s="69" t="s">
        <v>50</v>
      </c>
    </row>
    <row r="801" spans="4:4" x14ac:dyDescent="0.15">
      <c r="D801" s="69" t="s">
        <v>50</v>
      </c>
    </row>
    <row r="802" spans="4:4" x14ac:dyDescent="0.15">
      <c r="D802" s="69" t="s">
        <v>50</v>
      </c>
    </row>
    <row r="803" spans="4:4" x14ac:dyDescent="0.15">
      <c r="D803" s="69" t="s">
        <v>50</v>
      </c>
    </row>
    <row r="804" spans="4:4" x14ac:dyDescent="0.15">
      <c r="D804" s="69" t="s">
        <v>50</v>
      </c>
    </row>
    <row r="805" spans="4:4" x14ac:dyDescent="0.15">
      <c r="D805" s="69" t="s">
        <v>50</v>
      </c>
    </row>
    <row r="806" spans="4:4" x14ac:dyDescent="0.15">
      <c r="D806" s="69" t="s">
        <v>50</v>
      </c>
    </row>
    <row r="807" spans="4:4" x14ac:dyDescent="0.15">
      <c r="D807" s="69" t="s">
        <v>50</v>
      </c>
    </row>
    <row r="808" spans="4:4" x14ac:dyDescent="0.15">
      <c r="D808" s="69" t="s">
        <v>50</v>
      </c>
    </row>
    <row r="809" spans="4:4" x14ac:dyDescent="0.15">
      <c r="D809" s="69" t="s">
        <v>50</v>
      </c>
    </row>
    <row r="810" spans="4:4" x14ac:dyDescent="0.15">
      <c r="D810" s="69" t="s">
        <v>50</v>
      </c>
    </row>
    <row r="811" spans="4:4" x14ac:dyDescent="0.15">
      <c r="D811" s="69" t="s">
        <v>50</v>
      </c>
    </row>
    <row r="812" spans="4:4" x14ac:dyDescent="0.15">
      <c r="D812" s="69" t="s">
        <v>50</v>
      </c>
    </row>
    <row r="813" spans="4:4" x14ac:dyDescent="0.15">
      <c r="D813" s="69" t="s">
        <v>50</v>
      </c>
    </row>
    <row r="814" spans="4:4" x14ac:dyDescent="0.15">
      <c r="D814" s="69" t="s">
        <v>50</v>
      </c>
    </row>
    <row r="815" spans="4:4" x14ac:dyDescent="0.15">
      <c r="D815" s="69" t="s">
        <v>50</v>
      </c>
    </row>
    <row r="816" spans="4:4" x14ac:dyDescent="0.15">
      <c r="D816" s="69" t="s">
        <v>50</v>
      </c>
    </row>
    <row r="817" spans="4:4" x14ac:dyDescent="0.15">
      <c r="D817" s="69" t="s">
        <v>50</v>
      </c>
    </row>
    <row r="818" spans="4:4" x14ac:dyDescent="0.15">
      <c r="D818" s="69" t="s">
        <v>50</v>
      </c>
    </row>
    <row r="819" spans="4:4" x14ac:dyDescent="0.15">
      <c r="D819" s="69" t="s">
        <v>50</v>
      </c>
    </row>
    <row r="820" spans="4:4" x14ac:dyDescent="0.15">
      <c r="D820" s="69" t="s">
        <v>50</v>
      </c>
    </row>
    <row r="821" spans="4:4" x14ac:dyDescent="0.15">
      <c r="D821" s="69" t="s">
        <v>50</v>
      </c>
    </row>
    <row r="822" spans="4:4" x14ac:dyDescent="0.15">
      <c r="D822" s="69" t="s">
        <v>50</v>
      </c>
    </row>
    <row r="823" spans="4:4" x14ac:dyDescent="0.15">
      <c r="D823" s="69" t="s">
        <v>50</v>
      </c>
    </row>
    <row r="824" spans="4:4" x14ac:dyDescent="0.15">
      <c r="D824" s="69" t="s">
        <v>50</v>
      </c>
    </row>
    <row r="825" spans="4:4" x14ac:dyDescent="0.15">
      <c r="D825" s="69" t="s">
        <v>50</v>
      </c>
    </row>
    <row r="826" spans="4:4" x14ac:dyDescent="0.15">
      <c r="D826" s="69" t="s">
        <v>50</v>
      </c>
    </row>
    <row r="827" spans="4:4" x14ac:dyDescent="0.15">
      <c r="D827" s="69" t="s">
        <v>50</v>
      </c>
    </row>
    <row r="828" spans="4:4" x14ac:dyDescent="0.15">
      <c r="D828" s="69" t="s">
        <v>50</v>
      </c>
    </row>
    <row r="829" spans="4:4" x14ac:dyDescent="0.15">
      <c r="D829" s="69" t="s">
        <v>50</v>
      </c>
    </row>
    <row r="830" spans="4:4" x14ac:dyDescent="0.15">
      <c r="D830" s="69" t="s">
        <v>50</v>
      </c>
    </row>
    <row r="831" spans="4:4" x14ac:dyDescent="0.15">
      <c r="D831" s="69" t="s">
        <v>50</v>
      </c>
    </row>
    <row r="832" spans="4:4" x14ac:dyDescent="0.15">
      <c r="D832" s="69" t="s">
        <v>50</v>
      </c>
    </row>
    <row r="833" spans="4:4" x14ac:dyDescent="0.15">
      <c r="D833" s="69" t="s">
        <v>50</v>
      </c>
    </row>
    <row r="834" spans="4:4" x14ac:dyDescent="0.15">
      <c r="D834" s="69" t="s">
        <v>50</v>
      </c>
    </row>
    <row r="835" spans="4:4" x14ac:dyDescent="0.15">
      <c r="D835" s="69" t="s">
        <v>50</v>
      </c>
    </row>
    <row r="836" spans="4:4" x14ac:dyDescent="0.15">
      <c r="D836" s="69" t="s">
        <v>50</v>
      </c>
    </row>
    <row r="837" spans="4:4" x14ac:dyDescent="0.15">
      <c r="D837" s="69" t="s">
        <v>50</v>
      </c>
    </row>
    <row r="838" spans="4:4" x14ac:dyDescent="0.15">
      <c r="D838" s="69" t="s">
        <v>50</v>
      </c>
    </row>
    <row r="839" spans="4:4" x14ac:dyDescent="0.15">
      <c r="D839" s="69" t="s">
        <v>50</v>
      </c>
    </row>
    <row r="840" spans="4:4" x14ac:dyDescent="0.15">
      <c r="D840" s="69" t="s">
        <v>50</v>
      </c>
    </row>
    <row r="841" spans="4:4" x14ac:dyDescent="0.15">
      <c r="D841" s="69" t="s">
        <v>50</v>
      </c>
    </row>
    <row r="842" spans="4:4" x14ac:dyDescent="0.15">
      <c r="D842" s="69" t="s">
        <v>50</v>
      </c>
    </row>
    <row r="843" spans="4:4" x14ac:dyDescent="0.15">
      <c r="D843" s="69" t="s">
        <v>50</v>
      </c>
    </row>
    <row r="844" spans="4:4" x14ac:dyDescent="0.15">
      <c r="D844" s="69" t="s">
        <v>50</v>
      </c>
    </row>
    <row r="845" spans="4:4" x14ac:dyDescent="0.15">
      <c r="D845" s="69" t="s">
        <v>50</v>
      </c>
    </row>
    <row r="846" spans="4:4" x14ac:dyDescent="0.15">
      <c r="D846" s="69" t="s">
        <v>50</v>
      </c>
    </row>
    <row r="847" spans="4:4" x14ac:dyDescent="0.15">
      <c r="D847" s="69" t="s">
        <v>50</v>
      </c>
    </row>
    <row r="848" spans="4:4" x14ac:dyDescent="0.15">
      <c r="D848" s="69" t="s">
        <v>50</v>
      </c>
    </row>
    <row r="849" spans="4:4" x14ac:dyDescent="0.15">
      <c r="D849" s="69" t="s">
        <v>50</v>
      </c>
    </row>
    <row r="850" spans="4:4" x14ac:dyDescent="0.15">
      <c r="D850" s="69" t="s">
        <v>50</v>
      </c>
    </row>
    <row r="851" spans="4:4" x14ac:dyDescent="0.15">
      <c r="D851" s="69" t="s">
        <v>50</v>
      </c>
    </row>
    <row r="852" spans="4:4" x14ac:dyDescent="0.15">
      <c r="D852" s="69" t="s">
        <v>50</v>
      </c>
    </row>
    <row r="853" spans="4:4" x14ac:dyDescent="0.15">
      <c r="D853" s="69" t="s">
        <v>50</v>
      </c>
    </row>
    <row r="854" spans="4:4" x14ac:dyDescent="0.15">
      <c r="D854" s="69" t="s">
        <v>50</v>
      </c>
    </row>
    <row r="855" spans="4:4" x14ac:dyDescent="0.15">
      <c r="D855" s="69" t="s">
        <v>50</v>
      </c>
    </row>
    <row r="856" spans="4:4" x14ac:dyDescent="0.15">
      <c r="D856" s="69" t="s">
        <v>50</v>
      </c>
    </row>
    <row r="857" spans="4:4" x14ac:dyDescent="0.15">
      <c r="D857" s="69" t="s">
        <v>50</v>
      </c>
    </row>
    <row r="858" spans="4:4" x14ac:dyDescent="0.15">
      <c r="D858" s="69" t="s">
        <v>50</v>
      </c>
    </row>
    <row r="859" spans="4:4" x14ac:dyDescent="0.15">
      <c r="D859" s="69" t="s">
        <v>50</v>
      </c>
    </row>
    <row r="860" spans="4:4" x14ac:dyDescent="0.15">
      <c r="D860" s="69" t="s">
        <v>50</v>
      </c>
    </row>
    <row r="861" spans="4:4" x14ac:dyDescent="0.15">
      <c r="D861" s="69" t="s">
        <v>50</v>
      </c>
    </row>
    <row r="862" spans="4:4" x14ac:dyDescent="0.15">
      <c r="D862" s="69" t="s">
        <v>50</v>
      </c>
    </row>
    <row r="863" spans="4:4" x14ac:dyDescent="0.15">
      <c r="D863" s="69" t="s">
        <v>50</v>
      </c>
    </row>
    <row r="864" spans="4:4" x14ac:dyDescent="0.15">
      <c r="D864" s="69" t="s">
        <v>50</v>
      </c>
    </row>
    <row r="865" spans="4:4" x14ac:dyDescent="0.15">
      <c r="D865" s="69" t="s">
        <v>50</v>
      </c>
    </row>
    <row r="866" spans="4:4" x14ac:dyDescent="0.15">
      <c r="D866" s="69" t="s">
        <v>50</v>
      </c>
    </row>
    <row r="867" spans="4:4" x14ac:dyDescent="0.15">
      <c r="D867" s="69" t="s">
        <v>50</v>
      </c>
    </row>
    <row r="868" spans="4:4" x14ac:dyDescent="0.15">
      <c r="D868" s="69" t="s">
        <v>50</v>
      </c>
    </row>
    <row r="869" spans="4:4" x14ac:dyDescent="0.15">
      <c r="D869" s="69" t="s">
        <v>50</v>
      </c>
    </row>
    <row r="870" spans="4:4" x14ac:dyDescent="0.15">
      <c r="D870" s="69" t="s">
        <v>50</v>
      </c>
    </row>
    <row r="871" spans="4:4" x14ac:dyDescent="0.15">
      <c r="D871" s="69" t="s">
        <v>50</v>
      </c>
    </row>
    <row r="872" spans="4:4" x14ac:dyDescent="0.15">
      <c r="D872" s="69" t="s">
        <v>50</v>
      </c>
    </row>
    <row r="873" spans="4:4" x14ac:dyDescent="0.15">
      <c r="D873" s="69" t="s">
        <v>50</v>
      </c>
    </row>
    <row r="874" spans="4:4" x14ac:dyDescent="0.15">
      <c r="D874" s="69" t="s">
        <v>50</v>
      </c>
    </row>
    <row r="875" spans="4:4" x14ac:dyDescent="0.15">
      <c r="D875" s="69" t="s">
        <v>50</v>
      </c>
    </row>
    <row r="876" spans="4:4" x14ac:dyDescent="0.15">
      <c r="D876" s="69" t="s">
        <v>50</v>
      </c>
    </row>
    <row r="877" spans="4:4" x14ac:dyDescent="0.15">
      <c r="D877" s="69" t="s">
        <v>50</v>
      </c>
    </row>
    <row r="878" spans="4:4" x14ac:dyDescent="0.15">
      <c r="D878" s="69" t="s">
        <v>50</v>
      </c>
    </row>
    <row r="879" spans="4:4" x14ac:dyDescent="0.15">
      <c r="D879" s="69" t="s">
        <v>50</v>
      </c>
    </row>
    <row r="880" spans="4:4" x14ac:dyDescent="0.15">
      <c r="D880" s="69" t="s">
        <v>50</v>
      </c>
    </row>
    <row r="881" spans="4:4" x14ac:dyDescent="0.15">
      <c r="D881" s="69" t="s">
        <v>50</v>
      </c>
    </row>
    <row r="882" spans="4:4" x14ac:dyDescent="0.15">
      <c r="D882" s="69" t="s">
        <v>50</v>
      </c>
    </row>
    <row r="883" spans="4:4" x14ac:dyDescent="0.15">
      <c r="D883" s="69" t="s">
        <v>50</v>
      </c>
    </row>
    <row r="884" spans="4:4" x14ac:dyDescent="0.15">
      <c r="D884" s="69" t="s">
        <v>50</v>
      </c>
    </row>
    <row r="885" spans="4:4" x14ac:dyDescent="0.15">
      <c r="D885" s="69" t="s">
        <v>50</v>
      </c>
    </row>
    <row r="886" spans="4:4" x14ac:dyDescent="0.15">
      <c r="D886" s="69" t="s">
        <v>50</v>
      </c>
    </row>
    <row r="887" spans="4:4" x14ac:dyDescent="0.15">
      <c r="D887" s="69" t="s">
        <v>50</v>
      </c>
    </row>
    <row r="888" spans="4:4" x14ac:dyDescent="0.15">
      <c r="D888" s="69" t="s">
        <v>50</v>
      </c>
    </row>
    <row r="889" spans="4:4" x14ac:dyDescent="0.15">
      <c r="D889" s="69" t="s">
        <v>50</v>
      </c>
    </row>
    <row r="890" spans="4:4" x14ac:dyDescent="0.15">
      <c r="D890" s="69" t="s">
        <v>50</v>
      </c>
    </row>
    <row r="891" spans="4:4" x14ac:dyDescent="0.15">
      <c r="D891" s="69" t="s">
        <v>50</v>
      </c>
    </row>
    <row r="892" spans="4:4" x14ac:dyDescent="0.15">
      <c r="D892" s="69" t="s">
        <v>50</v>
      </c>
    </row>
    <row r="893" spans="4:4" x14ac:dyDescent="0.15">
      <c r="D893" s="69" t="s">
        <v>50</v>
      </c>
    </row>
    <row r="894" spans="4:4" x14ac:dyDescent="0.15">
      <c r="D894" s="69" t="s">
        <v>50</v>
      </c>
    </row>
    <row r="895" spans="4:4" x14ac:dyDescent="0.15">
      <c r="D895" s="69" t="s">
        <v>50</v>
      </c>
    </row>
    <row r="896" spans="4:4" x14ac:dyDescent="0.15">
      <c r="D896" s="69" t="s">
        <v>50</v>
      </c>
    </row>
    <row r="897" spans="4:4" x14ac:dyDescent="0.15">
      <c r="D897" s="69" t="s">
        <v>50</v>
      </c>
    </row>
    <row r="898" spans="4:4" x14ac:dyDescent="0.15">
      <c r="D898" s="69" t="s">
        <v>50</v>
      </c>
    </row>
    <row r="899" spans="4:4" x14ac:dyDescent="0.15">
      <c r="D899" s="69" t="s">
        <v>50</v>
      </c>
    </row>
    <row r="900" spans="4:4" x14ac:dyDescent="0.15">
      <c r="D900" s="69" t="s">
        <v>50</v>
      </c>
    </row>
    <row r="901" spans="4:4" x14ac:dyDescent="0.15">
      <c r="D901" s="69" t="s">
        <v>50</v>
      </c>
    </row>
    <row r="902" spans="4:4" x14ac:dyDescent="0.15">
      <c r="D902" s="69" t="s">
        <v>50</v>
      </c>
    </row>
    <row r="903" spans="4:4" x14ac:dyDescent="0.15">
      <c r="D903" s="69" t="s">
        <v>50</v>
      </c>
    </row>
    <row r="904" spans="4:4" x14ac:dyDescent="0.15">
      <c r="D904" s="69" t="s">
        <v>50</v>
      </c>
    </row>
    <row r="905" spans="4:4" x14ac:dyDescent="0.15">
      <c r="D905" s="69" t="s">
        <v>50</v>
      </c>
    </row>
    <row r="906" spans="4:4" x14ac:dyDescent="0.15">
      <c r="D906" s="69" t="s">
        <v>50</v>
      </c>
    </row>
    <row r="907" spans="4:4" x14ac:dyDescent="0.15">
      <c r="D907" s="69" t="s">
        <v>50</v>
      </c>
    </row>
    <row r="908" spans="4:4" x14ac:dyDescent="0.15">
      <c r="D908" s="69" t="s">
        <v>50</v>
      </c>
    </row>
    <row r="909" spans="4:4" x14ac:dyDescent="0.15">
      <c r="D909" s="69" t="s">
        <v>50</v>
      </c>
    </row>
    <row r="910" spans="4:4" x14ac:dyDescent="0.15">
      <c r="D910" s="69" t="s">
        <v>50</v>
      </c>
    </row>
    <row r="911" spans="4:4" x14ac:dyDescent="0.15">
      <c r="D911" s="69" t="s">
        <v>50</v>
      </c>
    </row>
    <row r="912" spans="4:4" x14ac:dyDescent="0.15">
      <c r="D912" s="69" t="s">
        <v>50</v>
      </c>
    </row>
    <row r="913" spans="4:4" x14ac:dyDescent="0.15">
      <c r="D913" s="69" t="s">
        <v>50</v>
      </c>
    </row>
    <row r="914" spans="4:4" x14ac:dyDescent="0.15">
      <c r="D914" s="69" t="s">
        <v>50</v>
      </c>
    </row>
    <row r="915" spans="4:4" x14ac:dyDescent="0.15">
      <c r="D915" s="69" t="s">
        <v>50</v>
      </c>
    </row>
    <row r="916" spans="4:4" x14ac:dyDescent="0.15">
      <c r="D916" s="69" t="s">
        <v>50</v>
      </c>
    </row>
    <row r="917" spans="4:4" x14ac:dyDescent="0.15">
      <c r="D917" s="69" t="s">
        <v>50</v>
      </c>
    </row>
    <row r="918" spans="4:4" x14ac:dyDescent="0.15">
      <c r="D918" s="69" t="s">
        <v>50</v>
      </c>
    </row>
    <row r="919" spans="4:4" x14ac:dyDescent="0.15">
      <c r="D919" s="69" t="s">
        <v>50</v>
      </c>
    </row>
    <row r="920" spans="4:4" x14ac:dyDescent="0.15">
      <c r="D920" s="69" t="s">
        <v>50</v>
      </c>
    </row>
    <row r="921" spans="4:4" x14ac:dyDescent="0.15">
      <c r="D921" s="69" t="s">
        <v>50</v>
      </c>
    </row>
    <row r="922" spans="4:4" x14ac:dyDescent="0.15">
      <c r="D922" s="69" t="s">
        <v>50</v>
      </c>
    </row>
    <row r="923" spans="4:4" x14ac:dyDescent="0.15">
      <c r="D923" s="69" t="s">
        <v>50</v>
      </c>
    </row>
    <row r="924" spans="4:4" x14ac:dyDescent="0.15">
      <c r="D924" s="69" t="s">
        <v>50</v>
      </c>
    </row>
    <row r="925" spans="4:4" x14ac:dyDescent="0.15">
      <c r="D925" s="69" t="s">
        <v>50</v>
      </c>
    </row>
    <row r="926" spans="4:4" x14ac:dyDescent="0.15">
      <c r="D926" s="69" t="s">
        <v>50</v>
      </c>
    </row>
    <row r="927" spans="4:4" x14ac:dyDescent="0.15">
      <c r="D927" s="69" t="s">
        <v>50</v>
      </c>
    </row>
    <row r="928" spans="4:4" x14ac:dyDescent="0.15">
      <c r="D928" s="69" t="s">
        <v>50</v>
      </c>
    </row>
    <row r="929" spans="4:4" x14ac:dyDescent="0.15">
      <c r="D929" s="69" t="s">
        <v>50</v>
      </c>
    </row>
    <row r="930" spans="4:4" x14ac:dyDescent="0.15">
      <c r="D930" s="69" t="s">
        <v>50</v>
      </c>
    </row>
    <row r="931" spans="4:4" x14ac:dyDescent="0.15">
      <c r="D931" s="69" t="s">
        <v>50</v>
      </c>
    </row>
    <row r="932" spans="4:4" x14ac:dyDescent="0.15">
      <c r="D932" s="69" t="s">
        <v>50</v>
      </c>
    </row>
    <row r="933" spans="4:4" x14ac:dyDescent="0.15">
      <c r="D933" s="69" t="s">
        <v>50</v>
      </c>
    </row>
    <row r="934" spans="4:4" x14ac:dyDescent="0.15">
      <c r="D934" s="69" t="s">
        <v>50</v>
      </c>
    </row>
    <row r="935" spans="4:4" x14ac:dyDescent="0.15">
      <c r="D935" s="69" t="s">
        <v>50</v>
      </c>
    </row>
    <row r="936" spans="4:4" x14ac:dyDescent="0.15">
      <c r="D936" s="69" t="s">
        <v>50</v>
      </c>
    </row>
    <row r="937" spans="4:4" x14ac:dyDescent="0.15">
      <c r="D937" s="69" t="s">
        <v>50</v>
      </c>
    </row>
    <row r="938" spans="4:4" x14ac:dyDescent="0.15">
      <c r="D938" s="69" t="s">
        <v>50</v>
      </c>
    </row>
    <row r="939" spans="4:4" x14ac:dyDescent="0.15">
      <c r="D939" s="69" t="s">
        <v>50</v>
      </c>
    </row>
    <row r="940" spans="4:4" x14ac:dyDescent="0.15">
      <c r="D940" s="69" t="s">
        <v>50</v>
      </c>
    </row>
    <row r="941" spans="4:4" x14ac:dyDescent="0.15">
      <c r="D941" s="69" t="s">
        <v>50</v>
      </c>
    </row>
    <row r="942" spans="4:4" x14ac:dyDescent="0.15">
      <c r="D942" s="69" t="s">
        <v>50</v>
      </c>
    </row>
    <row r="943" spans="4:4" x14ac:dyDescent="0.15">
      <c r="D943" s="69" t="s">
        <v>50</v>
      </c>
    </row>
    <row r="944" spans="4:4" x14ac:dyDescent="0.15">
      <c r="D944" s="69" t="s">
        <v>50</v>
      </c>
    </row>
    <row r="945" spans="4:4" x14ac:dyDescent="0.15">
      <c r="D945" s="69" t="s">
        <v>50</v>
      </c>
    </row>
    <row r="946" spans="4:4" x14ac:dyDescent="0.15">
      <c r="D946" s="69" t="s">
        <v>50</v>
      </c>
    </row>
    <row r="947" spans="4:4" x14ac:dyDescent="0.15">
      <c r="D947" s="69" t="s">
        <v>50</v>
      </c>
    </row>
    <row r="948" spans="4:4" x14ac:dyDescent="0.15">
      <c r="D948" s="69" t="s">
        <v>50</v>
      </c>
    </row>
    <row r="949" spans="4:4" x14ac:dyDescent="0.15">
      <c r="D949" s="69" t="s">
        <v>50</v>
      </c>
    </row>
    <row r="950" spans="4:4" x14ac:dyDescent="0.15">
      <c r="D950" s="69" t="s">
        <v>50</v>
      </c>
    </row>
    <row r="951" spans="4:4" x14ac:dyDescent="0.15">
      <c r="D951" s="69" t="s">
        <v>50</v>
      </c>
    </row>
    <row r="952" spans="4:4" x14ac:dyDescent="0.15">
      <c r="D952" s="69" t="s">
        <v>50</v>
      </c>
    </row>
    <row r="953" spans="4:4" x14ac:dyDescent="0.15">
      <c r="D953" s="69" t="s">
        <v>50</v>
      </c>
    </row>
    <row r="954" spans="4:4" x14ac:dyDescent="0.15">
      <c r="D954" s="69" t="s">
        <v>50</v>
      </c>
    </row>
    <row r="955" spans="4:4" x14ac:dyDescent="0.15">
      <c r="D955" s="69" t="s">
        <v>50</v>
      </c>
    </row>
    <row r="956" spans="4:4" x14ac:dyDescent="0.15">
      <c r="D956" s="69" t="s">
        <v>50</v>
      </c>
    </row>
    <row r="957" spans="4:4" x14ac:dyDescent="0.15">
      <c r="D957" s="69" t="s">
        <v>50</v>
      </c>
    </row>
    <row r="958" spans="4:4" x14ac:dyDescent="0.15">
      <c r="D958" s="69" t="s">
        <v>50</v>
      </c>
    </row>
    <row r="959" spans="4:4" x14ac:dyDescent="0.15">
      <c r="D959" s="69" t="s">
        <v>50</v>
      </c>
    </row>
    <row r="960" spans="4:4" x14ac:dyDescent="0.15">
      <c r="D960" s="69" t="s">
        <v>50</v>
      </c>
    </row>
    <row r="961" spans="4:4" x14ac:dyDescent="0.15">
      <c r="D961" s="69" t="s">
        <v>50</v>
      </c>
    </row>
    <row r="962" spans="4:4" x14ac:dyDescent="0.15">
      <c r="D962" s="69" t="s">
        <v>50</v>
      </c>
    </row>
    <row r="963" spans="4:4" x14ac:dyDescent="0.15">
      <c r="D963" s="69" t="s">
        <v>50</v>
      </c>
    </row>
    <row r="964" spans="4:4" x14ac:dyDescent="0.15">
      <c r="D964" s="69" t="s">
        <v>50</v>
      </c>
    </row>
    <row r="965" spans="4:4" x14ac:dyDescent="0.15">
      <c r="D965" s="69" t="s">
        <v>50</v>
      </c>
    </row>
    <row r="966" spans="4:4" x14ac:dyDescent="0.15">
      <c r="D966" s="69" t="s">
        <v>50</v>
      </c>
    </row>
    <row r="967" spans="4:4" x14ac:dyDescent="0.15">
      <c r="D967" s="69" t="s">
        <v>50</v>
      </c>
    </row>
    <row r="968" spans="4:4" x14ac:dyDescent="0.15">
      <c r="D968" s="69" t="s">
        <v>50</v>
      </c>
    </row>
    <row r="969" spans="4:4" x14ac:dyDescent="0.15">
      <c r="D969" s="69" t="s">
        <v>50</v>
      </c>
    </row>
    <row r="970" spans="4:4" x14ac:dyDescent="0.15">
      <c r="D970" s="69" t="s">
        <v>50</v>
      </c>
    </row>
    <row r="971" spans="4:4" x14ac:dyDescent="0.15">
      <c r="D971" s="69" t="s">
        <v>50</v>
      </c>
    </row>
    <row r="972" spans="4:4" x14ac:dyDescent="0.15">
      <c r="D972" s="69" t="s">
        <v>50</v>
      </c>
    </row>
    <row r="973" spans="4:4" x14ac:dyDescent="0.15">
      <c r="D973" s="69" t="s">
        <v>50</v>
      </c>
    </row>
    <row r="974" spans="4:4" x14ac:dyDescent="0.15">
      <c r="D974" s="69" t="s">
        <v>50</v>
      </c>
    </row>
    <row r="975" spans="4:4" x14ac:dyDescent="0.15">
      <c r="D975" s="69" t="s">
        <v>50</v>
      </c>
    </row>
    <row r="976" spans="4:4" x14ac:dyDescent="0.15">
      <c r="D976" s="69" t="s">
        <v>50</v>
      </c>
    </row>
    <row r="977" spans="4:4" x14ac:dyDescent="0.15">
      <c r="D977" s="69" t="s">
        <v>50</v>
      </c>
    </row>
    <row r="978" spans="4:4" x14ac:dyDescent="0.15">
      <c r="D978" s="69" t="s">
        <v>50</v>
      </c>
    </row>
    <row r="979" spans="4:4" x14ac:dyDescent="0.15">
      <c r="D979" s="69" t="s">
        <v>50</v>
      </c>
    </row>
    <row r="980" spans="4:4" x14ac:dyDescent="0.15">
      <c r="D980" s="69" t="s">
        <v>50</v>
      </c>
    </row>
    <row r="981" spans="4:4" x14ac:dyDescent="0.15">
      <c r="D981" s="69" t="s">
        <v>50</v>
      </c>
    </row>
    <row r="982" spans="4:4" x14ac:dyDescent="0.15">
      <c r="D982" s="69" t="s">
        <v>50</v>
      </c>
    </row>
    <row r="983" spans="4:4" x14ac:dyDescent="0.15">
      <c r="D983" s="69" t="s">
        <v>50</v>
      </c>
    </row>
    <row r="984" spans="4:4" x14ac:dyDescent="0.15">
      <c r="D984" s="69" t="s">
        <v>50</v>
      </c>
    </row>
    <row r="985" spans="4:4" x14ac:dyDescent="0.15">
      <c r="D985" s="69" t="s">
        <v>50</v>
      </c>
    </row>
    <row r="986" spans="4:4" x14ac:dyDescent="0.15">
      <c r="D986" s="69" t="s">
        <v>50</v>
      </c>
    </row>
    <row r="987" spans="4:4" x14ac:dyDescent="0.15">
      <c r="D987" s="69" t="s">
        <v>50</v>
      </c>
    </row>
    <row r="988" spans="4:4" x14ac:dyDescent="0.15">
      <c r="D988" s="69" t="s">
        <v>50</v>
      </c>
    </row>
    <row r="989" spans="4:4" x14ac:dyDescent="0.15">
      <c r="D989" s="69" t="s">
        <v>50</v>
      </c>
    </row>
    <row r="990" spans="4:4" x14ac:dyDescent="0.15">
      <c r="D990" s="69" t="s">
        <v>50</v>
      </c>
    </row>
    <row r="991" spans="4:4" x14ac:dyDescent="0.15">
      <c r="D991" s="69" t="s">
        <v>50</v>
      </c>
    </row>
    <row r="992" spans="4:4" x14ac:dyDescent="0.15">
      <c r="D992" s="69" t="s">
        <v>50</v>
      </c>
    </row>
    <row r="993" spans="4:4" x14ac:dyDescent="0.15">
      <c r="D993" s="69" t="s">
        <v>50</v>
      </c>
    </row>
    <row r="994" spans="4:4" x14ac:dyDescent="0.15">
      <c r="D994" s="69" t="s">
        <v>50</v>
      </c>
    </row>
    <row r="995" spans="4:4" x14ac:dyDescent="0.15">
      <c r="D995" s="69" t="s">
        <v>50</v>
      </c>
    </row>
    <row r="996" spans="4:4" x14ac:dyDescent="0.15">
      <c r="D996" s="69" t="s">
        <v>50</v>
      </c>
    </row>
    <row r="997" spans="4:4" x14ac:dyDescent="0.15">
      <c r="D997" s="69" t="s">
        <v>50</v>
      </c>
    </row>
    <row r="998" spans="4:4" x14ac:dyDescent="0.15">
      <c r="D998" s="69" t="s">
        <v>50</v>
      </c>
    </row>
    <row r="999" spans="4:4" x14ac:dyDescent="0.15">
      <c r="D999" s="69" t="s">
        <v>50</v>
      </c>
    </row>
    <row r="1000" spans="4:4" x14ac:dyDescent="0.15">
      <c r="D1000" s="69" t="s">
        <v>50</v>
      </c>
    </row>
    <row r="1001" spans="4:4" x14ac:dyDescent="0.15">
      <c r="D1001" s="69" t="s">
        <v>50</v>
      </c>
    </row>
    <row r="1002" spans="4:4" x14ac:dyDescent="0.15">
      <c r="D1002" s="69" t="s">
        <v>50</v>
      </c>
    </row>
    <row r="1003" spans="4:4" x14ac:dyDescent="0.15">
      <c r="D1003" s="69" t="s">
        <v>50</v>
      </c>
    </row>
    <row r="1004" spans="4:4" x14ac:dyDescent="0.15">
      <c r="D1004" s="69" t="s">
        <v>50</v>
      </c>
    </row>
    <row r="1005" spans="4:4" x14ac:dyDescent="0.15">
      <c r="D1005" s="69" t="s">
        <v>50</v>
      </c>
    </row>
    <row r="1006" spans="4:4" x14ac:dyDescent="0.15">
      <c r="D1006" s="76"/>
    </row>
    <row r="1007" spans="4:4" x14ac:dyDescent="0.15">
      <c r="D1007" s="77"/>
    </row>
  </sheetData>
  <autoFilter ref="A3:M1005" xr:uid="{00000000-0001-0000-0100-000000000000}"/>
  <phoneticPr fontId="33" type="noConversion"/>
  <conditionalFormatting sqref="I1:I6 J2 I9:I1048576">
    <cfRule type="containsText" dxfId="17" priority="8" operator="containsText" text="採購">
      <formula>NOT(ISERROR(SEARCH("採購",I1)))</formula>
    </cfRule>
  </conditionalFormatting>
  <conditionalFormatting sqref="I4">
    <cfRule type="cellIs" dxfId="16" priority="14" operator="lessThan">
      <formula>10</formula>
    </cfRule>
  </conditionalFormatting>
  <conditionalFormatting sqref="I5:I7">
    <cfRule type="cellIs" dxfId="15" priority="22" operator="lessThan">
      <formula>10</formula>
    </cfRule>
  </conditionalFormatting>
  <conditionalFormatting sqref="I7:I8">
    <cfRule type="containsText" dxfId="14" priority="19" operator="containsText" text="採購">
      <formula>NOT(ISERROR(SEARCH("採購",I7)))</formula>
    </cfRule>
  </conditionalFormatting>
  <conditionalFormatting sqref="I8:I9">
    <cfRule type="cellIs" dxfId="13"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12" priority="23" operator="lessThan">
      <formula>10</formula>
    </cfRule>
  </conditionalFormatting>
  <conditionalFormatting sqref="I103:I138">
    <cfRule type="cellIs" dxfId="11" priority="18" operator="lessThan">
      <formula>10</formula>
    </cfRule>
  </conditionalFormatting>
  <conditionalFormatting sqref="J1 J3:J1048576">
    <cfRule type="cellIs" dxfId="10"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topLeftCell="B4" workbookViewId="0">
      <selection activeCell="G3" sqref="G3:H36"/>
    </sheetView>
  </sheetViews>
  <sheetFormatPr defaultColWidth="10.05078125" defaultRowHeight="13.5" x14ac:dyDescent="0.15"/>
  <cols>
    <col min="1" max="1" width="3.5546875" style="113" customWidth="1"/>
    <col min="2" max="2" width="7.84375" style="113" customWidth="1"/>
    <col min="3" max="3" width="10.05078125" style="113" bestFit="1" customWidth="1"/>
    <col min="4" max="9" width="10.05078125" style="113" customWidth="1"/>
    <col min="10" max="10" width="10.91015625" style="113" bestFit="1" customWidth="1"/>
    <col min="11" max="11" width="9.4375" style="113" customWidth="1"/>
    <col min="12" max="16384" width="10.05078125" style="113"/>
  </cols>
  <sheetData>
    <row r="1" spans="2:12" x14ac:dyDescent="0.15">
      <c r="B1" s="111"/>
      <c r="C1" s="111"/>
      <c r="D1" s="111"/>
      <c r="E1" s="111"/>
      <c r="F1" s="111"/>
      <c r="G1" s="111"/>
      <c r="H1" s="111"/>
      <c r="I1" s="111"/>
      <c r="J1" s="111"/>
      <c r="K1" s="111"/>
      <c r="L1" s="111"/>
    </row>
    <row r="2" spans="2:12" ht="15" x14ac:dyDescent="0.15">
      <c r="B2" s="114" t="s">
        <v>53</v>
      </c>
      <c r="C2" s="114" t="s">
        <v>11</v>
      </c>
      <c r="D2" s="114" t="s">
        <v>41</v>
      </c>
      <c r="E2" s="114" t="s">
        <v>23</v>
      </c>
      <c r="F2" s="114" t="s">
        <v>54</v>
      </c>
      <c r="G2" s="114" t="s">
        <v>55</v>
      </c>
      <c r="H2" s="114" t="s">
        <v>15</v>
      </c>
      <c r="I2" s="114" t="s">
        <v>56</v>
      </c>
      <c r="J2" s="115" t="s">
        <v>57</v>
      </c>
      <c r="K2" s="115" t="s">
        <v>58</v>
      </c>
      <c r="L2" s="116" t="s">
        <v>59</v>
      </c>
    </row>
    <row r="3" spans="2:12" x14ac:dyDescent="0.15">
      <c r="B3" s="114">
        <v>1</v>
      </c>
      <c r="C3" s="63" t="str">
        <f>IF(烤漆色號編碼!A2="","-",烤漆色號編碼!A2)</f>
        <v>DP-11485</v>
      </c>
      <c r="D3" s="27">
        <f>IFERROR(VLOOKUP($C3,當前庫存!$C:$I,5,FALSE),"-")</f>
        <v>10</v>
      </c>
      <c r="E3" s="27">
        <f>IFERROR(VLOOKUP($C3,當前庫存!$C:$I,4,FALSE),"-")</f>
        <v>0</v>
      </c>
      <c r="F3" s="27">
        <f>IFERROR(VLOOKUP($C3,烤漆色號編碼!$A:$D,4,FALSE)*表格3[[#This Row],[當前庫存]]+表格3[[#This Row],[欄1]],"-")</f>
        <v>250</v>
      </c>
      <c r="G3" s="63">
        <v>14</v>
      </c>
      <c r="H3" s="63">
        <v>0</v>
      </c>
      <c r="I3" s="27">
        <f>IFERROR(VLOOKUP($C3,烤漆色號編碼!$A:$D,4,FALSE)*表格3[[#This Row],[箱數]]+表格3[[#This Row],[散粉]],"-")</f>
        <v>350</v>
      </c>
      <c r="J3" s="117" t="str">
        <f>IF(I3&gt;表格3[[#This Row],[欄2]],"多粉",IF(I3&lt;表格3[[#This Row],[欄2]],"少粉","正確"))</f>
        <v>多粉</v>
      </c>
      <c r="K3" s="117">
        <f>I3-表格3[[#This Row],[欄2]]</f>
        <v>100</v>
      </c>
      <c r="L3" s="111"/>
    </row>
    <row r="4" spans="2:12" x14ac:dyDescent="0.15">
      <c r="B4" s="114">
        <v>2</v>
      </c>
      <c r="C4" s="63" t="str">
        <f>IF(烤漆色號編碼!A3="","-",烤漆色號編碼!A3)</f>
        <v>DP-1856</v>
      </c>
      <c r="D4" s="27">
        <f>IFERROR(VLOOKUP($C4,當前庫存!$C:$I,5,FALSE),"-")</f>
        <v>1</v>
      </c>
      <c r="E4" s="27">
        <f>IFERROR(VLOOKUP($C4,當前庫存!$C:$I,4,FALSE),"-")</f>
        <v>12</v>
      </c>
      <c r="F4" s="27">
        <f>IFERROR(VLOOKUP($C4,烤漆色號編碼!$A:$D,4,FALSE)*表格3[[#This Row],[當前庫存]]+表格3[[#This Row],[欄1]],"-")</f>
        <v>37</v>
      </c>
      <c r="G4" s="63">
        <v>1</v>
      </c>
      <c r="H4" s="63">
        <v>12</v>
      </c>
      <c r="I4" s="27">
        <f>IFERROR(VLOOKUP($C4,烤漆色號編碼!$A:$D,4,FALSE)*表格3[[#This Row],[箱數]]+表格3[[#This Row],[散粉]],"-")</f>
        <v>37</v>
      </c>
      <c r="J4" s="117" t="str">
        <f>IF(I4&gt;表格3[[#This Row],[欄2]],"多粉",IF(I4&lt;表格3[[#This Row],[欄2]],"少粉","正確"))</f>
        <v>正確</v>
      </c>
      <c r="K4" s="117">
        <f>I4-表格3[[#This Row],[欄2]]</f>
        <v>0</v>
      </c>
      <c r="L4" s="111"/>
    </row>
    <row r="5" spans="2:12" x14ac:dyDescent="0.15">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c r="H5" s="63"/>
      <c r="I5" s="27">
        <f>IFERROR(VLOOKUP($C5,烤漆色號編碼!$A:$D,4,FALSE)*表格3[[#This Row],[箱數]]+表格3[[#This Row],[散粉]],"-")</f>
        <v>0</v>
      </c>
      <c r="J5" s="117" t="str">
        <f>IF(I5&gt;表格3[[#This Row],[欄2]],"多粉",IF(I5&lt;表格3[[#This Row],[欄2]],"少粉","正確"))</f>
        <v>正確</v>
      </c>
      <c r="K5" s="117">
        <f>I5-表格3[[#This Row],[欄2]]</f>
        <v>0</v>
      </c>
      <c r="L5" s="111"/>
    </row>
    <row r="6" spans="2:12" x14ac:dyDescent="0.15">
      <c r="B6" s="114">
        <v>4</v>
      </c>
      <c r="C6" s="63" t="str">
        <f>IF(烤漆色號編碼!A5="","-",烤漆色號編碼!A5)</f>
        <v>New O-5905</v>
      </c>
      <c r="D6" s="27">
        <f>IFERROR(VLOOKUP($C6,當前庫存!$C:$I,5,FALSE),"-")</f>
        <v>2</v>
      </c>
      <c r="E6" s="27">
        <f>IFERROR(VLOOKUP($C6,當前庫存!$C:$I,4,FALSE),"-")</f>
        <v>0</v>
      </c>
      <c r="F6" s="27">
        <f>IFERROR(VLOOKUP($C6,烤漆色號編碼!$A:$D,4,FALSE)*表格3[[#This Row],[當前庫存]]+表格3[[#This Row],[欄1]],"-")</f>
        <v>50</v>
      </c>
      <c r="G6" s="63">
        <v>2</v>
      </c>
      <c r="H6" s="63"/>
      <c r="I6" s="27">
        <f>IFERROR(VLOOKUP($C6,烤漆色號編碼!$A:$D,4,FALSE)*表格3[[#This Row],[箱數]]+表格3[[#This Row],[散粉]],"-")</f>
        <v>50</v>
      </c>
      <c r="J6" s="117" t="str">
        <f>IF(I6&gt;表格3[[#This Row],[欄2]],"多粉",IF(I6&lt;表格3[[#This Row],[欄2]],"少粉","正確"))</f>
        <v>正確</v>
      </c>
      <c r="K6" s="117">
        <f>I6-表格3[[#This Row],[欄2]]</f>
        <v>0</v>
      </c>
      <c r="L6" s="111"/>
    </row>
    <row r="7" spans="2:12" x14ac:dyDescent="0.15">
      <c r="B7" s="114">
        <v>5</v>
      </c>
      <c r="C7" s="63" t="str">
        <f>IF(烤漆色號編碼!A6="","-",烤漆色號編碼!A6)</f>
        <v>790-41540H</v>
      </c>
      <c r="D7" s="27">
        <f>IFERROR(VLOOKUP($C7,當前庫存!$C:$I,5,FALSE),"-")</f>
        <v>0</v>
      </c>
      <c r="E7" s="27">
        <f>IFERROR(VLOOKUP($C7,當前庫存!$C:$I,4,FALSE),"-")</f>
        <v>50</v>
      </c>
      <c r="F7" s="27">
        <f>IFERROR(VLOOKUP($C7,烤漆色號編碼!$A:$D,4,FALSE)*表格3[[#This Row],[當前庫存]]+表格3[[#This Row],[欄1]],"-")</f>
        <v>50</v>
      </c>
      <c r="G7" s="63"/>
      <c r="H7" s="63">
        <f>21+21+8</f>
        <v>50</v>
      </c>
      <c r="I7" s="27">
        <f>IFERROR(VLOOKUP($C7,烤漆色號編碼!$A:$D,4,FALSE)*表格3[[#This Row],[箱數]]+表格3[[#This Row],[散粉]],"-")</f>
        <v>50</v>
      </c>
      <c r="J7" s="117" t="str">
        <f>IF(I7&gt;表格3[[#This Row],[欄2]],"多粉",IF(I7&lt;表格3[[#This Row],[欄2]],"少粉","正確"))</f>
        <v>正確</v>
      </c>
      <c r="K7" s="117">
        <f>I7-表格3[[#This Row],[欄2]]</f>
        <v>0</v>
      </c>
      <c r="L7" s="111"/>
    </row>
    <row r="8" spans="2:12" x14ac:dyDescent="0.15">
      <c r="B8" s="114">
        <v>6</v>
      </c>
      <c r="C8" s="63" t="str">
        <f>IF(烤漆色號編碼!A7="","-",烤漆色號編碼!A7)</f>
        <v>780-310AT</v>
      </c>
      <c r="D8" s="27">
        <f>IFERROR(VLOOKUP($C8,當前庫存!$C:$I,5,FALSE),"-")</f>
        <v>5</v>
      </c>
      <c r="E8" s="27">
        <f>IFERROR(VLOOKUP($C8,當前庫存!$C:$I,4,FALSE),"-")</f>
        <v>0</v>
      </c>
      <c r="F8" s="27">
        <f>IFERROR(VLOOKUP($C8,烤漆色號編碼!$A:$D,4,FALSE)*表格3[[#This Row],[當前庫存]]+表格3[[#This Row],[欄1]],"-")</f>
        <v>125</v>
      </c>
      <c r="G8" s="63">
        <v>5</v>
      </c>
      <c r="H8" s="63">
        <v>0</v>
      </c>
      <c r="I8" s="27">
        <f>IFERROR(VLOOKUP($C8,烤漆色號編碼!$A:$D,4,FALSE)*表格3[[#This Row],[箱數]]+表格3[[#This Row],[散粉]],"-")</f>
        <v>125</v>
      </c>
      <c r="J8" s="117" t="str">
        <f>IF(I8&gt;表格3[[#This Row],[欄2]],"多粉",IF(I8&lt;表格3[[#This Row],[欄2]],"少粉","正確"))</f>
        <v>正確</v>
      </c>
      <c r="K8" s="117">
        <f>I8-表格3[[#This Row],[欄2]]</f>
        <v>0</v>
      </c>
      <c r="L8" s="111"/>
    </row>
    <row r="9" spans="2:12" x14ac:dyDescent="0.15">
      <c r="B9" s="114">
        <v>7</v>
      </c>
      <c r="C9" s="63" t="str">
        <f>IF(烤漆色號編碼!A8="","-",烤漆色號編碼!A8)</f>
        <v>LT-90442</v>
      </c>
      <c r="D9" s="27">
        <f>IFERROR(VLOOKUP($C9,當前庫存!$C:$I,5,FALSE),"-")</f>
        <v>1</v>
      </c>
      <c r="E9" s="27">
        <f>IFERROR(VLOOKUP($C9,當前庫存!$C:$I,4,FALSE),"-")</f>
        <v>14</v>
      </c>
      <c r="F9" s="27">
        <f>IFERROR(VLOOKUP($C9,烤漆色號編碼!$A:$D,4,FALSE)*表格3[[#This Row],[當前庫存]]+表格3[[#This Row],[欄1]],"-")</f>
        <v>39</v>
      </c>
      <c r="G9" s="63">
        <v>1</v>
      </c>
      <c r="H9" s="63">
        <v>14</v>
      </c>
      <c r="I9" s="27">
        <f>IFERROR(VLOOKUP($C9,烤漆色號編碼!$A:$D,4,FALSE)*表格3[[#This Row],[箱數]]+表格3[[#This Row],[散粉]],"-")</f>
        <v>39</v>
      </c>
      <c r="J9" s="117" t="str">
        <f>IF(I9&gt;表格3[[#This Row],[欄2]],"多粉",IF(I9&lt;表格3[[#This Row],[欄2]],"少粉","正確"))</f>
        <v>正確</v>
      </c>
      <c r="K9" s="117">
        <f>I9-表格3[[#This Row],[欄2]]</f>
        <v>0</v>
      </c>
      <c r="L9" s="111"/>
    </row>
    <row r="10" spans="2:12" x14ac:dyDescent="0.15">
      <c r="B10" s="114">
        <v>8</v>
      </c>
      <c r="C10" s="63" t="str">
        <f>IF(烤漆色號編碼!A9="","-",烤漆色號編碼!A9)</f>
        <v>770-739</v>
      </c>
      <c r="D10" s="27">
        <f>IFERROR(VLOOKUP($C10,當前庫存!$C:$I,5,FALSE),"-")</f>
        <v>1</v>
      </c>
      <c r="E10" s="27">
        <f>IFERROR(VLOOKUP($C10,當前庫存!$C:$I,4,FALSE),"-")</f>
        <v>3</v>
      </c>
      <c r="F10" s="27">
        <f>IFERROR(VLOOKUP($C10,烤漆色號編碼!$A:$D,4,FALSE)*表格3[[#This Row],[當前庫存]]+表格3[[#This Row],[欄1]],"-")</f>
        <v>28</v>
      </c>
      <c r="G10" s="63">
        <v>1</v>
      </c>
      <c r="H10" s="63">
        <v>10</v>
      </c>
      <c r="I10" s="27">
        <f>IFERROR(VLOOKUP($C10,烤漆色號編碼!$A:$D,4,FALSE)*表格3[[#This Row],[箱數]]+表格3[[#This Row],[散粉]],"-")</f>
        <v>35</v>
      </c>
      <c r="J10" s="117" t="str">
        <f>IF(I10&gt;表格3[[#This Row],[欄2]],"多粉",IF(I10&lt;表格3[[#This Row],[欄2]],"少粉","正確"))</f>
        <v>多粉</v>
      </c>
      <c r="K10" s="117">
        <f>I10-表格3[[#This Row],[欄2]]</f>
        <v>7</v>
      </c>
      <c r="L10" s="111"/>
    </row>
    <row r="11" spans="2:12" x14ac:dyDescent="0.15">
      <c r="B11" s="114">
        <v>9</v>
      </c>
      <c r="C11" s="63" t="str">
        <f>IF(烤漆色號編碼!A10="","-",烤漆色號編碼!A10)</f>
        <v>4950-502</v>
      </c>
      <c r="D11" s="27">
        <f>IFERROR(VLOOKUP($C11,當前庫存!$C:$I,5,FALSE),"-")</f>
        <v>1</v>
      </c>
      <c r="E11" s="27">
        <f>IFERROR(VLOOKUP($C11,當前庫存!$C:$I,4,FALSE),"-")</f>
        <v>20</v>
      </c>
      <c r="F11" s="27">
        <f>IFERROR(VLOOKUP($C11,烤漆色號編碼!$A:$D,4,FALSE)*表格3[[#This Row],[當前庫存]]+表格3[[#This Row],[欄1]],"-")</f>
        <v>45</v>
      </c>
      <c r="G11" s="63">
        <v>2</v>
      </c>
      <c r="H11" s="63">
        <f>15+8+6+1</f>
        <v>30</v>
      </c>
      <c r="I11" s="27">
        <f>IFERROR(VLOOKUP($C11,烤漆色號編碼!$A:$D,4,FALSE)*表格3[[#This Row],[箱數]]+表格3[[#This Row],[散粉]],"-")</f>
        <v>80</v>
      </c>
      <c r="J11" s="117" t="str">
        <f>IF(I11&gt;表格3[[#This Row],[欄2]],"多粉",IF(I11&lt;表格3[[#This Row],[欄2]],"少粉","正確"))</f>
        <v>多粉</v>
      </c>
      <c r="K11" s="117">
        <f>I11-表格3[[#This Row],[欄2]]</f>
        <v>35</v>
      </c>
      <c r="L11" s="111"/>
    </row>
    <row r="12" spans="2:12" x14ac:dyDescent="0.15">
      <c r="B12" s="114">
        <v>10</v>
      </c>
      <c r="C12" s="63" t="str">
        <f>IF(烤漆色號編碼!A11="","-",烤漆色號編碼!A11)</f>
        <v>EN-402T</v>
      </c>
      <c r="D12" s="27">
        <f>IFERROR(VLOOKUP($C12,當前庫存!$C:$I,5,FALSE),"-")</f>
        <v>1</v>
      </c>
      <c r="E12" s="27">
        <f>IFERROR(VLOOKUP($C12,當前庫存!$C:$I,4,FALSE),"-")</f>
        <v>18</v>
      </c>
      <c r="F12" s="27">
        <f>IFERROR(VLOOKUP($C12,烤漆色號編碼!$A:$D,4,FALSE)*表格3[[#This Row],[當前庫存]]+表格3[[#This Row],[欄1]],"-")</f>
        <v>43</v>
      </c>
      <c r="G12" s="63">
        <v>1</v>
      </c>
      <c r="H12" s="63">
        <v>18</v>
      </c>
      <c r="I12" s="27">
        <f>IFERROR(VLOOKUP($C12,烤漆色號編碼!$A:$D,4,FALSE)*表格3[[#This Row],[箱數]]+表格3[[#This Row],[散粉]],"-")</f>
        <v>43</v>
      </c>
      <c r="J12" s="117" t="str">
        <f>IF(I12&gt;表格3[[#This Row],[欄2]],"多粉",IF(I12&lt;表格3[[#This Row],[欄2]],"少粉","正確"))</f>
        <v>正確</v>
      </c>
      <c r="K12" s="117">
        <f>I12-表格3[[#This Row],[欄2]]</f>
        <v>0</v>
      </c>
      <c r="L12" s="111"/>
    </row>
    <row r="13" spans="2:12" x14ac:dyDescent="0.15">
      <c r="B13" s="114">
        <v>11</v>
      </c>
      <c r="C13" s="63" t="str">
        <f>IF(烤漆色號編碼!A12="","-",烤漆色號編碼!A12)</f>
        <v>K-91097G</v>
      </c>
      <c r="D13" s="27">
        <f>IFERROR(VLOOKUP($C13,當前庫存!$C:$I,5,FALSE),"-")</f>
        <v>22</v>
      </c>
      <c r="E13" s="27">
        <f>IFERROR(VLOOKUP($C13,當前庫存!$C:$I,4,FALSE),"-")</f>
        <v>22</v>
      </c>
      <c r="F13" s="27">
        <f>IFERROR(VLOOKUP($C13,烤漆色號編碼!$A:$D,4,FALSE)*表格3[[#This Row],[當前庫存]]+表格3[[#This Row],[欄1]],"-")</f>
        <v>572</v>
      </c>
      <c r="G13" s="63">
        <v>9</v>
      </c>
      <c r="H13" s="63">
        <v>0</v>
      </c>
      <c r="I13" s="27">
        <f>IFERROR(VLOOKUP($C13,烤漆色號編碼!$A:$D,4,FALSE)*表格3[[#This Row],[箱數]]+表格3[[#This Row],[散粉]],"-")</f>
        <v>225</v>
      </c>
      <c r="J13" s="117" t="str">
        <f>IF(I13&gt;表格3[[#This Row],[欄2]],"多粉",IF(I13&lt;表格3[[#This Row],[欄2]],"少粉","正確"))</f>
        <v>少粉</v>
      </c>
      <c r="K13" s="117">
        <f>I13-表格3[[#This Row],[欄2]]</f>
        <v>-347</v>
      </c>
      <c r="L13" s="111"/>
    </row>
    <row r="14" spans="2:12" x14ac:dyDescent="0.15">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c r="H14" s="63"/>
      <c r="I14" s="27">
        <f>IFERROR(VLOOKUP($C14,烤漆色號編碼!$A:$D,4,FALSE)*表格3[[#This Row],[箱數]]+表格3[[#This Row],[散粉]],"-")</f>
        <v>0</v>
      </c>
      <c r="J14" s="117" t="str">
        <f>IF(I14&gt;表格3[[#This Row],[欄2]],"多粉",IF(I14&lt;表格3[[#This Row],[欄2]],"少粉","正確"))</f>
        <v>正確</v>
      </c>
      <c r="K14" s="117">
        <f>I14-表格3[[#This Row],[欄2]]</f>
        <v>0</v>
      </c>
      <c r="L14" s="111"/>
    </row>
    <row r="15" spans="2:12" x14ac:dyDescent="0.15">
      <c r="B15" s="114">
        <v>13</v>
      </c>
      <c r="C15" s="63" t="str">
        <f>IF(烤漆色號編碼!A14="","-",烤漆色號編碼!A14)</f>
        <v>4605-505</v>
      </c>
      <c r="D15" s="27">
        <f>IFERROR(VLOOKUP($C15,當前庫存!$C:$I,5,FALSE),"-")</f>
        <v>3</v>
      </c>
      <c r="E15" s="27">
        <f>IFERROR(VLOOKUP($C15,當前庫存!$C:$I,4,FALSE),"-")</f>
        <v>11</v>
      </c>
      <c r="F15" s="27">
        <f>IFERROR(VLOOKUP($C15,烤漆色號編碼!$A:$D,4,FALSE)*表格3[[#This Row],[當前庫存]]+表格3[[#This Row],[欄1]],"-")</f>
        <v>86</v>
      </c>
      <c r="G15" s="63">
        <v>1</v>
      </c>
      <c r="H15" s="63">
        <v>19</v>
      </c>
      <c r="I15" s="27">
        <f>IFERROR(VLOOKUP($C15,烤漆色號編碼!$A:$D,4,FALSE)*表格3[[#This Row],[箱數]]+表格3[[#This Row],[散粉]],"-")</f>
        <v>44</v>
      </c>
      <c r="J15" s="117" t="str">
        <f>IF(I15&gt;表格3[[#This Row],[欄2]],"多粉",IF(I15&lt;表格3[[#This Row],[欄2]],"少粉","正確"))</f>
        <v>少粉</v>
      </c>
      <c r="K15" s="117">
        <f>I15-表格3[[#This Row],[欄2]]</f>
        <v>-42</v>
      </c>
      <c r="L15" s="111"/>
    </row>
    <row r="16" spans="2:12" x14ac:dyDescent="0.15">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7" t="str">
        <f>IF(I16&gt;表格3[[#This Row],[欄2]],"多粉",IF(I16&lt;表格3[[#This Row],[欄2]],"少粉","正確"))</f>
        <v>正確</v>
      </c>
      <c r="K16" s="117">
        <f>I16-表格3[[#This Row],[欄2]]</f>
        <v>0</v>
      </c>
      <c r="L16" s="111"/>
    </row>
    <row r="17" spans="2:11" x14ac:dyDescent="0.15">
      <c r="B17" s="114">
        <v>15</v>
      </c>
      <c r="C17" s="63" t="str">
        <f>IF(烤漆色號編碼!A16="","-",烤漆色號編碼!A16)</f>
        <v>K-9287S</v>
      </c>
      <c r="D17" s="27">
        <f>IFERROR(VLOOKUP($C17,當前庫存!$C:$I,5,FALSE),"-")</f>
        <v>2</v>
      </c>
      <c r="E17" s="27">
        <f>IFERROR(VLOOKUP($C17,當前庫存!$C:$I,4,FALSE),"-")</f>
        <v>28</v>
      </c>
      <c r="F17" s="27">
        <f>IFERROR(VLOOKUP($C17,烤漆色號編碼!$A:$D,4,FALSE)*表格3[[#This Row],[當前庫存]]+表格3[[#This Row],[欄1]],"-")</f>
        <v>78</v>
      </c>
      <c r="G17" s="63">
        <v>3</v>
      </c>
      <c r="H17" s="63">
        <f>18+25</f>
        <v>43</v>
      </c>
      <c r="I17" s="27">
        <f>IFERROR(VLOOKUP($C17,烤漆色號編碼!$A:$D,4,FALSE)*表格3[[#This Row],[箱數]]+表格3[[#This Row],[散粉]],"-")</f>
        <v>118</v>
      </c>
      <c r="J17" s="117" t="str">
        <f>IF(I17&gt;表格3[[#This Row],[欄2]],"多粉",IF(I17&lt;表格3[[#This Row],[欄2]],"少粉","正確"))</f>
        <v>多粉</v>
      </c>
      <c r="K17" s="117">
        <f>I17-表格3[[#This Row],[欄2]]</f>
        <v>40</v>
      </c>
    </row>
    <row r="18" spans="2:11" x14ac:dyDescent="0.15">
      <c r="B18" s="114">
        <v>16</v>
      </c>
      <c r="C18" s="63" t="str">
        <f>IF(烤漆色號編碼!A17="","-",烤漆色號編碼!A17)</f>
        <v>EL-0365T</v>
      </c>
      <c r="D18" s="27">
        <f>IFERROR(VLOOKUP($C18,當前庫存!$C:$I,5,FALSE),"-")</f>
        <v>4</v>
      </c>
      <c r="E18" s="27">
        <f>IFERROR(VLOOKUP($C18,當前庫存!$C:$I,4,FALSE),"-")</f>
        <v>23</v>
      </c>
      <c r="F18" s="27">
        <f>IFERROR(VLOOKUP($C18,烤漆色號編碼!$A:$D,4,FALSE)*表格3[[#This Row],[當前庫存]]+表格3[[#This Row],[欄1]],"-")</f>
        <v>123</v>
      </c>
      <c r="G18" s="63">
        <v>8</v>
      </c>
      <c r="H18" s="63">
        <v>21</v>
      </c>
      <c r="I18" s="27">
        <f>IFERROR(VLOOKUP($C18,烤漆色號編碼!$A:$D,4,FALSE)*表格3[[#This Row],[箱數]]+表格3[[#This Row],[散粉]],"-")</f>
        <v>221</v>
      </c>
      <c r="J18" s="117" t="str">
        <f>IF(I18&gt;表格3[[#This Row],[欄2]],"多粉",IF(I18&lt;表格3[[#This Row],[欄2]],"少粉","正確"))</f>
        <v>多粉</v>
      </c>
      <c r="K18" s="117">
        <f>I18-表格3[[#This Row],[欄2]]</f>
        <v>98</v>
      </c>
    </row>
    <row r="19" spans="2:11" x14ac:dyDescent="0.15">
      <c r="B19" s="114">
        <v>17</v>
      </c>
      <c r="C19" s="63" t="str">
        <f>IF(烤漆色號編碼!A18="","-",烤漆色號編碼!A18)</f>
        <v>O-22170G</v>
      </c>
      <c r="D19" s="27">
        <f>IFERROR(VLOOKUP($C19,當前庫存!$C:$I,5,FALSE),"-")</f>
        <v>6</v>
      </c>
      <c r="E19" s="27">
        <f>IFERROR(VLOOKUP($C19,當前庫存!$C:$I,4,FALSE),"-")</f>
        <v>4</v>
      </c>
      <c r="F19" s="27">
        <f>IFERROR(VLOOKUP($C19,烤漆色號編碼!$A:$D,4,FALSE)*表格3[[#This Row],[當前庫存]]+表格3[[#This Row],[欄1]],"-")</f>
        <v>154</v>
      </c>
      <c r="G19" s="63">
        <v>6</v>
      </c>
      <c r="H19" s="63">
        <v>4</v>
      </c>
      <c r="I19" s="27">
        <f>IFERROR(VLOOKUP($C19,烤漆色號編碼!$A:$D,4,FALSE)*表格3[[#This Row],[箱數]]+表格3[[#This Row],[散粉]],"-")</f>
        <v>154</v>
      </c>
      <c r="J19" s="117" t="str">
        <f>IF(I19&gt;表格3[[#This Row],[欄2]],"多粉",IF(I19&lt;表格3[[#This Row],[欄2]],"少粉","正確"))</f>
        <v>正確</v>
      </c>
      <c r="K19" s="117">
        <f>I19-表格3[[#This Row],[欄2]]</f>
        <v>0</v>
      </c>
    </row>
    <row r="20" spans="2:11" x14ac:dyDescent="0.15">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c r="H20" s="63"/>
      <c r="I20" s="27">
        <f>IFERROR(VLOOKUP($C20,烤漆色號編碼!$A:$D,4,FALSE)*表格3[[#This Row],[箱數]]+表格3[[#This Row],[散粉]],"-")</f>
        <v>0</v>
      </c>
      <c r="J20" s="117" t="str">
        <f>IF(I20&gt;表格3[[#This Row],[欄2]],"多粉",IF(I20&lt;表格3[[#This Row],[欄2]],"少粉","正確"))</f>
        <v>正確</v>
      </c>
      <c r="K20" s="117">
        <f>I20-表格3[[#This Row],[欄2]]</f>
        <v>0</v>
      </c>
    </row>
    <row r="21" spans="2:11" x14ac:dyDescent="0.15">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IF(I21&gt;表格3[[#This Row],[欄2]],"多粉",IF(I21&lt;表格3[[#This Row],[欄2]],"少粉","正確"))</f>
        <v>正確</v>
      </c>
      <c r="K21" s="117">
        <f>I21-表格3[[#This Row],[欄2]]</f>
        <v>0</v>
      </c>
    </row>
    <row r="22" spans="2:11" x14ac:dyDescent="0.15">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IF(I22&gt;表格3[[#This Row],[欄2]],"多粉",IF(I22&lt;表格3[[#This Row],[欄2]],"少粉","正確"))</f>
        <v>正確</v>
      </c>
      <c r="K22" s="117">
        <f>I22-表格3[[#This Row],[欄2]]</f>
        <v>0</v>
      </c>
    </row>
    <row r="23" spans="2:11" x14ac:dyDescent="0.15">
      <c r="B23" s="114">
        <v>21</v>
      </c>
      <c r="C23" s="63" t="str">
        <f>IF(烤漆色號編碼!A22="","-",烤漆色號編碼!A22)</f>
        <v>780-9B65</v>
      </c>
      <c r="D23" s="27">
        <f>IFERROR(VLOOKUP($C23,當前庫存!$C:$I,5,FALSE),"-")</f>
        <v>0</v>
      </c>
      <c r="E23" s="27">
        <f>IFERROR(VLOOKUP($C23,當前庫存!$C:$I,4,FALSE),"-")</f>
        <v>0</v>
      </c>
      <c r="F23" s="27">
        <f>IFERROR(VLOOKUP($C23,烤漆色號編碼!$A:$D,4,FALSE)*表格3[[#This Row],[當前庫存]]+表格3[[#This Row],[欄1]],"-")</f>
        <v>0</v>
      </c>
      <c r="G23" s="63"/>
      <c r="H23" s="63"/>
      <c r="I23" s="27">
        <f>IFERROR(VLOOKUP($C23,烤漆色號編碼!$A:$D,4,FALSE)*表格3[[#This Row],[箱數]]+表格3[[#This Row],[散粉]],"-")</f>
        <v>0</v>
      </c>
      <c r="J23" s="117" t="str">
        <f>IF(I23&gt;表格3[[#This Row],[欄2]],"多粉",IF(I23&lt;表格3[[#This Row],[欄2]],"少粉","正確"))</f>
        <v>正確</v>
      </c>
      <c r="K23" s="117">
        <f>I23-表格3[[#This Row],[欄2]]</f>
        <v>0</v>
      </c>
    </row>
    <row r="24" spans="2:11" x14ac:dyDescent="0.15">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c r="H24" s="63"/>
      <c r="I24" s="27">
        <f>IFERROR(VLOOKUP($C24,烤漆色號編碼!$A:$D,4,FALSE)*表格3[[#This Row],[箱數]]+表格3[[#This Row],[散粉]],"-")</f>
        <v>0</v>
      </c>
      <c r="J24" s="117" t="str">
        <f>IF(I24&gt;表格3[[#This Row],[欄2]],"多粉",IF(I24&lt;表格3[[#This Row],[欄2]],"少粉","正確"))</f>
        <v>正確</v>
      </c>
      <c r="K24" s="117">
        <f>I24-表格3[[#This Row],[欄2]]</f>
        <v>0</v>
      </c>
    </row>
    <row r="25" spans="2:11" x14ac:dyDescent="0.15">
      <c r="B25" s="114">
        <v>23</v>
      </c>
      <c r="C25" s="63" t="str">
        <f>IF(烤漆色號編碼!A24="","-",烤漆色號編碼!A24)</f>
        <v>780-6902</v>
      </c>
      <c r="D25" s="27">
        <f>IFERROR(VLOOKUP($C25,當前庫存!$C:$I,5,FALSE),"-")</f>
        <v>2</v>
      </c>
      <c r="E25" s="27">
        <f>IFERROR(VLOOKUP($C25,當前庫存!$C:$I,4,FALSE),"-")</f>
        <v>17</v>
      </c>
      <c r="F25" s="27">
        <f>IFERROR(VLOOKUP($C25,烤漆色號編碼!$A:$D,4,FALSE)*表格3[[#This Row],[當前庫存]]+表格3[[#This Row],[欄1]],"-")</f>
        <v>67</v>
      </c>
      <c r="G25" s="63">
        <v>2</v>
      </c>
      <c r="H25" s="63">
        <v>17</v>
      </c>
      <c r="I25" s="27">
        <f>IFERROR(VLOOKUP($C25,烤漆色號編碼!$A:$D,4,FALSE)*表格3[[#This Row],[箱數]]+表格3[[#This Row],[散粉]],"-")</f>
        <v>67</v>
      </c>
      <c r="J25" s="117" t="str">
        <f>IF(I25&gt;表格3[[#This Row],[欄2]],"多粉",IF(I25&lt;表格3[[#This Row],[欄2]],"少粉","正確"))</f>
        <v>正確</v>
      </c>
      <c r="K25" s="117">
        <f>I25-表格3[[#This Row],[欄2]]</f>
        <v>0</v>
      </c>
    </row>
    <row r="26" spans="2:11" x14ac:dyDescent="0.15">
      <c r="B26" s="114">
        <v>24</v>
      </c>
      <c r="C26" s="63" t="str">
        <f>IF(烤漆色號編碼!A25="","-",烤漆色號編碼!A25)</f>
        <v>A-10067</v>
      </c>
      <c r="D26" s="27">
        <f>IFERROR(VLOOKUP($C26,當前庫存!$C:$I,5,FALSE),"-")</f>
        <v>1</v>
      </c>
      <c r="E26" s="27">
        <f>IFERROR(VLOOKUP($C26,當前庫存!$C:$I,4,FALSE),"-")</f>
        <v>72</v>
      </c>
      <c r="F26" s="27">
        <f>IFERROR(VLOOKUP($C26,烤漆色號編碼!$A:$D,4,FALSE)*表格3[[#This Row],[當前庫存]]+表格3[[#This Row],[欄1]],"-")</f>
        <v>97</v>
      </c>
      <c r="G26" s="63">
        <v>1</v>
      </c>
      <c r="H26" s="63">
        <f>26+24+22</f>
        <v>72</v>
      </c>
      <c r="I26" s="27">
        <f>IFERROR(VLOOKUP($C26,烤漆色號編碼!$A:$D,4,FALSE)*表格3[[#This Row],[箱數]]+表格3[[#This Row],[散粉]],"-")</f>
        <v>97</v>
      </c>
      <c r="J26" s="117" t="str">
        <f>IF(I26&gt;表格3[[#This Row],[欄2]],"多粉",IF(I26&lt;表格3[[#This Row],[欄2]],"少粉","正確"))</f>
        <v>正確</v>
      </c>
      <c r="K26" s="117">
        <f>I26-表格3[[#This Row],[欄2]]</f>
        <v>0</v>
      </c>
    </row>
    <row r="27" spans="2:11" x14ac:dyDescent="0.15">
      <c r="B27" s="114">
        <v>25</v>
      </c>
      <c r="C27" s="63" t="str">
        <f>IF(烤漆色號編碼!A26="","-",烤漆色號編碼!A26)</f>
        <v>4605-702A</v>
      </c>
      <c r="D27" s="27">
        <f>IFERROR(VLOOKUP($C27,當前庫存!$C:$I,5,FALSE),"-")</f>
        <v>1</v>
      </c>
      <c r="E27" s="27">
        <f>IFERROR(VLOOKUP($C27,當前庫存!$C:$I,4,FALSE),"-")</f>
        <v>3</v>
      </c>
      <c r="F27" s="27">
        <f>IFERROR(VLOOKUP($C27,烤漆色號編碼!$A:$D,4,FALSE)*表格3[[#This Row],[當前庫存]]+表格3[[#This Row],[欄1]],"-")</f>
        <v>28</v>
      </c>
      <c r="G27" s="63">
        <v>1</v>
      </c>
      <c r="H27" s="63">
        <v>3</v>
      </c>
      <c r="I27" s="27">
        <f>IFERROR(VLOOKUP($C27,烤漆色號編碼!$A:$D,4,FALSE)*表格3[[#This Row],[箱數]]+表格3[[#This Row],[散粉]],"-")</f>
        <v>28</v>
      </c>
      <c r="J27" s="117" t="str">
        <f>IF(I27&gt;表格3[[#This Row],[欄2]],"多粉",IF(I27&lt;表格3[[#This Row],[欄2]],"少粉","正確"))</f>
        <v>正確</v>
      </c>
      <c r="K27" s="117">
        <f>I27-表格3[[#This Row],[欄2]]</f>
        <v>0</v>
      </c>
    </row>
    <row r="28" spans="2:11" x14ac:dyDescent="0.15">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c r="H28" s="63">
        <v>22</v>
      </c>
      <c r="I28" s="27">
        <f>IFERROR(VLOOKUP($C28,烤漆色號編碼!$A:$D,4,FALSE)*表格3[[#This Row],[箱數]]+表格3[[#This Row],[散粉]],"-")</f>
        <v>22</v>
      </c>
      <c r="J28" s="117" t="str">
        <f>IF(I28&gt;表格3[[#This Row],[欄2]],"多粉",IF(I28&lt;表格3[[#This Row],[欄2]],"少粉","正確"))</f>
        <v>正確</v>
      </c>
      <c r="K28" s="117">
        <f>I28-表格3[[#This Row],[欄2]]</f>
        <v>0</v>
      </c>
    </row>
    <row r="29" spans="2:11" x14ac:dyDescent="0.15">
      <c r="B29" s="114">
        <v>27</v>
      </c>
      <c r="C29" s="63" t="str">
        <f>IF(烤漆色號編碼!A28="","-",烤漆色號編碼!A28)</f>
        <v>4900-149</v>
      </c>
      <c r="D29" s="27">
        <f>IFERROR(VLOOKUP($C29,當前庫存!$C:$I,5,FALSE),"-")</f>
        <v>6</v>
      </c>
      <c r="E29" s="27">
        <f>IFERROR(VLOOKUP($C29,當前庫存!$C:$I,4,FALSE),"-")</f>
        <v>15</v>
      </c>
      <c r="F29" s="27">
        <f>IFERROR(VLOOKUP($C29,烤漆色號編碼!$A:$D,4,FALSE)*表格3[[#This Row],[當前庫存]]+表格3[[#This Row],[欄1]],"-")</f>
        <v>165</v>
      </c>
      <c r="G29" s="63">
        <v>6</v>
      </c>
      <c r="H29" s="63">
        <f>14+1</f>
        <v>15</v>
      </c>
      <c r="I29" s="27">
        <f>IFERROR(VLOOKUP($C29,烤漆色號編碼!$A:$D,4,FALSE)*表格3[[#This Row],[箱數]]+表格3[[#This Row],[散粉]],"-")</f>
        <v>165</v>
      </c>
      <c r="J29" s="117" t="str">
        <f>IF(I29&gt;表格3[[#This Row],[欄2]],"多粉",IF(I29&lt;表格3[[#This Row],[欄2]],"少粉","正確"))</f>
        <v>正確</v>
      </c>
      <c r="K29" s="117">
        <f>I29-表格3[[#This Row],[欄2]]</f>
        <v>0</v>
      </c>
    </row>
    <row r="30" spans="2:11" x14ac:dyDescent="0.15">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c r="H30" s="63">
        <v>9</v>
      </c>
      <c r="I30" s="27">
        <f>IFERROR(VLOOKUP($C30,烤漆色號編碼!$A:$D,4,FALSE)*表格3[[#This Row],[箱數]]+表格3[[#This Row],[散粉]],"-")</f>
        <v>9</v>
      </c>
      <c r="J30" s="117" t="str">
        <f>IF(I30&gt;表格3[[#This Row],[欄2]],"多粉",IF(I30&lt;表格3[[#This Row],[欄2]],"少粉","正確"))</f>
        <v>正確</v>
      </c>
      <c r="K30" s="117">
        <f>I30-表格3[[#This Row],[欄2]]</f>
        <v>0</v>
      </c>
    </row>
    <row r="31" spans="2:11" x14ac:dyDescent="0.15">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c r="H31" s="63"/>
      <c r="I31" s="27">
        <f>IFERROR(VLOOKUP($C31,烤漆色號編碼!$A:$D,4,FALSE)*表格3[[#This Row],[箱數]]+表格3[[#This Row],[散粉]],"-")</f>
        <v>0</v>
      </c>
      <c r="J31" s="117" t="str">
        <f>IF(I31&gt;表格3[[#This Row],[欄2]],"多粉",IF(I31&lt;表格3[[#This Row],[欄2]],"少粉","正確"))</f>
        <v>正確</v>
      </c>
      <c r="K31" s="117">
        <f>I31-表格3[[#This Row],[欄2]]</f>
        <v>0</v>
      </c>
    </row>
    <row r="32" spans="2:11" x14ac:dyDescent="0.15">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c r="H32" s="63"/>
      <c r="I32" s="27">
        <f>IFERROR(VLOOKUP($C32,烤漆色號編碼!$A:$D,4,FALSE)*表格3[[#This Row],[箱數]]+表格3[[#This Row],[散粉]],"-")</f>
        <v>0</v>
      </c>
      <c r="J32" s="117" t="str">
        <f>IF(I32&gt;表格3[[#This Row],[欄2]],"多粉",IF(I32&lt;表格3[[#This Row],[欄2]],"少粉","正確"))</f>
        <v>正確</v>
      </c>
      <c r="K32" s="117">
        <f>I32-表格3[[#This Row],[欄2]]</f>
        <v>0</v>
      </c>
    </row>
    <row r="33" spans="2:11" x14ac:dyDescent="0.15">
      <c r="B33" s="114">
        <v>31</v>
      </c>
      <c r="C33" s="63" t="str">
        <f>IF(烤漆色號編碼!A32="","-",烤漆色號編碼!A32)</f>
        <v>BP-133S</v>
      </c>
      <c r="D33" s="27">
        <f>IFERROR(VLOOKUP($C33,當前庫存!$C:$I,5,FALSE),"-")</f>
        <v>4</v>
      </c>
      <c r="E33" s="27">
        <f>IFERROR(VLOOKUP($C33,當前庫存!$C:$I,4,FALSE),"-")</f>
        <v>9</v>
      </c>
      <c r="F33" s="27">
        <f>IFERROR(VLOOKUP($C33,烤漆色號編碼!$A:$D,4,FALSE)*表格3[[#This Row],[當前庫存]]+表格3[[#This Row],[欄1]],"-")</f>
        <v>89</v>
      </c>
      <c r="G33" s="63">
        <v>4</v>
      </c>
      <c r="H33" s="63">
        <v>9</v>
      </c>
      <c r="I33" s="27">
        <f>IFERROR(VLOOKUP($C33,烤漆色號編碼!$A:$D,4,FALSE)*表格3[[#This Row],[箱數]]+表格3[[#This Row],[散粉]],"-")</f>
        <v>89</v>
      </c>
      <c r="J33" s="117" t="str">
        <f>IF(I33&gt;表格3[[#This Row],[欄2]],"多粉",IF(I33&lt;表格3[[#This Row],[欄2]],"少粉","正確"))</f>
        <v>正確</v>
      </c>
      <c r="K33" s="117">
        <f>I33-表格3[[#This Row],[欄2]]</f>
        <v>0</v>
      </c>
    </row>
    <row r="34" spans="2:11" x14ac:dyDescent="0.15">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c r="H34" s="63">
        <v>6</v>
      </c>
      <c r="I34" s="27">
        <f>IFERROR(VLOOKUP($C34,烤漆色號編碼!$A:$D,4,FALSE)*表格3[[#This Row],[箱數]]+表格3[[#This Row],[散粉]],"-")</f>
        <v>6</v>
      </c>
      <c r="J34" s="117" t="str">
        <f>IF(I34&gt;表格3[[#This Row],[欄2]],"多粉",IF(I34&lt;表格3[[#This Row],[欄2]],"少粉","正確"))</f>
        <v>正確</v>
      </c>
      <c r="K34" s="117">
        <f>I34-表格3[[#This Row],[欄2]]</f>
        <v>0</v>
      </c>
    </row>
    <row r="35" spans="2:11" x14ac:dyDescent="0.15">
      <c r="B35" s="114">
        <v>33</v>
      </c>
      <c r="C35" s="63" t="str">
        <f>IF(烤漆色號編碼!A34="","-",烤漆色號編碼!A34)</f>
        <v>008/2H056</v>
      </c>
      <c r="D35" s="27">
        <f>IFERROR(VLOOKUP($C35,當前庫存!$C:$I,5,FALSE),"-")</f>
        <v>1</v>
      </c>
      <c r="E35" s="27">
        <f>IFERROR(VLOOKUP($C35,當前庫存!$C:$I,4,FALSE),"-")</f>
        <v>6</v>
      </c>
      <c r="F35" s="27">
        <f>IFERROR(VLOOKUP($C35,烤漆色號編碼!$A:$D,4,FALSE)*表格3[[#This Row],[當前庫存]]+表格3[[#This Row],[欄1]],"-")</f>
        <v>31</v>
      </c>
      <c r="G35" s="63">
        <v>2</v>
      </c>
      <c r="H35" s="63">
        <v>6</v>
      </c>
      <c r="I35" s="27">
        <f>IFERROR(VLOOKUP($C35,烤漆色號編碼!$A:$D,4,FALSE)*表格3[[#This Row],[箱數]]+表格3[[#This Row],[散粉]],"-")</f>
        <v>56</v>
      </c>
      <c r="J35" s="117" t="str">
        <f>IF(I35&gt;表格3[[#This Row],[欄2]],"多粉",IF(I35&lt;表格3[[#This Row],[欄2]],"少粉","正確"))</f>
        <v>多粉</v>
      </c>
      <c r="K35" s="117">
        <f>I35-表格3[[#This Row],[欄2]]</f>
        <v>25</v>
      </c>
    </row>
    <row r="36" spans="2:11" x14ac:dyDescent="0.15">
      <c r="B36" s="114">
        <v>34</v>
      </c>
      <c r="C36" s="63" t="str">
        <f>IF(烤漆色號編碼!A35="","-",烤漆色號編碼!A35)</f>
        <v>008/1H127</v>
      </c>
      <c r="D36" s="27">
        <f>IFERROR(VLOOKUP($C36,當前庫存!$C:$I,5,FALSE),"-")</f>
        <v>4</v>
      </c>
      <c r="E36" s="27">
        <f>IFERROR(VLOOKUP($C36,當前庫存!$C:$I,4,FALSE),"-")</f>
        <v>0</v>
      </c>
      <c r="F36" s="27">
        <f>IFERROR(VLOOKUP($C36,烤漆色號編碼!$A:$D,4,FALSE)*表格3[[#This Row],[當前庫存]]+表格3[[#This Row],[欄1]],"-")</f>
        <v>100</v>
      </c>
      <c r="G36" s="63">
        <v>4</v>
      </c>
      <c r="H36" s="63"/>
      <c r="I36" s="27">
        <f>IFERROR(VLOOKUP($C36,烤漆色號編碼!$A:$D,4,FALSE)*表格3[[#This Row],[箱數]]+表格3[[#This Row],[散粉]],"-")</f>
        <v>100</v>
      </c>
      <c r="J36" s="117" t="str">
        <f>IF(I36&gt;表格3[[#This Row],[欄2]],"多粉",IF(I36&lt;表格3[[#This Row],[欄2]],"少粉","正確"))</f>
        <v>正確</v>
      </c>
      <c r="K36" s="117">
        <f>I36-表格3[[#This Row],[欄2]]</f>
        <v>0</v>
      </c>
    </row>
    <row r="37" spans="2:11" x14ac:dyDescent="0.15">
      <c r="B37" s="114">
        <v>35</v>
      </c>
      <c r="C37" s="63"/>
      <c r="D37" s="63"/>
      <c r="E37" s="63" t="str">
        <f>IFERROR(VLOOKUP($C37,當前庫存!$C:$I,4,FALSE),"-")</f>
        <v>-</v>
      </c>
      <c r="F37" s="63" t="str">
        <f>IFERROR(VLOOKUP($C37,烤漆色號編碼!$A:$D,4,FALSE)*表格3[[#This Row],[當前庫存]]+表格3[[#This Row],[欄1]],"-")</f>
        <v>-</v>
      </c>
      <c r="G37" s="63"/>
      <c r="H37" s="63"/>
      <c r="I37" s="27" t="str">
        <f>IFERROR(VLOOKUP($C37,烤漆色號編碼!$A:$D,4,FALSE)*表格3[[#This Row],[箱數]]+表格3[[#This Row],[散粉]],"-")</f>
        <v>-</v>
      </c>
      <c r="J37" s="117" t="str">
        <f>IF(I37&gt;表格3[[#This Row],[欄2]],"多粉",IF(I37&lt;表格3[[#This Row],[欄2]],"少粉","正確"))</f>
        <v>正確</v>
      </c>
      <c r="K37" s="117" t="e">
        <f>I37-表格3[[#This Row],[欄2]]</f>
        <v>#VALUE!</v>
      </c>
    </row>
    <row r="38" spans="2:11" x14ac:dyDescent="0.15">
      <c r="B38" s="114">
        <v>36</v>
      </c>
      <c r="C38" s="63"/>
      <c r="D38" s="63"/>
      <c r="E38" s="63" t="str">
        <f>IFERROR(VLOOKUP($C38,當前庫存!$C:$I,4,FALSE),"-")</f>
        <v>-</v>
      </c>
      <c r="F38" s="63" t="str">
        <f>IFERROR(VLOOKUP($C38,烤漆色號編碼!$A:$D,4,FALSE)*表格3[[#This Row],[當前庫存]]+表格3[[#This Row],[欄1]],"-")</f>
        <v>-</v>
      </c>
      <c r="G38" s="63"/>
      <c r="H38" s="63"/>
      <c r="I38" s="27" t="str">
        <f>IFERROR(VLOOKUP($C38,烤漆色號編碼!$A:$D,4,FALSE)*表格3[[#This Row],[箱數]]+表格3[[#This Row],[散粉]],"-")</f>
        <v>-</v>
      </c>
      <c r="J38" s="117" t="str">
        <f>IF(I38&gt;表格3[[#This Row],[欄2]],"多粉",IF(I38&lt;表格3[[#This Row],[欄2]],"少粉","正確"))</f>
        <v>正確</v>
      </c>
      <c r="K38" s="117" t="e">
        <f>I38-表格3[[#This Row],[欄2]]</f>
        <v>#VALUE!</v>
      </c>
    </row>
    <row r="39" spans="2:11" x14ac:dyDescent="0.15">
      <c r="B39" s="114">
        <v>37</v>
      </c>
      <c r="C39" s="63"/>
      <c r="D39" s="63"/>
      <c r="E39" s="63" t="str">
        <f>IFERROR(VLOOKUP($C39,當前庫存!$C:$I,4,FALSE),"-")</f>
        <v>-</v>
      </c>
      <c r="F39" s="63" t="str">
        <f>IFERROR(VLOOKUP($C39,烤漆色號編碼!$A:$D,4,FALSE)*表格3[[#This Row],[當前庫存]]+表格3[[#This Row],[欄1]],"-")</f>
        <v>-</v>
      </c>
      <c r="G39" s="63"/>
      <c r="H39" s="63"/>
      <c r="I39" s="27" t="str">
        <f>IFERROR(VLOOKUP($C39,烤漆色號編碼!$A:$D,4,FALSE)*表格3[[#This Row],[箱數]]+表格3[[#This Row],[散粉]],"-")</f>
        <v>-</v>
      </c>
      <c r="J39" s="117" t="str">
        <f>IF(I39&gt;表格3[[#This Row],[欄2]],"多粉",IF(I39&lt;表格3[[#This Row],[欄2]],"少粉","正確"))</f>
        <v>正確</v>
      </c>
      <c r="K39" s="117" t="e">
        <f>I39-表格3[[#This Row],[欄2]]</f>
        <v>#VALUE!</v>
      </c>
    </row>
    <row r="40" spans="2:11" x14ac:dyDescent="0.15">
      <c r="B40" s="114">
        <v>38</v>
      </c>
      <c r="C40" s="63" t="s">
        <v>50</v>
      </c>
      <c r="D40" s="63">
        <f>IF(當前庫存!J41="","-",當前庫存!J41)</f>
        <v>0</v>
      </c>
      <c r="E40" s="63">
        <f>IFERROR(VLOOKUP($C40,當前庫存!$C:$I,4,FALSE),"-")</f>
        <v>0</v>
      </c>
      <c r="F40" s="63" t="str">
        <f>IFERROR(VLOOKUP($C40,烤漆色號編碼!$A:$D,4,FALSE)*表格3[[#This Row],[當前庫存]]+表格3[[#This Row],[欄1]],"-")</f>
        <v>-</v>
      </c>
      <c r="G40" s="63"/>
      <c r="H40" s="63"/>
      <c r="I40" s="27" t="str">
        <f>IFERROR(VLOOKUP($C40,烤漆色號編碼!$A:$D,4,FALSE)*表格3[[#This Row],[箱數]]+表格3[[#This Row],[散粉]],"-")</f>
        <v>-</v>
      </c>
      <c r="J40" s="117" t="str">
        <f>IF(I40&gt;表格3[[#This Row],[欄2]],"多粉",IF(I40&lt;表格3[[#This Row],[欄2]],"少粉","正確"))</f>
        <v>正確</v>
      </c>
      <c r="K40" s="117" t="e">
        <f>I40-表格3[[#This Row],[欄2]]</f>
        <v>#VALUE!</v>
      </c>
    </row>
    <row r="41" spans="2:11" x14ac:dyDescent="0.15">
      <c r="B41" s="114">
        <v>39</v>
      </c>
      <c r="C41" s="63" t="s">
        <v>50</v>
      </c>
      <c r="D41" s="63">
        <f>IF(當前庫存!J42="","-",當前庫存!J42)</f>
        <v>0</v>
      </c>
      <c r="E41" s="63">
        <f>IFERROR(VLOOKUP($C41,當前庫存!$C:$I,4,FALSE),"-")</f>
        <v>0</v>
      </c>
      <c r="F41" s="63" t="str">
        <f>IFERROR(VLOOKUP($C41,烤漆色號編碼!$A:$D,4,FALSE)*表格3[[#This Row],[當前庫存]]+表格3[[#This Row],[欄1]],"-")</f>
        <v>-</v>
      </c>
      <c r="G41" s="63"/>
      <c r="H41" s="63"/>
      <c r="I41" s="27" t="str">
        <f>IFERROR(VLOOKUP($C41,烤漆色號編碼!$A:$D,4,FALSE)*表格3[[#This Row],[箱數]]+表格3[[#This Row],[散粉]],"-")</f>
        <v>-</v>
      </c>
      <c r="J41" s="117" t="str">
        <f>IF(I41&gt;表格3[[#This Row],[欄2]],"多粉",IF(I41&lt;表格3[[#This Row],[欄2]],"少粉","正確"))</f>
        <v>正確</v>
      </c>
      <c r="K41" s="117" t="e">
        <f>I41-表格3[[#This Row],[欄2]]</f>
        <v>#VALUE!</v>
      </c>
    </row>
    <row r="42" spans="2:11" x14ac:dyDescent="0.15">
      <c r="B42" s="114">
        <v>40</v>
      </c>
      <c r="C42" s="63" t="s">
        <v>50</v>
      </c>
      <c r="D42" s="63">
        <f>IF(當前庫存!J43="","-",當前庫存!J43)</f>
        <v>0</v>
      </c>
      <c r="E42" s="63">
        <f>IFERROR(VLOOKUP($C42,當前庫存!$C:$I,4,FALSE),"-")</f>
        <v>0</v>
      </c>
      <c r="F42" s="63" t="str">
        <f>IFERROR(VLOOKUP($C42,烤漆色號編碼!$A:$D,4,FALSE)*表格3[[#This Row],[當前庫存]]+表格3[[#This Row],[欄1]],"-")</f>
        <v>-</v>
      </c>
      <c r="G42" s="63"/>
      <c r="H42" s="63"/>
      <c r="I42" s="27" t="str">
        <f>IFERROR(VLOOKUP($C42,烤漆色號編碼!$A:$D,4,FALSE)*表格3[[#This Row],[箱數]]+表格3[[#This Row],[散粉]],"-")</f>
        <v>-</v>
      </c>
      <c r="J42" s="117" t="str">
        <f>IF(I42&gt;表格3[[#This Row],[欄2]],"多粉",IF(I42&lt;表格3[[#This Row],[欄2]],"少粉","正確"))</f>
        <v>正確</v>
      </c>
      <c r="K42" s="117" t="e">
        <f>I42-表格3[[#This Row],[欄2]]</f>
        <v>#VALUE!</v>
      </c>
    </row>
    <row r="43" spans="2:11" x14ac:dyDescent="0.15">
      <c r="B43" s="114">
        <v>41</v>
      </c>
      <c r="C43" s="63" t="s">
        <v>50</v>
      </c>
      <c r="D43" s="63">
        <f>IF(當前庫存!J44="","-",當前庫存!J44)</f>
        <v>0</v>
      </c>
      <c r="E43" s="63">
        <f>IFERROR(VLOOKUP($C43,當前庫存!$C:$I,4,FALSE),"-")</f>
        <v>0</v>
      </c>
      <c r="F43" s="63" t="str">
        <f>IFERROR(VLOOKUP($C43,烤漆色號編碼!$A:$D,4,FALSE)*表格3[[#This Row],[當前庫存]]+表格3[[#This Row],[欄1]],"-")</f>
        <v>-</v>
      </c>
      <c r="G43" s="63"/>
      <c r="H43" s="63"/>
      <c r="I43" s="27" t="str">
        <f>IFERROR(VLOOKUP($C43,烤漆色號編碼!$A:$D,4,FALSE)*表格3[[#This Row],[箱數]]+表格3[[#This Row],[散粉]],"-")</f>
        <v>-</v>
      </c>
      <c r="J43" s="117" t="str">
        <f>IF(I43&gt;表格3[[#This Row],[欄2]],"多粉",IF(I43&lt;表格3[[#This Row],[欄2]],"少粉","正確"))</f>
        <v>正確</v>
      </c>
      <c r="K43" s="117" t="e">
        <f>I43-表格3[[#This Row],[欄2]]</f>
        <v>#VALUE!</v>
      </c>
    </row>
    <row r="44" spans="2:11" x14ac:dyDescent="0.15">
      <c r="B44" s="114">
        <v>42</v>
      </c>
      <c r="C44" s="63" t="s">
        <v>50</v>
      </c>
      <c r="D44" s="63">
        <f>IF(當前庫存!J45="","-",當前庫存!J45)</f>
        <v>0</v>
      </c>
      <c r="E44" s="63">
        <f>IFERROR(VLOOKUP($C44,當前庫存!$C:$I,4,FALSE),"-")</f>
        <v>0</v>
      </c>
      <c r="F44" s="63" t="str">
        <f>IFERROR(VLOOKUP($C44,烤漆色號編碼!$A:$D,4,FALSE)*表格3[[#This Row],[當前庫存]]+表格3[[#This Row],[欄1]],"-")</f>
        <v>-</v>
      </c>
      <c r="G44" s="63"/>
      <c r="H44" s="63"/>
      <c r="I44" s="27" t="str">
        <f>IFERROR(VLOOKUP($C44,烤漆色號編碼!$A:$D,4,FALSE)*表格3[[#This Row],[箱數]]+表格3[[#This Row],[散粉]],"-")</f>
        <v>-</v>
      </c>
      <c r="J44" s="117" t="str">
        <f>IF(I44&gt;表格3[[#This Row],[欄2]],"多粉",IF(I44&lt;表格3[[#This Row],[欄2]],"少粉","正確"))</f>
        <v>正確</v>
      </c>
      <c r="K44" s="117" t="e">
        <f>I44-表格3[[#This Row],[欄2]]</f>
        <v>#VALUE!</v>
      </c>
    </row>
    <row r="45" spans="2:11" x14ac:dyDescent="0.15">
      <c r="B45" s="114">
        <v>43</v>
      </c>
      <c r="C45" s="63" t="s">
        <v>50</v>
      </c>
      <c r="D45" s="63">
        <f>IF(當前庫存!J46="","-",當前庫存!J46)</f>
        <v>0</v>
      </c>
      <c r="E45" s="63">
        <f>IFERROR(VLOOKUP($C45,當前庫存!$C:$I,4,FALSE),"-")</f>
        <v>0</v>
      </c>
      <c r="F45" s="63" t="str">
        <f>IFERROR(VLOOKUP($C45,烤漆色號編碼!$A:$D,4,FALSE)*表格3[[#This Row],[當前庫存]]+表格3[[#This Row],[欄1]],"-")</f>
        <v>-</v>
      </c>
      <c r="G45" s="63"/>
      <c r="H45" s="63"/>
      <c r="I45" s="27" t="str">
        <f>IFERROR(VLOOKUP($C45,烤漆色號編碼!$A:$D,4,FALSE)*表格3[[#This Row],[箱數]]+表格3[[#This Row],[散粉]],"-")</f>
        <v>-</v>
      </c>
      <c r="J45" s="117" t="str">
        <f>IF(I45&gt;表格3[[#This Row],[欄2]],"多粉",IF(I45&lt;表格3[[#This Row],[欄2]],"少粉","正確"))</f>
        <v>正確</v>
      </c>
      <c r="K45" s="117" t="e">
        <f>I45-表格3[[#This Row],[欄2]]</f>
        <v>#VALUE!</v>
      </c>
    </row>
    <row r="46" spans="2:11" x14ac:dyDescent="0.15">
      <c r="B46" s="114">
        <v>44</v>
      </c>
      <c r="C46" s="63" t="s">
        <v>50</v>
      </c>
      <c r="D46" s="63">
        <f>IF(當前庫存!J47="","-",當前庫存!J47)</f>
        <v>0</v>
      </c>
      <c r="E46" s="63">
        <f>IFERROR(VLOOKUP($C46,當前庫存!$C:$I,4,FALSE),"-")</f>
        <v>0</v>
      </c>
      <c r="F46" s="63" t="str">
        <f>IFERROR(VLOOKUP($C46,烤漆色號編碼!$A:$D,4,FALSE)*表格3[[#This Row],[當前庫存]]+表格3[[#This Row],[欄1]],"-")</f>
        <v>-</v>
      </c>
      <c r="G46" s="63"/>
      <c r="H46" s="63"/>
      <c r="I46" s="27" t="str">
        <f>IFERROR(VLOOKUP($C46,烤漆色號編碼!$A:$D,4,FALSE)*表格3[[#This Row],[箱數]]+表格3[[#This Row],[散粉]],"-")</f>
        <v>-</v>
      </c>
      <c r="J46" s="117" t="str">
        <f>IF(I46&gt;表格3[[#This Row],[欄2]],"多粉",IF(I46&lt;表格3[[#This Row],[欄2]],"少粉","正確"))</f>
        <v>正確</v>
      </c>
      <c r="K46" s="117" t="e">
        <f>I46-表格3[[#This Row],[欄2]]</f>
        <v>#VALUE!</v>
      </c>
    </row>
    <row r="47" spans="2:11" x14ac:dyDescent="0.15">
      <c r="B47" s="114">
        <v>45</v>
      </c>
      <c r="C47" s="63" t="s">
        <v>50</v>
      </c>
      <c r="D47" s="63">
        <f>IF(當前庫存!J48="","-",當前庫存!J48)</f>
        <v>0</v>
      </c>
      <c r="E47" s="63">
        <f>IFERROR(VLOOKUP($C47,當前庫存!$C:$I,4,FALSE),"-")</f>
        <v>0</v>
      </c>
      <c r="F47" s="63" t="str">
        <f>IFERROR(VLOOKUP($C47,烤漆色號編碼!$A:$D,4,FALSE)*表格3[[#This Row],[當前庫存]]+表格3[[#This Row],[欄1]],"-")</f>
        <v>-</v>
      </c>
      <c r="G47" s="63"/>
      <c r="H47" s="63"/>
      <c r="I47" s="27" t="str">
        <f>IFERROR(VLOOKUP($C47,烤漆色號編碼!$A:$D,4,FALSE)*表格3[[#This Row],[箱數]]+表格3[[#This Row],[散粉]],"-")</f>
        <v>-</v>
      </c>
      <c r="J47" s="117" t="str">
        <f>IF(I47&gt;表格3[[#This Row],[欄2]],"多粉",IF(I47&lt;表格3[[#This Row],[欄2]],"少粉","正確"))</f>
        <v>正確</v>
      </c>
      <c r="K47" s="117" t="e">
        <f>I47-表格3[[#This Row],[欄2]]</f>
        <v>#VALUE!</v>
      </c>
    </row>
    <row r="48" spans="2:11" x14ac:dyDescent="0.15">
      <c r="B48" s="114">
        <v>46</v>
      </c>
      <c r="C48" s="63" t="s">
        <v>50</v>
      </c>
      <c r="D48" s="63">
        <f>IF(當前庫存!J49="","-",當前庫存!J49)</f>
        <v>0</v>
      </c>
      <c r="E48" s="63">
        <f>IFERROR(VLOOKUP($C48,當前庫存!$C:$I,4,FALSE),"-")</f>
        <v>0</v>
      </c>
      <c r="F48" s="63" t="str">
        <f>IFERROR(VLOOKUP($C48,烤漆色號編碼!$A:$D,4,FALSE)*表格3[[#This Row],[當前庫存]]+表格3[[#This Row],[欄1]],"-")</f>
        <v>-</v>
      </c>
      <c r="G48" s="63"/>
      <c r="H48" s="63"/>
      <c r="I48" s="27" t="str">
        <f>IFERROR(VLOOKUP($C48,烤漆色號編碼!$A:$D,4,FALSE)*表格3[[#This Row],[箱數]]+表格3[[#This Row],[散粉]],"-")</f>
        <v>-</v>
      </c>
      <c r="J48" s="117" t="str">
        <f>IF(I48&gt;表格3[[#This Row],[欄2]],"多粉",IF(I48&lt;表格3[[#This Row],[欄2]],"少粉","正確"))</f>
        <v>正確</v>
      </c>
      <c r="K48" s="117" t="e">
        <f>I48-表格3[[#This Row],[欄2]]</f>
        <v>#VALUE!</v>
      </c>
    </row>
    <row r="49" spans="2:11" x14ac:dyDescent="0.15">
      <c r="B49" s="114">
        <v>47</v>
      </c>
      <c r="C49" s="63" t="s">
        <v>50</v>
      </c>
      <c r="D49" s="63">
        <f>IF(當前庫存!J50="","-",當前庫存!J50)</f>
        <v>0</v>
      </c>
      <c r="E49" s="63">
        <f>IFERROR(VLOOKUP($C49,當前庫存!$C:$I,4,FALSE),"-")</f>
        <v>0</v>
      </c>
      <c r="F49" s="63" t="str">
        <f>IFERROR(VLOOKUP($C49,烤漆色號編碼!$A:$D,4,FALSE)*表格3[[#This Row],[當前庫存]]+表格3[[#This Row],[欄1]],"-")</f>
        <v>-</v>
      </c>
      <c r="G49" s="63"/>
      <c r="H49" s="63"/>
      <c r="I49" s="27" t="str">
        <f>IFERROR(VLOOKUP($C49,烤漆色號編碼!$A:$D,4,FALSE)*表格3[[#This Row],[箱數]]+表格3[[#This Row],[散粉]],"-")</f>
        <v>-</v>
      </c>
      <c r="J49" s="117" t="str">
        <f>IF(I49&gt;表格3[[#This Row],[欄2]],"多粉",IF(I49&lt;表格3[[#This Row],[欄2]],"少粉","正確"))</f>
        <v>正確</v>
      </c>
      <c r="K49" s="117" t="e">
        <f>I49-表格3[[#This Row],[欄2]]</f>
        <v>#VALUE!</v>
      </c>
    </row>
    <row r="50" spans="2:11" x14ac:dyDescent="0.15">
      <c r="B50" s="114">
        <v>48</v>
      </c>
      <c r="C50" s="63" t="s">
        <v>50</v>
      </c>
      <c r="D50" s="63">
        <f>IF(當前庫存!J51="","-",當前庫存!J51)</f>
        <v>0</v>
      </c>
      <c r="E50" s="63">
        <f>IFERROR(VLOOKUP($C50,當前庫存!$C:$I,4,FALSE),"-")</f>
        <v>0</v>
      </c>
      <c r="F50" s="63" t="str">
        <f>IFERROR(VLOOKUP($C50,烤漆色號編碼!$A:$D,4,FALSE)*表格3[[#This Row],[當前庫存]]+表格3[[#This Row],[欄1]],"-")</f>
        <v>-</v>
      </c>
      <c r="G50" s="63"/>
      <c r="H50" s="63"/>
      <c r="I50" s="27" t="str">
        <f>IFERROR(VLOOKUP($C50,烤漆色號編碼!$A:$D,4,FALSE)*表格3[[#This Row],[箱數]]+表格3[[#This Row],[散粉]],"-")</f>
        <v>-</v>
      </c>
      <c r="J50" s="117" t="str">
        <f>IF(I50&gt;表格3[[#This Row],[欄2]],"多粉",IF(I50&lt;表格3[[#This Row],[欄2]],"少粉","正確"))</f>
        <v>正確</v>
      </c>
      <c r="K50" s="117" t="e">
        <f>I50-表格3[[#This Row],[欄2]]</f>
        <v>#VALUE!</v>
      </c>
    </row>
    <row r="51" spans="2:11" x14ac:dyDescent="0.15">
      <c r="B51" s="114">
        <v>49</v>
      </c>
      <c r="C51" s="63" t="s">
        <v>50</v>
      </c>
      <c r="D51" s="63">
        <f>IF(當前庫存!J52="","-",當前庫存!J52)</f>
        <v>0</v>
      </c>
      <c r="E51" s="63">
        <f>IFERROR(VLOOKUP($C51,當前庫存!$C:$I,4,FALSE),"-")</f>
        <v>0</v>
      </c>
      <c r="F51" s="63" t="str">
        <f>IFERROR(VLOOKUP($C51,烤漆色號編碼!$A:$D,4,FALSE)*表格3[[#This Row],[當前庫存]]+表格3[[#This Row],[欄1]],"-")</f>
        <v>-</v>
      </c>
      <c r="G51" s="63"/>
      <c r="H51" s="63"/>
      <c r="I51" s="27" t="str">
        <f>IFERROR(VLOOKUP($C51,烤漆色號編碼!$A:$D,4,FALSE)*表格3[[#This Row],[箱數]]+表格3[[#This Row],[散粉]],"-")</f>
        <v>-</v>
      </c>
      <c r="J51" s="117" t="str">
        <f>IF(I51&gt;表格3[[#This Row],[欄2]],"多粉",IF(I51&lt;表格3[[#This Row],[欄2]],"少粉","正確"))</f>
        <v>正確</v>
      </c>
      <c r="K51" s="117" t="e">
        <f>I51-表格3[[#This Row],[欄2]]</f>
        <v>#VALUE!</v>
      </c>
    </row>
    <row r="52" spans="2:11" x14ac:dyDescent="0.15">
      <c r="B52" s="114">
        <v>50</v>
      </c>
      <c r="C52" s="63" t="s">
        <v>50</v>
      </c>
      <c r="D52" s="63">
        <f>IF(當前庫存!J53="","-",當前庫存!J53)</f>
        <v>0</v>
      </c>
      <c r="E52" s="63">
        <f>IFERROR(VLOOKUP($C52,當前庫存!$C:$I,4,FALSE),"-")</f>
        <v>0</v>
      </c>
      <c r="F52" s="63" t="str">
        <f>IFERROR(VLOOKUP($C52,烤漆色號編碼!$A:$D,4,FALSE)*表格3[[#This Row],[當前庫存]]+表格3[[#This Row],[欄1]],"-")</f>
        <v>-</v>
      </c>
      <c r="G52" s="63"/>
      <c r="H52" s="63"/>
      <c r="I52" s="27" t="str">
        <f>IFERROR(VLOOKUP($C52,烤漆色號編碼!$A:$D,4,FALSE)*表格3[[#This Row],[箱數]]+表格3[[#This Row],[散粉]],"-")</f>
        <v>-</v>
      </c>
      <c r="J52" s="117" t="str">
        <f>IF(I52&gt;表格3[[#This Row],[欄2]],"多粉",IF(I52&lt;表格3[[#This Row],[欄2]],"少粉","正確"))</f>
        <v>正確</v>
      </c>
      <c r="K52" s="117" t="e">
        <f>I52-表格3[[#This Row],[欄2]]</f>
        <v>#VALUE!</v>
      </c>
    </row>
    <row r="53" spans="2:11" x14ac:dyDescent="0.15">
      <c r="B53" s="114">
        <v>51</v>
      </c>
      <c r="C53" s="63" t="s">
        <v>50</v>
      </c>
      <c r="D53" s="63">
        <f>IF(當前庫存!J54="","-",當前庫存!J54)</f>
        <v>0</v>
      </c>
      <c r="E53" s="63">
        <f>IFERROR(VLOOKUP($C53,當前庫存!$C:$I,4,FALSE),"-")</f>
        <v>0</v>
      </c>
      <c r="F53" s="63" t="str">
        <f>IFERROR(VLOOKUP($C53,烤漆色號編碼!$A:$D,4,FALSE)*表格3[[#This Row],[當前庫存]]+表格3[[#This Row],[欄1]],"-")</f>
        <v>-</v>
      </c>
      <c r="G53" s="63"/>
      <c r="H53" s="63"/>
      <c r="I53" s="27" t="str">
        <f>IFERROR(VLOOKUP($C53,烤漆色號編碼!$A:$D,4,FALSE)*表格3[[#This Row],[箱數]]+表格3[[#This Row],[散粉]],"-")</f>
        <v>-</v>
      </c>
      <c r="J53" s="117" t="str">
        <f>IF(I53&gt;表格3[[#This Row],[欄2]],"多粉",IF(I53&lt;表格3[[#This Row],[欄2]],"少粉","正確"))</f>
        <v>正確</v>
      </c>
      <c r="K53" s="117" t="e">
        <f>I53-表格3[[#This Row],[欄2]]</f>
        <v>#VALUE!</v>
      </c>
    </row>
    <row r="54" spans="2:11" x14ac:dyDescent="0.15">
      <c r="B54" s="114">
        <v>52</v>
      </c>
      <c r="C54" s="63" t="s">
        <v>50</v>
      </c>
      <c r="D54" s="63">
        <f>IF(當前庫存!J55="","-",當前庫存!J55)</f>
        <v>0</v>
      </c>
      <c r="E54" s="63">
        <f>IFERROR(VLOOKUP($C54,當前庫存!$C:$I,4,FALSE),"-")</f>
        <v>0</v>
      </c>
      <c r="F54" s="63" t="str">
        <f>IFERROR(VLOOKUP($C54,烤漆色號編碼!$A:$D,4,FALSE)*表格3[[#This Row],[當前庫存]]+表格3[[#This Row],[欄1]],"-")</f>
        <v>-</v>
      </c>
      <c r="G54" s="63"/>
      <c r="H54" s="63"/>
      <c r="I54" s="27" t="str">
        <f>IFERROR(VLOOKUP($C54,烤漆色號編碼!$A:$D,4,FALSE)*表格3[[#This Row],[箱數]]+表格3[[#This Row],[散粉]],"-")</f>
        <v>-</v>
      </c>
      <c r="J54" s="117" t="str">
        <f>IF(I54&gt;表格3[[#This Row],[欄2]],"多粉",IF(I54&lt;表格3[[#This Row],[欄2]],"少粉","正確"))</f>
        <v>正確</v>
      </c>
      <c r="K54" s="117" t="e">
        <f>I54-表格3[[#This Row],[欄2]]</f>
        <v>#VALUE!</v>
      </c>
    </row>
    <row r="55" spans="2:11" x14ac:dyDescent="0.15">
      <c r="B55" s="114">
        <v>53</v>
      </c>
      <c r="C55" s="63" t="s">
        <v>50</v>
      </c>
      <c r="D55" s="63">
        <f>IF(當前庫存!J56="","-",當前庫存!J56)</f>
        <v>0</v>
      </c>
      <c r="E55" s="63">
        <f>IFERROR(VLOOKUP($C55,當前庫存!$C:$I,4,FALSE),"-")</f>
        <v>0</v>
      </c>
      <c r="F55" s="63" t="str">
        <f>IFERROR(VLOOKUP($C55,烤漆色號編碼!$A:$D,4,FALSE)*表格3[[#This Row],[當前庫存]]+表格3[[#This Row],[欄1]],"-")</f>
        <v>-</v>
      </c>
      <c r="G55" s="63"/>
      <c r="H55" s="63"/>
      <c r="I55" s="27" t="str">
        <f>IFERROR(VLOOKUP($C55,烤漆色號編碼!$A:$D,4,FALSE)*表格3[[#This Row],[箱數]]+表格3[[#This Row],[散粉]],"-")</f>
        <v>-</v>
      </c>
      <c r="J55" s="117" t="str">
        <f>IF(I55&gt;表格3[[#This Row],[欄2]],"多粉",IF(I55&lt;表格3[[#This Row],[欄2]],"少粉","正確"))</f>
        <v>正確</v>
      </c>
      <c r="K55" s="117" t="e">
        <f>I55-表格3[[#This Row],[欄2]]</f>
        <v>#VALUE!</v>
      </c>
    </row>
    <row r="56" spans="2:11" x14ac:dyDescent="0.15">
      <c r="B56" s="114">
        <v>54</v>
      </c>
      <c r="C56" s="63" t="s">
        <v>50</v>
      </c>
      <c r="D56" s="63">
        <f>IF(當前庫存!J57="","-",當前庫存!J57)</f>
        <v>0</v>
      </c>
      <c r="E56" s="63">
        <f>IFERROR(VLOOKUP($C56,當前庫存!$C:$I,4,FALSE),"-")</f>
        <v>0</v>
      </c>
      <c r="F56" s="63" t="str">
        <f>IFERROR(VLOOKUP($C56,烤漆色號編碼!$A:$D,4,FALSE)*表格3[[#This Row],[當前庫存]]+表格3[[#This Row],[欄1]],"-")</f>
        <v>-</v>
      </c>
      <c r="G56" s="63"/>
      <c r="H56" s="63"/>
      <c r="I56" s="27" t="str">
        <f>IFERROR(VLOOKUP($C56,烤漆色號編碼!$A:$D,4,FALSE)*表格3[[#This Row],[箱數]]+表格3[[#This Row],[散粉]],"-")</f>
        <v>-</v>
      </c>
      <c r="J56" s="117" t="str">
        <f>IF(I56&gt;表格3[[#This Row],[欄2]],"多粉",IF(I56&lt;表格3[[#This Row],[欄2]],"少粉","正確"))</f>
        <v>正確</v>
      </c>
      <c r="K56" s="117" t="e">
        <f>I56-表格3[[#This Row],[欄2]]</f>
        <v>#VALUE!</v>
      </c>
    </row>
    <row r="57" spans="2:11" x14ac:dyDescent="0.15">
      <c r="B57" s="114">
        <v>55</v>
      </c>
      <c r="C57" s="63" t="s">
        <v>50</v>
      </c>
      <c r="D57" s="63">
        <f>IF(當前庫存!J58="","-",當前庫存!J58)</f>
        <v>0</v>
      </c>
      <c r="E57" s="63">
        <f>IFERROR(VLOOKUP($C57,當前庫存!$C:$I,4,FALSE),"-")</f>
        <v>0</v>
      </c>
      <c r="F57" s="63" t="str">
        <f>IFERROR(VLOOKUP($C57,烤漆色號編碼!$A:$D,4,FALSE)*表格3[[#This Row],[當前庫存]]+表格3[[#This Row],[欄1]],"-")</f>
        <v>-</v>
      </c>
      <c r="G57" s="63"/>
      <c r="H57" s="63"/>
      <c r="I57" s="27" t="str">
        <f>IFERROR(VLOOKUP($C57,烤漆色號編碼!$A:$D,4,FALSE)*表格3[[#This Row],[箱數]]+表格3[[#This Row],[散粉]],"-")</f>
        <v>-</v>
      </c>
      <c r="J57" s="117" t="str">
        <f>IF(I57&gt;表格3[[#This Row],[欄2]],"多粉",IF(I57&lt;表格3[[#This Row],[欄2]],"少粉","正確"))</f>
        <v>正確</v>
      </c>
      <c r="K57" s="117" t="e">
        <f>I57-表格3[[#This Row],[欄2]]</f>
        <v>#VALUE!</v>
      </c>
    </row>
    <row r="58" spans="2:11" x14ac:dyDescent="0.15">
      <c r="B58" s="114">
        <v>56</v>
      </c>
      <c r="C58" s="63" t="s">
        <v>50</v>
      </c>
      <c r="D58" s="63">
        <f>IF(當前庫存!J59="","-",當前庫存!J59)</f>
        <v>0</v>
      </c>
      <c r="E58" s="63">
        <f>IFERROR(VLOOKUP($C58,當前庫存!$C:$I,4,FALSE),"-")</f>
        <v>0</v>
      </c>
      <c r="F58" s="63" t="str">
        <f>IFERROR(VLOOKUP($C58,烤漆色號編碼!$A:$D,4,FALSE)*表格3[[#This Row],[當前庫存]]+表格3[[#This Row],[欄1]],"-")</f>
        <v>-</v>
      </c>
      <c r="G58" s="63"/>
      <c r="H58" s="63"/>
      <c r="I58" s="27" t="str">
        <f>IFERROR(VLOOKUP($C58,烤漆色號編碼!$A:$D,4,FALSE)*表格3[[#This Row],[箱數]]+表格3[[#This Row],[散粉]],"-")</f>
        <v>-</v>
      </c>
      <c r="J58" s="117" t="str">
        <f>IF(I58&gt;表格3[[#This Row],[欄2]],"多粉",IF(I58&lt;表格3[[#This Row],[欄2]],"少粉","正確"))</f>
        <v>正確</v>
      </c>
      <c r="K58" s="117" t="e">
        <f>I58-表格3[[#This Row],[欄2]]</f>
        <v>#VALUE!</v>
      </c>
    </row>
    <row r="59" spans="2:11" x14ac:dyDescent="0.15">
      <c r="B59" s="114">
        <v>57</v>
      </c>
      <c r="C59" s="63" t="s">
        <v>50</v>
      </c>
      <c r="D59" s="63">
        <f>IF(當前庫存!J60="","-",當前庫存!J60)</f>
        <v>0</v>
      </c>
      <c r="E59" s="63">
        <f>IFERROR(VLOOKUP($C59,當前庫存!$C:$I,4,FALSE),"-")</f>
        <v>0</v>
      </c>
      <c r="F59" s="63" t="str">
        <f>IFERROR(VLOOKUP($C59,烤漆色號編碼!$A:$D,4,FALSE)*表格3[[#This Row],[當前庫存]]+表格3[[#This Row],[欄1]],"-")</f>
        <v>-</v>
      </c>
      <c r="G59" s="63"/>
      <c r="H59" s="63"/>
      <c r="I59" s="27" t="str">
        <f>IFERROR(VLOOKUP($C59,烤漆色號編碼!$A:$D,4,FALSE)*表格3[[#This Row],[箱數]]+表格3[[#This Row],[散粉]],"-")</f>
        <v>-</v>
      </c>
      <c r="J59" s="117" t="str">
        <f>IF(I59&gt;表格3[[#This Row],[欄2]],"多粉",IF(I59&lt;表格3[[#This Row],[欄2]],"少粉","正確"))</f>
        <v>正確</v>
      </c>
      <c r="K59" s="117" t="e">
        <f>I59-表格3[[#This Row],[欄2]]</f>
        <v>#VALUE!</v>
      </c>
    </row>
    <row r="60" spans="2:11" x14ac:dyDescent="0.15">
      <c r="B60" s="114">
        <v>58</v>
      </c>
      <c r="C60" s="63" t="s">
        <v>50</v>
      </c>
      <c r="D60" s="63">
        <f>IF(當前庫存!J61="","-",當前庫存!J61)</f>
        <v>0</v>
      </c>
      <c r="E60" s="63">
        <f>IFERROR(VLOOKUP($C60,當前庫存!$C:$I,4,FALSE),"-")</f>
        <v>0</v>
      </c>
      <c r="F60" s="63" t="str">
        <f>IFERROR(VLOOKUP($C60,烤漆色號編碼!$A:$D,4,FALSE)*表格3[[#This Row],[當前庫存]]+表格3[[#This Row],[欄1]],"-")</f>
        <v>-</v>
      </c>
      <c r="G60" s="63"/>
      <c r="H60" s="63"/>
      <c r="I60" s="27" t="str">
        <f>IFERROR(VLOOKUP($C60,烤漆色號編碼!$A:$D,4,FALSE)*表格3[[#This Row],[箱數]]+表格3[[#This Row],[散粉]],"-")</f>
        <v>-</v>
      </c>
      <c r="J60" s="117" t="str">
        <f>IF(I60&gt;表格3[[#This Row],[欄2]],"多粉",IF(I60&lt;表格3[[#This Row],[欄2]],"少粉","正確"))</f>
        <v>正確</v>
      </c>
      <c r="K60" s="117" t="e">
        <f>I60-表格3[[#This Row],[欄2]]</f>
        <v>#VALUE!</v>
      </c>
    </row>
    <row r="61" spans="2:11" x14ac:dyDescent="0.15">
      <c r="B61" s="114">
        <v>59</v>
      </c>
      <c r="C61" s="63" t="s">
        <v>50</v>
      </c>
      <c r="D61" s="63">
        <f>IF(當前庫存!J62="","-",當前庫存!J62)</f>
        <v>0</v>
      </c>
      <c r="E61" s="63">
        <f>IFERROR(VLOOKUP($C61,當前庫存!$C:$I,4,FALSE),"-")</f>
        <v>0</v>
      </c>
      <c r="F61" s="63" t="str">
        <f>IFERROR(VLOOKUP($C61,烤漆色號編碼!$A:$D,4,FALSE)*表格3[[#This Row],[當前庫存]]+表格3[[#This Row],[欄1]],"-")</f>
        <v>-</v>
      </c>
      <c r="G61" s="63"/>
      <c r="H61" s="63"/>
      <c r="I61" s="27" t="str">
        <f>IFERROR(VLOOKUP($C61,烤漆色號編碼!$A:$D,4,FALSE)*表格3[[#This Row],[箱數]]+表格3[[#This Row],[散粉]],"-")</f>
        <v>-</v>
      </c>
      <c r="J61" s="117" t="str">
        <f>IF(I61&gt;表格3[[#This Row],[欄2]],"多粉",IF(I61&lt;表格3[[#This Row],[欄2]],"少粉","正確"))</f>
        <v>正確</v>
      </c>
      <c r="K61" s="117" t="e">
        <f>I61-表格3[[#This Row],[欄2]]</f>
        <v>#VALUE!</v>
      </c>
    </row>
    <row r="62" spans="2:11" x14ac:dyDescent="0.15">
      <c r="B62" s="114">
        <v>60</v>
      </c>
      <c r="C62" s="63" t="s">
        <v>50</v>
      </c>
      <c r="D62" s="63">
        <f>IF(當前庫存!J63="","-",當前庫存!J63)</f>
        <v>0</v>
      </c>
      <c r="E62" s="63">
        <f>IFERROR(VLOOKUP($C62,當前庫存!$C:$I,4,FALSE),"-")</f>
        <v>0</v>
      </c>
      <c r="F62" s="63" t="str">
        <f>IFERROR(VLOOKUP($C62,烤漆色號編碼!$A:$D,4,FALSE)*表格3[[#This Row],[當前庫存]]+表格3[[#This Row],[欄1]],"-")</f>
        <v>-</v>
      </c>
      <c r="G62" s="63"/>
      <c r="H62" s="63"/>
      <c r="I62" s="27" t="str">
        <f>IFERROR(VLOOKUP($C62,烤漆色號編碼!$A:$D,4,FALSE)*表格3[[#This Row],[箱數]]+表格3[[#This Row],[散粉]],"-")</f>
        <v>-</v>
      </c>
      <c r="J62" s="117" t="str">
        <f>IF(I62&gt;表格3[[#This Row],[欄2]],"多粉",IF(I62&lt;表格3[[#This Row],[欄2]],"少粉","正確"))</f>
        <v>正確</v>
      </c>
      <c r="K62" s="117" t="e">
        <f>I62-表格3[[#This Row],[欄2]]</f>
        <v>#VALUE!</v>
      </c>
    </row>
    <row r="63" spans="2:11" x14ac:dyDescent="0.15">
      <c r="B63" s="114">
        <v>61</v>
      </c>
      <c r="C63" s="63" t="s">
        <v>50</v>
      </c>
      <c r="D63" s="63">
        <f>IF(當前庫存!J64="","-",當前庫存!J64)</f>
        <v>0</v>
      </c>
      <c r="E63" s="63">
        <f>IFERROR(VLOOKUP($C63,當前庫存!$C:$I,4,FALSE),"-")</f>
        <v>0</v>
      </c>
      <c r="F63" s="63" t="str">
        <f>IFERROR(VLOOKUP($C63,烤漆色號編碼!$A:$D,4,FALSE)*表格3[[#This Row],[當前庫存]]+表格3[[#This Row],[欄1]],"-")</f>
        <v>-</v>
      </c>
      <c r="G63" s="63"/>
      <c r="H63" s="63"/>
      <c r="I63" s="27" t="str">
        <f>IFERROR(VLOOKUP($C63,烤漆色號編碼!$A:$D,4,FALSE)*表格3[[#This Row],[箱數]]+表格3[[#This Row],[散粉]],"-")</f>
        <v>-</v>
      </c>
      <c r="J63" s="117" t="str">
        <f>IF(I63&gt;表格3[[#This Row],[欄2]],"多粉",IF(I63&lt;表格3[[#This Row],[欄2]],"少粉","正確"))</f>
        <v>正確</v>
      </c>
      <c r="K63" s="117" t="e">
        <f>I63-表格3[[#This Row],[欄2]]</f>
        <v>#VALUE!</v>
      </c>
    </row>
    <row r="64" spans="2:11" x14ac:dyDescent="0.15">
      <c r="B64" s="114">
        <v>62</v>
      </c>
      <c r="C64" s="63" t="s">
        <v>50</v>
      </c>
      <c r="D64" s="63">
        <f>IF(當前庫存!J65="","-",當前庫存!J65)</f>
        <v>0</v>
      </c>
      <c r="E64" s="63">
        <f>IFERROR(VLOOKUP($C64,當前庫存!$C:$I,4,FALSE),"-")</f>
        <v>0</v>
      </c>
      <c r="F64" s="63" t="str">
        <f>IFERROR(VLOOKUP($C64,烤漆色號編碼!$A:$D,4,FALSE)*表格3[[#This Row],[當前庫存]]+表格3[[#This Row],[欄1]],"-")</f>
        <v>-</v>
      </c>
      <c r="G64" s="63"/>
      <c r="H64" s="63"/>
      <c r="I64" s="27" t="str">
        <f>IFERROR(VLOOKUP($C64,烤漆色號編碼!$A:$D,4,FALSE)*表格3[[#This Row],[箱數]]+表格3[[#This Row],[散粉]],"-")</f>
        <v>-</v>
      </c>
      <c r="J64" s="117" t="str">
        <f>IF(I64&gt;表格3[[#This Row],[欄2]],"多粉",IF(I64&lt;表格3[[#This Row],[欄2]],"少粉","正確"))</f>
        <v>正確</v>
      </c>
      <c r="K64" s="117" t="e">
        <f>I64-表格3[[#This Row],[欄2]]</f>
        <v>#VALUE!</v>
      </c>
    </row>
    <row r="65" spans="2:11" x14ac:dyDescent="0.15">
      <c r="B65" s="114">
        <v>63</v>
      </c>
      <c r="C65" s="63" t="s">
        <v>50</v>
      </c>
      <c r="D65" s="63">
        <f>IF(當前庫存!J66="","-",當前庫存!J66)</f>
        <v>0</v>
      </c>
      <c r="E65" s="63">
        <f>IFERROR(VLOOKUP($C65,當前庫存!$C:$I,4,FALSE),"-")</f>
        <v>0</v>
      </c>
      <c r="F65" s="63" t="str">
        <f>IFERROR(VLOOKUP($C65,烤漆色號編碼!$A:$D,4,FALSE)*表格3[[#This Row],[當前庫存]]+表格3[[#This Row],[欄1]],"-")</f>
        <v>-</v>
      </c>
      <c r="G65" s="63"/>
      <c r="H65" s="63"/>
      <c r="I65" s="27" t="str">
        <f>IFERROR(VLOOKUP($C65,烤漆色號編碼!$A:$D,4,FALSE)*表格3[[#This Row],[箱數]]+表格3[[#This Row],[散粉]],"-")</f>
        <v>-</v>
      </c>
      <c r="J65" s="117" t="str">
        <f>IF(I65&gt;表格3[[#This Row],[欄2]],"多粉",IF(I65&lt;表格3[[#This Row],[欄2]],"少粉","正確"))</f>
        <v>正確</v>
      </c>
      <c r="K65" s="117" t="e">
        <f>I65-表格3[[#This Row],[欄2]]</f>
        <v>#VALUE!</v>
      </c>
    </row>
    <row r="66" spans="2:11" x14ac:dyDescent="0.15">
      <c r="B66" s="114">
        <v>64</v>
      </c>
      <c r="C66" s="63" t="s">
        <v>50</v>
      </c>
      <c r="D66" s="63">
        <f>IF(當前庫存!J67="","-",當前庫存!J67)</f>
        <v>0</v>
      </c>
      <c r="E66" s="63">
        <f>IFERROR(VLOOKUP($C66,當前庫存!$C:$I,4,FALSE),"-")</f>
        <v>0</v>
      </c>
      <c r="F66" s="63" t="str">
        <f>IFERROR(VLOOKUP($C66,烤漆色號編碼!$A:$D,4,FALSE)*表格3[[#This Row],[當前庫存]]+表格3[[#This Row],[欄1]],"-")</f>
        <v>-</v>
      </c>
      <c r="G66" s="63"/>
      <c r="H66" s="63"/>
      <c r="I66" s="27" t="str">
        <f>IFERROR(VLOOKUP($C66,烤漆色號編碼!$A:$D,4,FALSE)*表格3[[#This Row],[箱數]]+表格3[[#This Row],[散粉]],"-")</f>
        <v>-</v>
      </c>
      <c r="J66" s="117" t="str">
        <f>IF(I66&gt;表格3[[#This Row],[欄2]],"多粉",IF(I66&lt;表格3[[#This Row],[欄2]],"少粉","正確"))</f>
        <v>正確</v>
      </c>
      <c r="K66" s="117" t="e">
        <f>I66-表格3[[#This Row],[欄2]]</f>
        <v>#VALUE!</v>
      </c>
    </row>
    <row r="67" spans="2:11" x14ac:dyDescent="0.15">
      <c r="B67" s="114">
        <v>65</v>
      </c>
      <c r="C67" s="63" t="s">
        <v>50</v>
      </c>
      <c r="D67" s="63">
        <f>IF(當前庫存!J68="","-",當前庫存!J68)</f>
        <v>0</v>
      </c>
      <c r="E67" s="63">
        <f>IFERROR(VLOOKUP($C67,當前庫存!$C:$I,4,FALSE),"-")</f>
        <v>0</v>
      </c>
      <c r="F67" s="63" t="str">
        <f>IFERROR(VLOOKUP($C67,烤漆色號編碼!$A:$D,4,FALSE)*表格3[[#This Row],[當前庫存]]+表格3[[#This Row],[欄1]],"-")</f>
        <v>-</v>
      </c>
      <c r="G67" s="63"/>
      <c r="H67" s="63"/>
      <c r="I67" s="27" t="str">
        <f>IFERROR(VLOOKUP($C67,烤漆色號編碼!$A:$D,4,FALSE)*表格3[[#This Row],[箱數]]+表格3[[#This Row],[散粉]],"-")</f>
        <v>-</v>
      </c>
      <c r="J67" s="117" t="str">
        <f>IF(I67&gt;表格3[[#This Row],[欄2]],"多粉",IF(I67&lt;表格3[[#This Row],[欄2]],"少粉","正確"))</f>
        <v>正確</v>
      </c>
      <c r="K67" s="117" t="e">
        <f>I67-表格3[[#This Row],[欄2]]</f>
        <v>#VALUE!</v>
      </c>
    </row>
    <row r="68" spans="2:11" x14ac:dyDescent="0.15">
      <c r="B68" s="114">
        <v>66</v>
      </c>
      <c r="C68" s="63" t="s">
        <v>50</v>
      </c>
      <c r="D68" s="63">
        <f>IF(當前庫存!J69="","-",當前庫存!J69)</f>
        <v>0</v>
      </c>
      <c r="E68" s="63">
        <f>IFERROR(VLOOKUP($C68,當前庫存!$C:$I,4,FALSE),"-")</f>
        <v>0</v>
      </c>
      <c r="F68" s="63" t="str">
        <f>IFERROR(VLOOKUP($C68,烤漆色號編碼!$A:$D,4,FALSE)*表格3[[#This Row],[當前庫存]]+表格3[[#This Row],[欄1]],"-")</f>
        <v>-</v>
      </c>
      <c r="G68" s="63"/>
      <c r="H68" s="63"/>
      <c r="I68" s="27" t="str">
        <f>IFERROR(VLOOKUP($C68,烤漆色號編碼!$A:$D,4,FALSE)*表格3[[#This Row],[箱數]]+表格3[[#This Row],[散粉]],"-")</f>
        <v>-</v>
      </c>
      <c r="J68" s="117" t="str">
        <f>IF(I68&gt;表格3[[#This Row],[欄2]],"多粉",IF(I68&lt;表格3[[#This Row],[欄2]],"少粉","正確"))</f>
        <v>正確</v>
      </c>
      <c r="K68" s="117" t="e">
        <f>I68-表格3[[#This Row],[欄2]]</f>
        <v>#VALUE!</v>
      </c>
    </row>
    <row r="69" spans="2:11" x14ac:dyDescent="0.15">
      <c r="B69" s="114">
        <v>67</v>
      </c>
      <c r="C69" s="63" t="s">
        <v>50</v>
      </c>
      <c r="D69" s="63">
        <f>IF(當前庫存!J70="","-",當前庫存!J70)</f>
        <v>0</v>
      </c>
      <c r="E69" s="63">
        <f>IFERROR(VLOOKUP($C69,當前庫存!$C:$I,4,FALSE),"-")</f>
        <v>0</v>
      </c>
      <c r="F69" s="63" t="str">
        <f>IFERROR(VLOOKUP($C69,烤漆色號編碼!$A:$D,4,FALSE)*表格3[[#This Row],[當前庫存]]+表格3[[#This Row],[欄1]],"-")</f>
        <v>-</v>
      </c>
      <c r="G69" s="63"/>
      <c r="H69" s="63"/>
      <c r="I69" s="27" t="str">
        <f>IFERROR(VLOOKUP($C69,烤漆色號編碼!$A:$D,4,FALSE)*表格3[[#This Row],[箱數]]+表格3[[#This Row],[散粉]],"-")</f>
        <v>-</v>
      </c>
      <c r="J69" s="117" t="str">
        <f>IF(I69&gt;表格3[[#This Row],[欄2]],"多粉",IF(I69&lt;表格3[[#This Row],[欄2]],"少粉","正確"))</f>
        <v>正確</v>
      </c>
      <c r="K69" s="117" t="e">
        <f>I69-表格3[[#This Row],[欄2]]</f>
        <v>#VALUE!</v>
      </c>
    </row>
    <row r="70" spans="2:11" x14ac:dyDescent="0.15">
      <c r="B70" s="114">
        <v>68</v>
      </c>
      <c r="C70" s="63" t="s">
        <v>50</v>
      </c>
      <c r="D70" s="63">
        <f>IF(當前庫存!J71="","-",當前庫存!J71)</f>
        <v>0</v>
      </c>
      <c r="E70" s="63">
        <f>IFERROR(VLOOKUP($C70,當前庫存!$C:$I,4,FALSE),"-")</f>
        <v>0</v>
      </c>
      <c r="F70" s="63" t="str">
        <f>IFERROR(VLOOKUP($C70,烤漆色號編碼!$A:$D,4,FALSE)*表格3[[#This Row],[當前庫存]]+表格3[[#This Row],[欄1]],"-")</f>
        <v>-</v>
      </c>
      <c r="G70" s="63"/>
      <c r="H70" s="63"/>
      <c r="I70" s="27" t="str">
        <f>IFERROR(VLOOKUP($C70,烤漆色號編碼!$A:$D,4,FALSE)*表格3[[#This Row],[箱數]]+表格3[[#This Row],[散粉]],"-")</f>
        <v>-</v>
      </c>
      <c r="J70" s="117" t="str">
        <f>IF(I70&gt;表格3[[#This Row],[欄2]],"多粉",IF(I70&lt;表格3[[#This Row],[欄2]],"少粉","正確"))</f>
        <v>正確</v>
      </c>
      <c r="K70" s="117" t="e">
        <f>I70-表格3[[#This Row],[欄2]]</f>
        <v>#VALUE!</v>
      </c>
    </row>
    <row r="71" spans="2:11" x14ac:dyDescent="0.15">
      <c r="B71" s="114">
        <v>69</v>
      </c>
      <c r="C71" s="63" t="s">
        <v>50</v>
      </c>
      <c r="D71" s="63">
        <f>IF(當前庫存!J72="","-",當前庫存!J72)</f>
        <v>0</v>
      </c>
      <c r="E71" s="63">
        <f>IFERROR(VLOOKUP($C71,當前庫存!$C:$I,4,FALSE),"-")</f>
        <v>0</v>
      </c>
      <c r="F71" s="63" t="str">
        <f>IFERROR(VLOOKUP($C71,烤漆色號編碼!$A:$D,4,FALSE)*表格3[[#This Row],[當前庫存]]+表格3[[#This Row],[欄1]],"-")</f>
        <v>-</v>
      </c>
      <c r="G71" s="63"/>
      <c r="H71" s="63"/>
      <c r="I71" s="27" t="str">
        <f>IFERROR(VLOOKUP($C71,烤漆色號編碼!$A:$D,4,FALSE)*表格3[[#This Row],[箱數]]+表格3[[#This Row],[散粉]],"-")</f>
        <v>-</v>
      </c>
      <c r="J71" s="117" t="str">
        <f>IF(I71&gt;表格3[[#This Row],[欄2]],"多粉",IF(I71&lt;表格3[[#This Row],[欄2]],"少粉","正確"))</f>
        <v>正確</v>
      </c>
      <c r="K71" s="117" t="e">
        <f>I71-表格3[[#This Row],[欄2]]</f>
        <v>#VALUE!</v>
      </c>
    </row>
    <row r="72" spans="2:11" x14ac:dyDescent="0.15">
      <c r="B72" s="114">
        <v>70</v>
      </c>
      <c r="C72" s="63" t="s">
        <v>50</v>
      </c>
      <c r="D72" s="63">
        <f>IF(當前庫存!J73="","-",當前庫存!J73)</f>
        <v>0</v>
      </c>
      <c r="E72" s="63">
        <f>IFERROR(VLOOKUP($C72,當前庫存!$C:$I,4,FALSE),"-")</f>
        <v>0</v>
      </c>
      <c r="F72" s="63" t="str">
        <f>IFERROR(VLOOKUP($C72,烤漆色號編碼!$A:$D,4,FALSE)*表格3[[#This Row],[當前庫存]]+表格3[[#This Row],[欄1]],"-")</f>
        <v>-</v>
      </c>
      <c r="G72" s="63"/>
      <c r="H72" s="63"/>
      <c r="I72" s="27" t="str">
        <f>IFERROR(VLOOKUP($C72,烤漆色號編碼!$A:$D,4,FALSE)*表格3[[#This Row],[箱數]]+表格3[[#This Row],[散粉]],"-")</f>
        <v>-</v>
      </c>
      <c r="J72" s="117" t="str">
        <f>IF(I72&gt;表格3[[#This Row],[欄2]],"多粉",IF(I72&lt;表格3[[#This Row],[欄2]],"少粉","正確"))</f>
        <v>正確</v>
      </c>
      <c r="K72" s="117" t="e">
        <f>I72-表格3[[#This Row],[欄2]]</f>
        <v>#VALUE!</v>
      </c>
    </row>
    <row r="73" spans="2:11" x14ac:dyDescent="0.15">
      <c r="B73" s="114">
        <v>71</v>
      </c>
      <c r="C73" s="63" t="s">
        <v>50</v>
      </c>
      <c r="D73" s="63">
        <f>IF(當前庫存!J74="","-",當前庫存!J74)</f>
        <v>0</v>
      </c>
      <c r="E73" s="63">
        <f>IFERROR(VLOOKUP($C73,當前庫存!$C:$I,4,FALSE),"-")</f>
        <v>0</v>
      </c>
      <c r="F73" s="63" t="str">
        <f>IFERROR(VLOOKUP($C73,烤漆色號編碼!$A:$D,4,FALSE)*表格3[[#This Row],[當前庫存]]+表格3[[#This Row],[欄1]],"-")</f>
        <v>-</v>
      </c>
      <c r="G73" s="63"/>
      <c r="H73" s="63"/>
      <c r="I73" s="27" t="str">
        <f>IFERROR(VLOOKUP($C73,烤漆色號編碼!$A:$D,4,FALSE)*表格3[[#This Row],[箱數]]+表格3[[#This Row],[散粉]],"-")</f>
        <v>-</v>
      </c>
      <c r="J73" s="117" t="str">
        <f>IF(I73&gt;表格3[[#This Row],[欄2]],"多粉",IF(I73&lt;表格3[[#This Row],[欄2]],"少粉","正確"))</f>
        <v>正確</v>
      </c>
      <c r="K73" s="117" t="e">
        <f>I73-表格3[[#This Row],[欄2]]</f>
        <v>#VALUE!</v>
      </c>
    </row>
    <row r="74" spans="2:11" x14ac:dyDescent="0.15">
      <c r="B74" s="114">
        <v>72</v>
      </c>
      <c r="C74" s="63" t="s">
        <v>50</v>
      </c>
      <c r="D74" s="63">
        <f>IF(當前庫存!J75="","-",當前庫存!J75)</f>
        <v>0</v>
      </c>
      <c r="E74" s="63">
        <f>IFERROR(VLOOKUP($C74,當前庫存!$C:$I,4,FALSE),"-")</f>
        <v>0</v>
      </c>
      <c r="F74" s="63" t="str">
        <f>IFERROR(VLOOKUP($C74,烤漆色號編碼!$A:$D,4,FALSE)*表格3[[#This Row],[當前庫存]]+表格3[[#This Row],[欄1]],"-")</f>
        <v>-</v>
      </c>
      <c r="G74" s="63"/>
      <c r="H74" s="63"/>
      <c r="I74" s="27" t="str">
        <f>IFERROR(VLOOKUP($C74,烤漆色號編碼!$A:$D,4,FALSE)*表格3[[#This Row],[箱數]]+表格3[[#This Row],[散粉]],"-")</f>
        <v>-</v>
      </c>
      <c r="J74" s="117" t="str">
        <f>IF(I74&gt;表格3[[#This Row],[欄2]],"多粉",IF(I74&lt;表格3[[#This Row],[欄2]],"少粉","正確"))</f>
        <v>正確</v>
      </c>
      <c r="K74" s="117" t="e">
        <f>I74-表格3[[#This Row],[欄2]]</f>
        <v>#VALUE!</v>
      </c>
    </row>
    <row r="75" spans="2:11" x14ac:dyDescent="0.15">
      <c r="B75" s="114">
        <v>73</v>
      </c>
      <c r="C75" s="63" t="s">
        <v>50</v>
      </c>
      <c r="D75" s="63">
        <f>IF(當前庫存!J76="","-",當前庫存!J76)</f>
        <v>0</v>
      </c>
      <c r="E75" s="63">
        <f>IFERROR(VLOOKUP($C75,當前庫存!$C:$I,4,FALSE),"-")</f>
        <v>0</v>
      </c>
      <c r="F75" s="63" t="str">
        <f>IFERROR(VLOOKUP($C75,烤漆色號編碼!$A:$D,4,FALSE)*表格3[[#This Row],[當前庫存]]+表格3[[#This Row],[欄1]],"-")</f>
        <v>-</v>
      </c>
      <c r="G75" s="63"/>
      <c r="H75" s="63"/>
      <c r="I75" s="27" t="str">
        <f>IFERROR(VLOOKUP($C75,烤漆色號編碼!$A:$D,4,FALSE)*表格3[[#This Row],[箱數]]+表格3[[#This Row],[散粉]],"-")</f>
        <v>-</v>
      </c>
      <c r="J75" s="117" t="str">
        <f>IF(I75&gt;表格3[[#This Row],[欄2]],"多粉",IF(I75&lt;表格3[[#This Row],[欄2]],"少粉","正確"))</f>
        <v>正確</v>
      </c>
      <c r="K75" s="117" t="e">
        <f>I75-表格3[[#This Row],[欄2]]</f>
        <v>#VALUE!</v>
      </c>
    </row>
    <row r="76" spans="2:11" x14ac:dyDescent="0.15">
      <c r="B76" s="114">
        <v>74</v>
      </c>
      <c r="C76" s="63" t="s">
        <v>50</v>
      </c>
      <c r="D76" s="63">
        <f>IF(當前庫存!J77="","-",當前庫存!J77)</f>
        <v>0</v>
      </c>
      <c r="E76" s="63">
        <f>IFERROR(VLOOKUP($C76,當前庫存!$C:$I,4,FALSE),"-")</f>
        <v>0</v>
      </c>
      <c r="F76" s="63" t="str">
        <f>IFERROR(VLOOKUP($C76,烤漆色號編碼!$A:$D,4,FALSE)*表格3[[#This Row],[當前庫存]]+表格3[[#This Row],[欄1]],"-")</f>
        <v>-</v>
      </c>
      <c r="G76" s="63"/>
      <c r="H76" s="63"/>
      <c r="I76" s="27" t="str">
        <f>IFERROR(VLOOKUP($C76,烤漆色號編碼!$A:$D,4,FALSE)*表格3[[#This Row],[箱數]]+表格3[[#This Row],[散粉]],"-")</f>
        <v>-</v>
      </c>
      <c r="J76" s="117" t="str">
        <f>IF(I76&gt;表格3[[#This Row],[欄2]],"多粉",IF(I76&lt;表格3[[#This Row],[欄2]],"少粉","正確"))</f>
        <v>正確</v>
      </c>
      <c r="K76" s="117" t="e">
        <f>I76-表格3[[#This Row],[欄2]]</f>
        <v>#VALUE!</v>
      </c>
    </row>
    <row r="77" spans="2:11" x14ac:dyDescent="0.15">
      <c r="B77" s="114">
        <v>75</v>
      </c>
      <c r="C77" s="63" t="s">
        <v>50</v>
      </c>
      <c r="D77" s="63">
        <f>IF(當前庫存!J78="","-",當前庫存!J78)</f>
        <v>0</v>
      </c>
      <c r="E77" s="63">
        <f>IFERROR(VLOOKUP($C77,當前庫存!$C:$I,4,FALSE),"-")</f>
        <v>0</v>
      </c>
      <c r="F77" s="63" t="str">
        <f>IFERROR(VLOOKUP($C77,烤漆色號編碼!$A:$D,4,FALSE)*表格3[[#This Row],[當前庫存]]+表格3[[#This Row],[欄1]],"-")</f>
        <v>-</v>
      </c>
      <c r="G77" s="63"/>
      <c r="H77" s="63"/>
      <c r="I77" s="27" t="str">
        <f>IFERROR(VLOOKUP($C77,烤漆色號編碼!$A:$D,4,FALSE)*表格3[[#This Row],[箱數]]+表格3[[#This Row],[散粉]],"-")</f>
        <v>-</v>
      </c>
      <c r="J77" s="117" t="str">
        <f>IF(I77&gt;表格3[[#This Row],[欄2]],"多粉",IF(I77&lt;表格3[[#This Row],[欄2]],"少粉","正確"))</f>
        <v>正確</v>
      </c>
      <c r="K77" s="117" t="e">
        <f>I77-表格3[[#This Row],[欄2]]</f>
        <v>#VALUE!</v>
      </c>
    </row>
    <row r="78" spans="2:11" x14ac:dyDescent="0.15">
      <c r="B78" s="114">
        <v>76</v>
      </c>
      <c r="C78" s="63" t="s">
        <v>50</v>
      </c>
      <c r="D78" s="63">
        <f>IF(當前庫存!J79="","-",當前庫存!J79)</f>
        <v>0</v>
      </c>
      <c r="E78" s="63">
        <f>IFERROR(VLOOKUP($C78,當前庫存!$C:$I,4,FALSE),"-")</f>
        <v>0</v>
      </c>
      <c r="F78" s="63" t="str">
        <f>IFERROR(VLOOKUP($C78,烤漆色號編碼!$A:$D,4,FALSE)*表格3[[#This Row],[當前庫存]]+表格3[[#This Row],[欄1]],"-")</f>
        <v>-</v>
      </c>
      <c r="G78" s="63"/>
      <c r="H78" s="63"/>
      <c r="I78" s="27" t="str">
        <f>IFERROR(VLOOKUP($C78,烤漆色號編碼!$A:$D,4,FALSE)*表格3[[#This Row],[箱數]]+表格3[[#This Row],[散粉]],"-")</f>
        <v>-</v>
      </c>
      <c r="J78" s="117" t="str">
        <f>IF(I78&gt;表格3[[#This Row],[欄2]],"多粉",IF(I78&lt;表格3[[#This Row],[欄2]],"少粉","正確"))</f>
        <v>正確</v>
      </c>
      <c r="K78" s="117" t="e">
        <f>I78-表格3[[#This Row],[欄2]]</f>
        <v>#VALUE!</v>
      </c>
    </row>
    <row r="79" spans="2:11" x14ac:dyDescent="0.15">
      <c r="B79" s="114">
        <v>77</v>
      </c>
      <c r="C79" s="63" t="s">
        <v>50</v>
      </c>
      <c r="D79" s="63">
        <f>IF(當前庫存!J80="","-",當前庫存!J80)</f>
        <v>0</v>
      </c>
      <c r="E79" s="63">
        <f>IFERROR(VLOOKUP($C79,當前庫存!$C:$I,4,FALSE),"-")</f>
        <v>0</v>
      </c>
      <c r="F79" s="63" t="str">
        <f>IFERROR(VLOOKUP($C79,烤漆色號編碼!$A:$D,4,FALSE)*表格3[[#This Row],[當前庫存]]+表格3[[#This Row],[欄1]],"-")</f>
        <v>-</v>
      </c>
      <c r="G79" s="63"/>
      <c r="H79" s="63"/>
      <c r="I79" s="27" t="str">
        <f>IFERROR(VLOOKUP($C79,烤漆色號編碼!$A:$D,4,FALSE)*表格3[[#This Row],[箱數]]+表格3[[#This Row],[散粉]],"-")</f>
        <v>-</v>
      </c>
      <c r="J79" s="117" t="str">
        <f>IF(I79&gt;表格3[[#This Row],[欄2]],"多粉",IF(I79&lt;表格3[[#This Row],[欄2]],"少粉","正確"))</f>
        <v>正確</v>
      </c>
      <c r="K79" s="117" t="e">
        <f>I79-表格3[[#This Row],[欄2]]</f>
        <v>#VALUE!</v>
      </c>
    </row>
    <row r="80" spans="2:11" x14ac:dyDescent="0.15">
      <c r="B80" s="114">
        <v>78</v>
      </c>
      <c r="C80" s="63" t="s">
        <v>50</v>
      </c>
      <c r="D80" s="63">
        <f>IF(當前庫存!J81="","-",當前庫存!J81)</f>
        <v>0</v>
      </c>
      <c r="E80" s="63">
        <f>IFERROR(VLOOKUP($C80,當前庫存!$C:$I,4,FALSE),"-")</f>
        <v>0</v>
      </c>
      <c r="F80" s="63" t="str">
        <f>IFERROR(VLOOKUP($C80,烤漆色號編碼!$A:$D,4,FALSE)*表格3[[#This Row],[當前庫存]]+表格3[[#This Row],[欄1]],"-")</f>
        <v>-</v>
      </c>
      <c r="G80" s="63"/>
      <c r="H80" s="63"/>
      <c r="I80" s="27" t="str">
        <f>IFERROR(VLOOKUP($C80,烤漆色號編碼!$A:$D,4,FALSE)*表格3[[#This Row],[箱數]]+表格3[[#This Row],[散粉]],"-")</f>
        <v>-</v>
      </c>
      <c r="J80" s="117" t="str">
        <f>IF(I80&gt;表格3[[#This Row],[欄2]],"多粉",IF(I80&lt;表格3[[#This Row],[欄2]],"少粉","正確"))</f>
        <v>正確</v>
      </c>
      <c r="K80" s="117" t="e">
        <f>I80-表格3[[#This Row],[欄2]]</f>
        <v>#VALUE!</v>
      </c>
    </row>
    <row r="81" spans="2:11" x14ac:dyDescent="0.15">
      <c r="B81" s="114">
        <v>79</v>
      </c>
      <c r="C81" s="63" t="s">
        <v>50</v>
      </c>
      <c r="D81" s="63">
        <f>IF(當前庫存!J82="","-",當前庫存!J82)</f>
        <v>0</v>
      </c>
      <c r="E81" s="63">
        <f>IFERROR(VLOOKUP($C81,當前庫存!$C:$I,4,FALSE),"-")</f>
        <v>0</v>
      </c>
      <c r="F81" s="63" t="str">
        <f>IFERROR(VLOOKUP($C81,烤漆色號編碼!$A:$D,4,FALSE)*表格3[[#This Row],[當前庫存]]+表格3[[#This Row],[欄1]],"-")</f>
        <v>-</v>
      </c>
      <c r="G81" s="63"/>
      <c r="H81" s="63"/>
      <c r="I81" s="27" t="str">
        <f>IFERROR(VLOOKUP($C81,烤漆色號編碼!$A:$D,4,FALSE)*表格3[[#This Row],[箱數]]+表格3[[#This Row],[散粉]],"-")</f>
        <v>-</v>
      </c>
      <c r="J81" s="117" t="str">
        <f>IF(I81&gt;表格3[[#This Row],[欄2]],"多粉",IF(I81&lt;表格3[[#This Row],[欄2]],"少粉","正確"))</f>
        <v>正確</v>
      </c>
      <c r="K81" s="117" t="e">
        <f>I81-表格3[[#This Row],[欄2]]</f>
        <v>#VALUE!</v>
      </c>
    </row>
    <row r="82" spans="2:11" x14ac:dyDescent="0.15">
      <c r="B82" s="114">
        <v>80</v>
      </c>
      <c r="C82" s="63" t="s">
        <v>50</v>
      </c>
      <c r="D82" s="63">
        <f>IF(當前庫存!J83="","-",當前庫存!J83)</f>
        <v>0</v>
      </c>
      <c r="E82" s="63">
        <f>IFERROR(VLOOKUP($C82,當前庫存!$C:$I,4,FALSE),"-")</f>
        <v>0</v>
      </c>
      <c r="F82" s="63" t="str">
        <f>IFERROR(VLOOKUP($C82,烤漆色號編碼!$A:$D,4,FALSE)*表格3[[#This Row],[當前庫存]]+表格3[[#This Row],[欄1]],"-")</f>
        <v>-</v>
      </c>
      <c r="G82" s="63"/>
      <c r="H82" s="63"/>
      <c r="I82" s="27" t="str">
        <f>IFERROR(VLOOKUP($C82,烤漆色號編碼!$A:$D,4,FALSE)*表格3[[#This Row],[箱數]]+表格3[[#This Row],[散粉]],"-")</f>
        <v>-</v>
      </c>
      <c r="J82" s="117" t="str">
        <f>IF(I82&gt;表格3[[#This Row],[欄2]],"多粉",IF(I82&lt;表格3[[#This Row],[欄2]],"少粉","正確"))</f>
        <v>正確</v>
      </c>
      <c r="K82" s="117" t="e">
        <f>I82-表格3[[#This Row],[欄2]]</f>
        <v>#VALUE!</v>
      </c>
    </row>
    <row r="83" spans="2:11" x14ac:dyDescent="0.15">
      <c r="B83" s="114">
        <v>81</v>
      </c>
      <c r="C83" s="63" t="s">
        <v>50</v>
      </c>
      <c r="D83" s="63">
        <f>IF(當前庫存!J84="","-",當前庫存!J84)</f>
        <v>0</v>
      </c>
      <c r="E83" s="63">
        <f>IFERROR(VLOOKUP($C83,當前庫存!$C:$I,4,FALSE),"-")</f>
        <v>0</v>
      </c>
      <c r="F83" s="63" t="str">
        <f>IFERROR(VLOOKUP($C83,烤漆色號編碼!$A:$D,4,FALSE)*表格3[[#This Row],[當前庫存]]+表格3[[#This Row],[欄1]],"-")</f>
        <v>-</v>
      </c>
      <c r="G83" s="63"/>
      <c r="H83" s="63"/>
      <c r="I83" s="27" t="str">
        <f>IFERROR(VLOOKUP($C83,烤漆色號編碼!$A:$D,4,FALSE)*表格3[[#This Row],[箱數]]+表格3[[#This Row],[散粉]],"-")</f>
        <v>-</v>
      </c>
      <c r="J83" s="117" t="str">
        <f>IF(I83&gt;表格3[[#This Row],[欄2]],"多粉",IF(I83&lt;表格3[[#This Row],[欄2]],"少粉","正確"))</f>
        <v>正確</v>
      </c>
      <c r="K83" s="117" t="e">
        <f>I83-表格3[[#This Row],[欄2]]</f>
        <v>#VALUE!</v>
      </c>
    </row>
    <row r="84" spans="2:11" x14ac:dyDescent="0.15">
      <c r="B84" s="114">
        <v>82</v>
      </c>
      <c r="C84" s="63" t="s">
        <v>50</v>
      </c>
      <c r="D84" s="63">
        <f>IF(當前庫存!J85="","-",當前庫存!J85)</f>
        <v>0</v>
      </c>
      <c r="E84" s="63">
        <f>IFERROR(VLOOKUP($C84,當前庫存!$C:$I,4,FALSE),"-")</f>
        <v>0</v>
      </c>
      <c r="F84" s="63" t="str">
        <f>IFERROR(VLOOKUP($C84,烤漆色號編碼!$A:$D,4,FALSE)*表格3[[#This Row],[當前庫存]]+表格3[[#This Row],[欄1]],"-")</f>
        <v>-</v>
      </c>
      <c r="G84" s="63"/>
      <c r="H84" s="63"/>
      <c r="I84" s="27" t="str">
        <f>IFERROR(VLOOKUP($C84,烤漆色號編碼!$A:$D,4,FALSE)*表格3[[#This Row],[箱數]]+表格3[[#This Row],[散粉]],"-")</f>
        <v>-</v>
      </c>
      <c r="J84" s="117" t="str">
        <f>IF(I84&gt;表格3[[#This Row],[欄2]],"多粉",IF(I84&lt;表格3[[#This Row],[欄2]],"少粉","正確"))</f>
        <v>正確</v>
      </c>
      <c r="K84" s="117" t="e">
        <f>I84-表格3[[#This Row],[欄2]]</f>
        <v>#VALUE!</v>
      </c>
    </row>
    <row r="85" spans="2:11" x14ac:dyDescent="0.15">
      <c r="B85" s="114">
        <v>83</v>
      </c>
      <c r="C85" s="63" t="s">
        <v>50</v>
      </c>
      <c r="D85" s="63">
        <f>IF(當前庫存!J86="","-",當前庫存!J86)</f>
        <v>0</v>
      </c>
      <c r="E85" s="63">
        <f>IFERROR(VLOOKUP($C85,當前庫存!$C:$I,4,FALSE),"-")</f>
        <v>0</v>
      </c>
      <c r="F85" s="63" t="str">
        <f>IFERROR(VLOOKUP($C85,烤漆色號編碼!$A:$D,4,FALSE)*表格3[[#This Row],[當前庫存]]+表格3[[#This Row],[欄1]],"-")</f>
        <v>-</v>
      </c>
      <c r="G85" s="63"/>
      <c r="H85" s="63"/>
      <c r="I85" s="27" t="str">
        <f>IFERROR(VLOOKUP($C85,烤漆色號編碼!$A:$D,4,FALSE)*表格3[[#This Row],[箱數]]+表格3[[#This Row],[散粉]],"-")</f>
        <v>-</v>
      </c>
      <c r="J85" s="117" t="str">
        <f>IF(I85&gt;表格3[[#This Row],[欄2]],"多粉",IF(I85&lt;表格3[[#This Row],[欄2]],"少粉","正確"))</f>
        <v>正確</v>
      </c>
      <c r="K85" s="117" t="e">
        <f>I85-表格3[[#This Row],[欄2]]</f>
        <v>#VALUE!</v>
      </c>
    </row>
    <row r="86" spans="2:11" x14ac:dyDescent="0.15">
      <c r="B86" s="114">
        <v>84</v>
      </c>
      <c r="C86" s="63" t="s">
        <v>50</v>
      </c>
      <c r="D86" s="63">
        <f>IF(當前庫存!J87="","-",當前庫存!J87)</f>
        <v>0</v>
      </c>
      <c r="E86" s="63">
        <f>IFERROR(VLOOKUP($C86,當前庫存!$C:$I,4,FALSE),"-")</f>
        <v>0</v>
      </c>
      <c r="F86" s="63" t="str">
        <f>IFERROR(VLOOKUP($C86,烤漆色號編碼!$A:$D,4,FALSE)*表格3[[#This Row],[當前庫存]]+表格3[[#This Row],[欄1]],"-")</f>
        <v>-</v>
      </c>
      <c r="G86" s="63"/>
      <c r="H86" s="63"/>
      <c r="I86" s="27" t="str">
        <f>IFERROR(VLOOKUP($C86,烤漆色號編碼!$A:$D,4,FALSE)*表格3[[#This Row],[箱數]]+表格3[[#This Row],[散粉]],"-")</f>
        <v>-</v>
      </c>
      <c r="J86" s="117" t="str">
        <f>IF(I86&gt;表格3[[#This Row],[欄2]],"多粉",IF(I86&lt;表格3[[#This Row],[欄2]],"少粉","正確"))</f>
        <v>正確</v>
      </c>
      <c r="K86" s="117" t="e">
        <f>I86-表格3[[#This Row],[欄2]]</f>
        <v>#VALUE!</v>
      </c>
    </row>
    <row r="87" spans="2:11" x14ac:dyDescent="0.15">
      <c r="B87" s="114">
        <v>85</v>
      </c>
      <c r="C87" s="63" t="s">
        <v>50</v>
      </c>
      <c r="D87" s="63">
        <f>IF(當前庫存!J88="","-",當前庫存!J88)</f>
        <v>0</v>
      </c>
      <c r="E87" s="63">
        <f>IFERROR(VLOOKUP($C87,當前庫存!$C:$I,4,FALSE),"-")</f>
        <v>0</v>
      </c>
      <c r="F87" s="63" t="str">
        <f>IFERROR(VLOOKUP($C87,烤漆色號編碼!$A:$D,4,FALSE)*表格3[[#This Row],[當前庫存]]+表格3[[#This Row],[欄1]],"-")</f>
        <v>-</v>
      </c>
      <c r="G87" s="63"/>
      <c r="H87" s="63"/>
      <c r="I87" s="27" t="str">
        <f>IFERROR(VLOOKUP($C87,烤漆色號編碼!$A:$D,4,FALSE)*表格3[[#This Row],[箱數]]+表格3[[#This Row],[散粉]],"-")</f>
        <v>-</v>
      </c>
      <c r="J87" s="117" t="str">
        <f>IF(I87&gt;表格3[[#This Row],[欄2]],"多粉",IF(I87&lt;表格3[[#This Row],[欄2]],"少粉","正確"))</f>
        <v>正確</v>
      </c>
      <c r="K87" s="117" t="e">
        <f>I87-表格3[[#This Row],[欄2]]</f>
        <v>#VALUE!</v>
      </c>
    </row>
    <row r="88" spans="2:11" x14ac:dyDescent="0.15">
      <c r="B88" s="114">
        <v>86</v>
      </c>
      <c r="C88" s="63" t="s">
        <v>50</v>
      </c>
      <c r="D88" s="63">
        <f>IF(當前庫存!J89="","-",當前庫存!J89)</f>
        <v>0</v>
      </c>
      <c r="E88" s="63">
        <f>IFERROR(VLOOKUP($C88,當前庫存!$C:$I,4,FALSE),"-")</f>
        <v>0</v>
      </c>
      <c r="F88" s="63" t="str">
        <f>IFERROR(VLOOKUP($C88,烤漆色號編碼!$A:$D,4,FALSE)*表格3[[#This Row],[當前庫存]]+表格3[[#This Row],[欄1]],"-")</f>
        <v>-</v>
      </c>
      <c r="G88" s="63"/>
      <c r="H88" s="63"/>
      <c r="I88" s="27" t="str">
        <f>IFERROR(VLOOKUP($C88,烤漆色號編碼!$A:$D,4,FALSE)*表格3[[#This Row],[箱數]]+表格3[[#This Row],[散粉]],"-")</f>
        <v>-</v>
      </c>
      <c r="J88" s="117" t="str">
        <f>IF(I88&gt;表格3[[#This Row],[欄2]],"多粉",IF(I88&lt;表格3[[#This Row],[欄2]],"少粉","正確"))</f>
        <v>正確</v>
      </c>
      <c r="K88" s="117" t="e">
        <f>I88-表格3[[#This Row],[欄2]]</f>
        <v>#VALUE!</v>
      </c>
    </row>
    <row r="89" spans="2:11" x14ac:dyDescent="0.15">
      <c r="B89" s="114">
        <v>87</v>
      </c>
      <c r="C89" s="63" t="s">
        <v>50</v>
      </c>
      <c r="D89" s="63">
        <f>IF(當前庫存!J90="","-",當前庫存!J90)</f>
        <v>0</v>
      </c>
      <c r="E89" s="63">
        <f>IFERROR(VLOOKUP($C89,當前庫存!$C:$I,4,FALSE),"-")</f>
        <v>0</v>
      </c>
      <c r="F89" s="63" t="str">
        <f>IFERROR(VLOOKUP($C89,烤漆色號編碼!$A:$D,4,FALSE)*表格3[[#This Row],[當前庫存]]+表格3[[#This Row],[欄1]],"-")</f>
        <v>-</v>
      </c>
      <c r="G89" s="63"/>
      <c r="H89" s="63"/>
      <c r="I89" s="27" t="str">
        <f>IFERROR(VLOOKUP($C89,烤漆色號編碼!$A:$D,4,FALSE)*表格3[[#This Row],[箱數]]+表格3[[#This Row],[散粉]],"-")</f>
        <v>-</v>
      </c>
      <c r="J89" s="117" t="str">
        <f>IF(I89&gt;表格3[[#This Row],[欄2]],"多粉",IF(I89&lt;表格3[[#This Row],[欄2]],"少粉","正確"))</f>
        <v>正確</v>
      </c>
      <c r="K89" s="117" t="e">
        <f>I89-表格3[[#This Row],[欄2]]</f>
        <v>#VALUE!</v>
      </c>
    </row>
    <row r="90" spans="2:11" x14ac:dyDescent="0.15">
      <c r="B90" s="114">
        <v>88</v>
      </c>
      <c r="C90" s="63" t="s">
        <v>50</v>
      </c>
      <c r="D90" s="63">
        <f>IF(當前庫存!J91="","-",當前庫存!J91)</f>
        <v>0</v>
      </c>
      <c r="E90" s="63">
        <f>IFERROR(VLOOKUP($C90,當前庫存!$C:$I,4,FALSE),"-")</f>
        <v>0</v>
      </c>
      <c r="F90" s="63" t="str">
        <f>IFERROR(VLOOKUP($C90,烤漆色號編碼!$A:$D,4,FALSE)*表格3[[#This Row],[當前庫存]]+表格3[[#This Row],[欄1]],"-")</f>
        <v>-</v>
      </c>
      <c r="G90" s="63"/>
      <c r="H90" s="63"/>
      <c r="I90" s="27" t="str">
        <f>IFERROR(VLOOKUP($C90,烤漆色號編碼!$A:$D,4,FALSE)*表格3[[#This Row],[箱數]]+表格3[[#This Row],[散粉]],"-")</f>
        <v>-</v>
      </c>
      <c r="J90" s="117" t="str">
        <f>IF(I90&gt;表格3[[#This Row],[欄2]],"多粉",IF(I90&lt;表格3[[#This Row],[欄2]],"少粉","正確"))</f>
        <v>正確</v>
      </c>
      <c r="K90" s="117" t="e">
        <f>I90-表格3[[#This Row],[欄2]]</f>
        <v>#VALUE!</v>
      </c>
    </row>
    <row r="91" spans="2:11" x14ac:dyDescent="0.15">
      <c r="B91" s="114">
        <v>89</v>
      </c>
      <c r="C91" s="63" t="s">
        <v>50</v>
      </c>
      <c r="D91" s="63">
        <f>IF(當前庫存!J92="","-",當前庫存!J92)</f>
        <v>0</v>
      </c>
      <c r="E91" s="63">
        <f>IFERROR(VLOOKUP($C91,當前庫存!$C:$I,4,FALSE),"-")</f>
        <v>0</v>
      </c>
      <c r="F91" s="63" t="str">
        <f>IFERROR(VLOOKUP($C91,烤漆色號編碼!$A:$D,4,FALSE)*表格3[[#This Row],[當前庫存]]+表格3[[#This Row],[欄1]],"-")</f>
        <v>-</v>
      </c>
      <c r="G91" s="63"/>
      <c r="H91" s="63"/>
      <c r="I91" s="27" t="str">
        <f>IFERROR(VLOOKUP($C91,烤漆色號編碼!$A:$D,4,FALSE)*表格3[[#This Row],[箱數]]+表格3[[#This Row],[散粉]],"-")</f>
        <v>-</v>
      </c>
      <c r="J91" s="117" t="str">
        <f>IF(I91&gt;表格3[[#This Row],[欄2]],"多粉",IF(I91&lt;表格3[[#This Row],[欄2]],"少粉","正確"))</f>
        <v>正確</v>
      </c>
      <c r="K91" s="117" t="e">
        <f>I91-表格3[[#This Row],[欄2]]</f>
        <v>#VALUE!</v>
      </c>
    </row>
    <row r="92" spans="2:11" x14ac:dyDescent="0.15">
      <c r="B92" s="114">
        <v>90</v>
      </c>
      <c r="C92" s="63" t="s">
        <v>50</v>
      </c>
      <c r="D92" s="63">
        <f>IF(當前庫存!J93="","-",當前庫存!J93)</f>
        <v>0</v>
      </c>
      <c r="E92" s="63">
        <f>IFERROR(VLOOKUP($C92,當前庫存!$C:$I,4,FALSE),"-")</f>
        <v>0</v>
      </c>
      <c r="F92" s="63" t="str">
        <f>IFERROR(VLOOKUP($C92,烤漆色號編碼!$A:$D,4,FALSE)*表格3[[#This Row],[當前庫存]]+表格3[[#This Row],[欄1]],"-")</f>
        <v>-</v>
      </c>
      <c r="G92" s="63"/>
      <c r="H92" s="63"/>
      <c r="I92" s="27" t="str">
        <f>IFERROR(VLOOKUP($C92,烤漆色號編碼!$A:$D,4,FALSE)*表格3[[#This Row],[箱數]]+表格3[[#This Row],[散粉]],"-")</f>
        <v>-</v>
      </c>
      <c r="J92" s="117" t="str">
        <f>IF(I92&gt;表格3[[#This Row],[欄2]],"多粉",IF(I92&lt;表格3[[#This Row],[欄2]],"少粉","正確"))</f>
        <v>正確</v>
      </c>
      <c r="K92" s="117" t="e">
        <f>I92-表格3[[#This Row],[欄2]]</f>
        <v>#VALUE!</v>
      </c>
    </row>
    <row r="93" spans="2:11" x14ac:dyDescent="0.15">
      <c r="B93" s="114">
        <v>91</v>
      </c>
      <c r="C93" s="63" t="s">
        <v>50</v>
      </c>
      <c r="D93" s="63">
        <f>IF(當前庫存!J94="","-",當前庫存!J94)</f>
        <v>0</v>
      </c>
      <c r="E93" s="63">
        <f>IFERROR(VLOOKUP($C93,當前庫存!$C:$I,4,FALSE),"-")</f>
        <v>0</v>
      </c>
      <c r="F93" s="63" t="str">
        <f>IFERROR(VLOOKUP($C93,烤漆色號編碼!$A:$D,4,FALSE)*表格3[[#This Row],[當前庫存]]+表格3[[#This Row],[欄1]],"-")</f>
        <v>-</v>
      </c>
      <c r="G93" s="63"/>
      <c r="H93" s="63"/>
      <c r="I93" s="27" t="str">
        <f>IFERROR(VLOOKUP($C93,烤漆色號編碼!$A:$D,4,FALSE)*表格3[[#This Row],[箱數]]+表格3[[#This Row],[散粉]],"-")</f>
        <v>-</v>
      </c>
      <c r="J93" s="117" t="str">
        <f>IF(I93&gt;表格3[[#This Row],[欄2]],"多粉",IF(I93&lt;表格3[[#This Row],[欄2]],"少粉","正確"))</f>
        <v>正確</v>
      </c>
      <c r="K93" s="117" t="e">
        <f>I93-表格3[[#This Row],[欄2]]</f>
        <v>#VALUE!</v>
      </c>
    </row>
    <row r="94" spans="2:11" x14ac:dyDescent="0.15">
      <c r="B94" s="114">
        <v>92</v>
      </c>
      <c r="C94" s="63" t="s">
        <v>50</v>
      </c>
      <c r="D94" s="63">
        <f>IF(當前庫存!J95="","-",當前庫存!J95)</f>
        <v>0</v>
      </c>
      <c r="E94" s="63">
        <f>IFERROR(VLOOKUP($C94,當前庫存!$C:$I,4,FALSE),"-")</f>
        <v>0</v>
      </c>
      <c r="F94" s="63" t="str">
        <f>IFERROR(VLOOKUP($C94,烤漆色號編碼!$A:$D,4,FALSE)*表格3[[#This Row],[當前庫存]]+表格3[[#This Row],[欄1]],"-")</f>
        <v>-</v>
      </c>
      <c r="G94" s="63"/>
      <c r="H94" s="63"/>
      <c r="I94" s="27" t="str">
        <f>IFERROR(VLOOKUP($C94,烤漆色號編碼!$A:$D,4,FALSE)*表格3[[#This Row],[箱數]]+表格3[[#This Row],[散粉]],"-")</f>
        <v>-</v>
      </c>
      <c r="J94" s="117" t="str">
        <f>IF(I94&gt;表格3[[#This Row],[欄2]],"多粉",IF(I94&lt;表格3[[#This Row],[欄2]],"少粉","正確"))</f>
        <v>正確</v>
      </c>
      <c r="K94" s="117" t="e">
        <f>I94-表格3[[#This Row],[欄2]]</f>
        <v>#VALUE!</v>
      </c>
    </row>
    <row r="95" spans="2:11" x14ac:dyDescent="0.15">
      <c r="B95" s="114">
        <v>93</v>
      </c>
      <c r="C95" s="63" t="s">
        <v>50</v>
      </c>
      <c r="D95" s="63">
        <f>IF(當前庫存!J96="","-",當前庫存!J96)</f>
        <v>0</v>
      </c>
      <c r="E95" s="63">
        <f>IFERROR(VLOOKUP($C95,當前庫存!$C:$I,4,FALSE),"-")</f>
        <v>0</v>
      </c>
      <c r="F95" s="63" t="str">
        <f>IFERROR(VLOOKUP($C95,烤漆色號編碼!$A:$D,4,FALSE)*表格3[[#This Row],[當前庫存]]+表格3[[#This Row],[欄1]],"-")</f>
        <v>-</v>
      </c>
      <c r="G95" s="63"/>
      <c r="H95" s="63"/>
      <c r="I95" s="27" t="str">
        <f>IFERROR(VLOOKUP($C95,烤漆色號編碼!$A:$D,4,FALSE)*表格3[[#This Row],[箱數]]+表格3[[#This Row],[散粉]],"-")</f>
        <v>-</v>
      </c>
      <c r="J95" s="117" t="str">
        <f>IF(I95&gt;表格3[[#This Row],[欄2]],"多粉",IF(I95&lt;表格3[[#This Row],[欄2]],"少粉","正確"))</f>
        <v>正確</v>
      </c>
      <c r="K95" s="117" t="e">
        <f>I95-表格3[[#This Row],[欄2]]</f>
        <v>#VALUE!</v>
      </c>
    </row>
    <row r="96" spans="2:11" x14ac:dyDescent="0.15">
      <c r="B96" s="114">
        <v>94</v>
      </c>
      <c r="C96" s="63" t="s">
        <v>50</v>
      </c>
      <c r="D96" s="63">
        <f>IF(當前庫存!J97="","-",當前庫存!J97)</f>
        <v>0</v>
      </c>
      <c r="E96" s="63">
        <f>IFERROR(VLOOKUP($C96,當前庫存!$C:$I,4,FALSE),"-")</f>
        <v>0</v>
      </c>
      <c r="F96" s="63" t="str">
        <f>IFERROR(VLOOKUP($C96,烤漆色號編碼!$A:$D,4,FALSE)*表格3[[#This Row],[當前庫存]]+表格3[[#This Row],[欄1]],"-")</f>
        <v>-</v>
      </c>
      <c r="G96" s="63"/>
      <c r="H96" s="63"/>
      <c r="I96" s="27" t="str">
        <f>IFERROR(VLOOKUP($C96,烤漆色號編碼!$A:$D,4,FALSE)*表格3[[#This Row],[箱數]]+表格3[[#This Row],[散粉]],"-")</f>
        <v>-</v>
      </c>
      <c r="J96" s="117" t="str">
        <f>IF(I96&gt;表格3[[#This Row],[欄2]],"多粉",IF(I96&lt;表格3[[#This Row],[欄2]],"少粉","正確"))</f>
        <v>正確</v>
      </c>
      <c r="K96" s="117" t="e">
        <f>I96-表格3[[#This Row],[欄2]]</f>
        <v>#VALUE!</v>
      </c>
    </row>
    <row r="97" spans="2:11" x14ac:dyDescent="0.15">
      <c r="B97" s="114">
        <v>95</v>
      </c>
      <c r="C97" s="63" t="s">
        <v>50</v>
      </c>
      <c r="D97" s="63">
        <f>IF(當前庫存!J98="","-",當前庫存!J98)</f>
        <v>0</v>
      </c>
      <c r="E97" s="63">
        <f>IFERROR(VLOOKUP($C97,當前庫存!$C:$I,4,FALSE),"-")</f>
        <v>0</v>
      </c>
      <c r="F97" s="63" t="str">
        <f>IFERROR(VLOOKUP($C97,烤漆色號編碼!$A:$D,4,FALSE)*表格3[[#This Row],[當前庫存]]+表格3[[#This Row],[欄1]],"-")</f>
        <v>-</v>
      </c>
      <c r="G97" s="63"/>
      <c r="H97" s="63"/>
      <c r="I97" s="27" t="str">
        <f>IFERROR(VLOOKUP($C97,烤漆色號編碼!$A:$D,4,FALSE)*表格3[[#This Row],[箱數]]+表格3[[#This Row],[散粉]],"-")</f>
        <v>-</v>
      </c>
      <c r="J97" s="117" t="str">
        <f>IF(I97&gt;表格3[[#This Row],[欄2]],"多粉",IF(I97&lt;表格3[[#This Row],[欄2]],"少粉","正確"))</f>
        <v>正確</v>
      </c>
      <c r="K97" s="117" t="e">
        <f>I97-表格3[[#This Row],[欄2]]</f>
        <v>#VALUE!</v>
      </c>
    </row>
    <row r="98" spans="2:11" x14ac:dyDescent="0.15">
      <c r="B98" s="114">
        <v>96</v>
      </c>
      <c r="C98" s="63" t="s">
        <v>50</v>
      </c>
      <c r="D98" s="63">
        <f>IF(當前庫存!J99="","-",當前庫存!J99)</f>
        <v>0</v>
      </c>
      <c r="E98" s="63">
        <f>IFERROR(VLOOKUP($C98,當前庫存!$C:$I,4,FALSE),"-")</f>
        <v>0</v>
      </c>
      <c r="F98" s="63" t="str">
        <f>IFERROR(VLOOKUP($C98,烤漆色號編碼!$A:$D,4,FALSE)*表格3[[#This Row],[當前庫存]]+表格3[[#This Row],[欄1]],"-")</f>
        <v>-</v>
      </c>
      <c r="G98" s="63"/>
      <c r="H98" s="63"/>
      <c r="I98" s="27" t="str">
        <f>IFERROR(VLOOKUP($C98,烤漆色號編碼!$A:$D,4,FALSE)*表格3[[#This Row],[箱數]]+表格3[[#This Row],[散粉]],"-")</f>
        <v>-</v>
      </c>
      <c r="J98" s="117" t="str">
        <f>IF(I98&gt;表格3[[#This Row],[欄2]],"多粉",IF(I98&lt;表格3[[#This Row],[欄2]],"少粉","正確"))</f>
        <v>正確</v>
      </c>
      <c r="K98" s="117" t="e">
        <f>I98-表格3[[#This Row],[欄2]]</f>
        <v>#VALUE!</v>
      </c>
    </row>
    <row r="99" spans="2:11" x14ac:dyDescent="0.15">
      <c r="B99" s="114">
        <v>97</v>
      </c>
      <c r="C99" s="63" t="s">
        <v>50</v>
      </c>
      <c r="D99" s="63">
        <f>IF(當前庫存!J100="","-",當前庫存!J100)</f>
        <v>0</v>
      </c>
      <c r="E99" s="63">
        <f>IFERROR(VLOOKUP($C99,當前庫存!$C:$I,4,FALSE),"-")</f>
        <v>0</v>
      </c>
      <c r="F99" s="63" t="str">
        <f>IFERROR(VLOOKUP($C99,烤漆色號編碼!$A:$D,4,FALSE)*表格3[[#This Row],[當前庫存]]+表格3[[#This Row],[欄1]],"-")</f>
        <v>-</v>
      </c>
      <c r="G99" s="63"/>
      <c r="H99" s="63"/>
      <c r="I99" s="27" t="str">
        <f>IFERROR(VLOOKUP($C99,烤漆色號編碼!$A:$D,4,FALSE)*表格3[[#This Row],[箱數]]+表格3[[#This Row],[散粉]],"-")</f>
        <v>-</v>
      </c>
      <c r="J99" s="117" t="str">
        <f>IF(I99&gt;表格3[[#This Row],[欄2]],"多粉",IF(I99&lt;表格3[[#This Row],[欄2]],"少粉","正確"))</f>
        <v>正確</v>
      </c>
      <c r="K99" s="117" t="e">
        <f>I99-表格3[[#This Row],[欄2]]</f>
        <v>#VALUE!</v>
      </c>
    </row>
    <row r="100" spans="2:11" x14ac:dyDescent="0.15">
      <c r="B100" s="114">
        <v>98</v>
      </c>
      <c r="C100" s="63" t="s">
        <v>50</v>
      </c>
      <c r="D100" s="63">
        <f>IF(當前庫存!J101="","-",當前庫存!J101)</f>
        <v>0</v>
      </c>
      <c r="E100" s="63">
        <f>IFERROR(VLOOKUP($C100,當前庫存!$C:$I,4,FALSE),"-")</f>
        <v>0</v>
      </c>
      <c r="F100" s="63" t="str">
        <f>IFERROR(VLOOKUP($C100,烤漆色號編碼!$A:$D,4,FALSE)*表格3[[#This Row],[當前庫存]]+表格3[[#This Row],[欄1]],"-")</f>
        <v>-</v>
      </c>
      <c r="G100" s="63"/>
      <c r="H100" s="63"/>
      <c r="I100" s="27" t="str">
        <f>IFERROR(VLOOKUP($C100,烤漆色號編碼!$A:$D,4,FALSE)*表格3[[#This Row],[箱數]]+表格3[[#This Row],[散粉]],"-")</f>
        <v>-</v>
      </c>
      <c r="J100" s="117" t="str">
        <f>IF(I100&gt;表格3[[#This Row],[欄2]],"多粉",IF(I100&lt;表格3[[#This Row],[欄2]],"少粉","正確"))</f>
        <v>正確</v>
      </c>
      <c r="K100" s="117" t="e">
        <f>I100-表格3[[#This Row],[欄2]]</f>
        <v>#VALUE!</v>
      </c>
    </row>
    <row r="101" spans="2:11" x14ac:dyDescent="0.15">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27" t="str">
        <f>IFERROR(VLOOKUP($C101,烤漆色號編碼!$A:$D,4,FALSE)*表格3[[#This Row],[箱數]]+表格3[[#This Row],[散粉]],"-")</f>
        <v>-</v>
      </c>
      <c r="J101" s="117" t="str">
        <f>IF(I101&gt;表格3[[#This Row],[欄2]],"多粉",IF(I101&lt;表格3[[#This Row],[欄2]],"少粉","正確"))</f>
        <v>正確</v>
      </c>
      <c r="K101" s="117" t="e">
        <f>I101-表格3[[#This Row],[欄2]]</f>
        <v>#VALUE!</v>
      </c>
    </row>
    <row r="102" spans="2:11" x14ac:dyDescent="0.15">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27" t="str">
        <f>IFERROR(VLOOKUP($C102,烤漆色號編碼!$A:$D,4,FALSE)*表格3[[#This Row],[箱數]]+表格3[[#This Row],[散粉]],"-")</f>
        <v>-</v>
      </c>
      <c r="J102" s="117" t="str">
        <f>IF(I102&gt;表格3[[#This Row],[欄2]],"多粉",IF(I102&lt;表格3[[#This Row],[欄2]],"少粉","正確"))</f>
        <v>正確</v>
      </c>
      <c r="K102" s="117" t="e">
        <f>I102-表格3[[#This Row],[欄2]]</f>
        <v>#VALUE!</v>
      </c>
    </row>
    <row r="103" spans="2:11" x14ac:dyDescent="0.15">
      <c r="B103" s="118"/>
      <c r="C103" s="117"/>
      <c r="D103" s="117"/>
      <c r="E103" s="117" t="str">
        <f>IFERROR(VLOOKUP($C103,當前庫存!$C:$I,4,FALSE),"-")</f>
        <v>-</v>
      </c>
      <c r="F103" s="117" t="str">
        <f>IFERROR(VLOOKUP($C103,烤漆色號編碼!$A:$D,4,FALSE)*表格3[[#This Row],[當前庫存]]+表格3[[#This Row],[欄1]],"-")</f>
        <v>-</v>
      </c>
      <c r="G103" s="117"/>
      <c r="H103" s="117"/>
      <c r="I103" s="27" t="str">
        <f>IFERROR(VLOOKUP($C103,烤漆色號編碼!$A:$D,4,FALSE)*表格3[[#This Row],[箱數]]+表格3[[#This Row],[散粉]],"-")</f>
        <v>-</v>
      </c>
      <c r="J103" s="117" t="str">
        <f>IF(I103&gt;表格3[[#This Row],[欄2]],"多粉",IF(I103&lt;表格3[[#This Row],[欄2]],"少粉","正確"))</f>
        <v>正確</v>
      </c>
      <c r="K103" s="117" t="e">
        <f>I103-表格3[[#This Row],[欄2]]</f>
        <v>#VALUE!</v>
      </c>
    </row>
    <row r="104" spans="2:11" x14ac:dyDescent="0.15">
      <c r="B104" s="118"/>
      <c r="C104" s="117"/>
      <c r="D104" s="117"/>
      <c r="E104" s="117" t="str">
        <f>IFERROR(VLOOKUP($C104,當前庫存!$C:$I,4,FALSE),"-")</f>
        <v>-</v>
      </c>
      <c r="F104" s="117" t="str">
        <f>IFERROR(VLOOKUP($C104,烤漆色號編碼!$A:$D,4,FALSE)*表格3[[#This Row],[當前庫存]]+表格3[[#This Row],[欄1]],"-")</f>
        <v>-</v>
      </c>
      <c r="G104" s="117"/>
      <c r="H104" s="117"/>
      <c r="I104" s="27" t="str">
        <f>IFERROR(VLOOKUP($C104,烤漆色號編碼!$A:$D,4,FALSE)*表格3[[#This Row],[箱數]]+表格3[[#This Row],[散粉]],"-")</f>
        <v>-</v>
      </c>
      <c r="J104" s="117" t="str">
        <f>IF(I104&gt;表格3[[#This Row],[欄2]],"多粉",IF(I104&lt;表格3[[#This Row],[欄2]],"少粉","正確"))</f>
        <v>正確</v>
      </c>
      <c r="K104" s="117" t="e">
        <f>I104-表格3[[#This Row],[欄2]]</f>
        <v>#VALUE!</v>
      </c>
    </row>
    <row r="105" spans="2:11" x14ac:dyDescent="0.15">
      <c r="B105" s="118"/>
      <c r="C105" s="117"/>
      <c r="D105" s="117"/>
      <c r="E105" s="117" t="str">
        <f>IFERROR(VLOOKUP($C105,當前庫存!$C:$I,4,FALSE),"-")</f>
        <v>-</v>
      </c>
      <c r="F105" s="117" t="str">
        <f>IFERROR(VLOOKUP($C105,烤漆色號編碼!$A:$D,4,FALSE)*表格3[[#This Row],[當前庫存]]+表格3[[#This Row],[欄1]],"-")</f>
        <v>-</v>
      </c>
      <c r="G105" s="117"/>
      <c r="H105" s="117"/>
      <c r="I105" s="27" t="str">
        <f>IFERROR(VLOOKUP($C105,烤漆色號編碼!$A:$D,4,FALSE)*表格3[[#This Row],[箱數]]+表格3[[#This Row],[散粉]],"-")</f>
        <v>-</v>
      </c>
      <c r="J105" s="117"/>
      <c r="K105" s="117" t="e">
        <f>I105-表格3[[#This Row],[欄2]]</f>
        <v>#VALUE!</v>
      </c>
    </row>
  </sheetData>
  <phoneticPr fontId="33" type="noConversion"/>
  <conditionalFormatting sqref="D3:E36">
    <cfRule type="cellIs" dxfId="9" priority="1" operator="equal">
      <formula>0</formula>
    </cfRule>
  </conditionalFormatting>
  <conditionalFormatting sqref="J3:J104">
    <cfRule type="containsText" dxfId="8" priority="3" operator="containsText" text="多粉">
      <formula>NOT(ISERROR(SEARCH("多粉",J3)))</formula>
    </cfRule>
    <cfRule type="containsText" dxfId="7" priority="4" operator="containsText" text="少粉">
      <formula>NOT(ISERROR(SEARCH("少粉",J3)))</formula>
    </cfRule>
    <cfRule type="containsText" dxfId="6"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zoomScale="94" workbookViewId="0">
      <selection activeCell="G28" sqref="G28"/>
    </sheetView>
  </sheetViews>
  <sheetFormatPr defaultColWidth="10.05078125" defaultRowHeight="13.5" x14ac:dyDescent="0.15"/>
  <cols>
    <col min="1" max="1" width="1.9609375" style="78" customWidth="1"/>
    <col min="2" max="2" width="3.4296875" style="79" bestFit="1" customWidth="1"/>
    <col min="3" max="3" width="14.21875" style="78" customWidth="1"/>
    <col min="4" max="4" width="11.15234375" style="78" bestFit="1" customWidth="1"/>
    <col min="5" max="5" width="8.3359375" style="78" bestFit="1" customWidth="1"/>
    <col min="6" max="8" width="10.05078125" style="78" bestFit="1" customWidth="1"/>
    <col min="9" max="9" width="15.19921875" style="78" bestFit="1" customWidth="1"/>
    <col min="10" max="10" width="10.05078125" style="78" bestFit="1" customWidth="1"/>
    <col min="11" max="16384" width="10.05078125" style="78"/>
  </cols>
  <sheetData>
    <row r="1" spans="1:17" ht="10.35" customHeight="1" x14ac:dyDescent="0.15">
      <c r="B1" s="80"/>
      <c r="C1" s="81"/>
      <c r="D1" s="81"/>
      <c r="E1" s="81"/>
      <c r="F1" s="81"/>
      <c r="G1" s="81"/>
      <c r="H1" s="81"/>
    </row>
    <row r="2" spans="1:17" ht="18" x14ac:dyDescent="0.15">
      <c r="B2" s="82"/>
      <c r="C2" s="83"/>
      <c r="D2" s="52" t="s">
        <v>40</v>
      </c>
      <c r="E2" s="52" t="s">
        <v>41</v>
      </c>
      <c r="F2" s="52" t="s">
        <v>43</v>
      </c>
      <c r="G2" s="53" t="s">
        <v>42</v>
      </c>
      <c r="H2" s="83"/>
    </row>
    <row r="3" spans="1:17" x14ac:dyDescent="0.15">
      <c r="B3" s="128" t="s">
        <v>44</v>
      </c>
      <c r="C3" s="60" t="s">
        <v>11</v>
      </c>
      <c r="D3" s="60" t="s">
        <v>45</v>
      </c>
      <c r="E3" s="60" t="s">
        <v>12</v>
      </c>
      <c r="F3" s="84" t="s">
        <v>60</v>
      </c>
      <c r="G3" s="60" t="s">
        <v>46</v>
      </c>
      <c r="H3" s="84" t="s">
        <v>61</v>
      </c>
      <c r="I3" s="85" t="s">
        <v>62</v>
      </c>
      <c r="K3" s="128" t="s">
        <v>44</v>
      </c>
      <c r="L3" s="128" t="s">
        <v>11</v>
      </c>
      <c r="M3" s="128" t="s">
        <v>45</v>
      </c>
      <c r="N3" s="128" t="s">
        <v>12</v>
      </c>
      <c r="O3" s="128" t="s">
        <v>46</v>
      </c>
      <c r="P3" s="86" t="s">
        <v>60</v>
      </c>
      <c r="Q3" s="86" t="s">
        <v>61</v>
      </c>
    </row>
    <row r="4" spans="1:17" x14ac:dyDescent="0.15">
      <c r="B4" s="87">
        <v>1</v>
      </c>
      <c r="C4" s="64" t="str">
        <f>IF(烤漆色號編碼!A2="","-",烤漆色號編碼!A2)</f>
        <v>DP-11485</v>
      </c>
      <c r="D4" s="64" t="str">
        <f>IF(烤漆色號編碼!C2="","-",烤漆色號編碼!C2)</f>
        <v>白亮光</v>
      </c>
      <c r="E4" s="64" t="str">
        <f>IF(烤漆色號編碼!B2="","-",烤漆色號編碼!B2)</f>
        <v>WE</v>
      </c>
      <c r="F4" s="63">
        <v>14</v>
      </c>
      <c r="G4" s="63">
        <v>0</v>
      </c>
      <c r="H4" s="64">
        <f>IFERROR((F4*25)+G4,"-")</f>
        <v>350</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x14ac:dyDescent="0.15">
      <c r="B5" s="87">
        <v>2</v>
      </c>
      <c r="C5" s="64" t="str">
        <f>IF(烤漆色號編碼!A3="","-",烤漆色號編碼!A3)</f>
        <v>DP-1856</v>
      </c>
      <c r="D5" s="64" t="str">
        <f>IF(烤漆色號編碼!C3="","-",烤漆色號編碼!C3)</f>
        <v>灰白</v>
      </c>
      <c r="E5" s="64" t="str">
        <f>IF(烤漆色號編碼!B3="","-",烤漆色號編碼!B3)</f>
        <v>WE1</v>
      </c>
      <c r="F5" s="63">
        <v>1</v>
      </c>
      <c r="G5" s="63">
        <v>12</v>
      </c>
      <c r="H5" s="64">
        <f>IFERROR((F5*25)+G5,"-")</f>
        <v>37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x14ac:dyDescent="0.15">
      <c r="B6" s="87">
        <v>3</v>
      </c>
      <c r="C6" s="64" t="str">
        <f>IF(烤漆色號編碼!A4="","-",烤漆色號編碼!A4)</f>
        <v>O-5905</v>
      </c>
      <c r="D6" s="64" t="str">
        <f>IF(烤漆色號編碼!C4="","-",烤漆色號編碼!C4)</f>
        <v>黃亮光</v>
      </c>
      <c r="E6" s="64" t="str">
        <f>IF(烤漆色號編碼!B4="","-",烤漆色號編碼!B4)</f>
        <v>YW</v>
      </c>
      <c r="F6" s="63"/>
      <c r="G6" s="63"/>
      <c r="H6" s="64">
        <f>IFERROR((F6*25)+G6,"-")</f>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x14ac:dyDescent="0.15">
      <c r="A7" s="78"/>
      <c r="B7" s="87"/>
      <c r="C7" s="64" t="str">
        <f>IF(烤漆色號編碼!A5="","-",烤漆色號編碼!A5)</f>
        <v>New O-5905</v>
      </c>
      <c r="D7" s="64" t="str">
        <f>IF(烤漆色號編碼!C5="","-",烤漆色號編碼!C5)</f>
        <v>黃亮光</v>
      </c>
      <c r="E7" s="64" t="str">
        <f>IF(烤漆色號編碼!B5="","-",烤漆色號編碼!B5)</f>
        <v>YW</v>
      </c>
      <c r="F7" s="63">
        <v>2</v>
      </c>
      <c r="G7" s="63"/>
      <c r="H7" s="64">
        <f>IFERROR((F7*25)+G7,"-")</f>
        <v>50</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x14ac:dyDescent="0.15">
      <c r="B8" s="87">
        <v>4</v>
      </c>
      <c r="C8" s="64" t="str">
        <f>IF(烤漆色號編碼!A6="","-",烤漆色號編碼!A6)</f>
        <v>790-41540H</v>
      </c>
      <c r="D8" s="64" t="str">
        <f>IF(烤漆色號編碼!C6="","-",烤漆色號編碼!C6)</f>
        <v>黃錘紋</v>
      </c>
      <c r="E8" s="64" t="str">
        <f>IF(烤漆色號編碼!B6="","-",烤漆色號編碼!B6)</f>
        <v>YWH</v>
      </c>
      <c r="F8" s="63"/>
      <c r="G8" s="63">
        <f>21+21+8</f>
        <v>50</v>
      </c>
      <c r="H8" s="64">
        <f>IFERROR((F8*25)+G8,"-")</f>
        <v>50</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x14ac:dyDescent="0.15">
      <c r="B9" s="87">
        <v>5</v>
      </c>
      <c r="C9" s="64" t="str">
        <f>IF(烤漆色號編碼!A7="","-",烤漆色號編碼!A7)</f>
        <v>780-310AT</v>
      </c>
      <c r="D9" s="64" t="str">
        <f>IF(烤漆色號編碼!C7="","-",烤漆色號編碼!C7)</f>
        <v>紅色</v>
      </c>
      <c r="E9" s="64" t="str">
        <f>IF(烤漆色號編碼!B7="","-",烤漆色號編碼!B7)</f>
        <v>RD</v>
      </c>
      <c r="F9" s="63">
        <v>5</v>
      </c>
      <c r="G9" s="63">
        <v>0</v>
      </c>
      <c r="H9" s="64">
        <f>IFERROR((F9*25)+G9,"-")</f>
        <v>125</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x14ac:dyDescent="0.15">
      <c r="B10" s="87">
        <v>6</v>
      </c>
      <c r="C10" s="64" t="str">
        <f>IF(烤漆色號編碼!A8="","-",烤漆色號編碼!A8)</f>
        <v>LT-90442</v>
      </c>
      <c r="D10" s="64" t="str">
        <f>IF(烤漆色號編碼!C8="","-",烤漆色號編碼!C8)</f>
        <v>藍色</v>
      </c>
      <c r="E10" s="64" t="str">
        <f>IF(烤漆色號編碼!B8="","-",烤漆色號編碼!B8)</f>
        <v>BE</v>
      </c>
      <c r="F10" s="63">
        <v>1</v>
      </c>
      <c r="G10" s="63">
        <v>14</v>
      </c>
      <c r="H10" s="64">
        <f>IFERROR((F10*25)+G10,"-")</f>
        <v>39</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x14ac:dyDescent="0.15">
      <c r="B11" s="87">
        <v>7</v>
      </c>
      <c r="C11" s="64" t="str">
        <f>IF(烤漆色號編碼!A9="","-",烤漆色號編碼!A9)</f>
        <v>770-739</v>
      </c>
      <c r="D11" s="64" t="str">
        <f>IF(烤漆色號編碼!C9="","-",烤漆色號編碼!C9)</f>
        <v>豔藍-孔雀藍</v>
      </c>
      <c r="E11" s="64" t="str">
        <f>IF(烤漆色號編碼!B9="","-",烤漆色號編碼!B9)</f>
        <v>BEG</v>
      </c>
      <c r="F11" s="63">
        <v>1</v>
      </c>
      <c r="G11" s="63">
        <v>10</v>
      </c>
      <c r="H11" s="64">
        <f>IFERROR((F11*25)+G11,"-")</f>
        <v>35</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x14ac:dyDescent="0.15">
      <c r="B12" s="87">
        <v>8</v>
      </c>
      <c r="C12" s="64" t="str">
        <f>IF(烤漆色號編碼!A10="","-",烤漆色號編碼!A10)</f>
        <v>4950-502</v>
      </c>
      <c r="D12" s="64" t="str">
        <f>IF(烤漆色號編碼!C10="","-",烤漆色號編碼!C10)</f>
        <v>黑平光</v>
      </c>
      <c r="E12" s="64" t="str">
        <f>IF(烤漆色號編碼!B10="","-",烤漆色號編碼!B10)</f>
        <v>BK</v>
      </c>
      <c r="F12" s="63">
        <v>2</v>
      </c>
      <c r="G12" s="63">
        <f>15+8+6+1</f>
        <v>30</v>
      </c>
      <c r="H12" s="64">
        <f>IFERROR((F12*25)+G12,"-")</f>
        <v>80</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x14ac:dyDescent="0.15">
      <c r="B13" s="87">
        <v>9</v>
      </c>
      <c r="C13" s="64" t="str">
        <f>IF(烤漆色號編碼!A11="","-",烤漆色號編碼!A11)</f>
        <v>EN-402T</v>
      </c>
      <c r="D13" s="64" t="str">
        <f>IF(烤漆色號編碼!C11="","-",烤漆色號編碼!C11)</f>
        <v>黑錘紋</v>
      </c>
      <c r="E13" s="64" t="str">
        <f>IF(烤漆色號編碼!B11="","-",烤漆色號編碼!B11)</f>
        <v>BKH</v>
      </c>
      <c r="F13" s="63">
        <v>1</v>
      </c>
      <c r="G13" s="63">
        <v>18</v>
      </c>
      <c r="H13" s="64">
        <f>IFERROR((F13*25)+G13,"-")</f>
        <v>43</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x14ac:dyDescent="0.15">
      <c r="B14" s="87">
        <v>10</v>
      </c>
      <c r="C14" s="64" t="str">
        <f>IF(烤漆色號編碼!A12="","-",烤漆色號編碼!A12)</f>
        <v>K-91097G</v>
      </c>
      <c r="D14" s="64" t="str">
        <f>IF(烤漆色號編碼!C12="","-",烤漆色號編碼!C12)</f>
        <v>新黑砂</v>
      </c>
      <c r="E14" s="64" t="str">
        <f>IF(烤漆色號編碼!B12="","-",烤漆色號編碼!B12)</f>
        <v>BKS1</v>
      </c>
      <c r="F14" s="63">
        <v>9</v>
      </c>
      <c r="G14" s="63">
        <v>0</v>
      </c>
      <c r="H14" s="64">
        <f>IFERROR((F14*25)+G14,"-")</f>
        <v>225</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x14ac:dyDescent="0.15">
      <c r="B15" s="87">
        <v>11</v>
      </c>
      <c r="C15" s="64" t="str">
        <f>IF(烤漆色號編碼!A13="","-",烤漆色號編碼!A13)</f>
        <v>780-45510H</v>
      </c>
      <c r="D15" s="64" t="str">
        <f>IF(烤漆色號編碼!C13="","-",烤漆色號編碼!C13)</f>
        <v>黑砂</v>
      </c>
      <c r="E15" s="64" t="str">
        <f>IF(烤漆色號編碼!B13="","-",烤漆色號編碼!B13)</f>
        <v>BKS</v>
      </c>
      <c r="F15" s="63"/>
      <c r="G15" s="63"/>
      <c r="H15" s="64">
        <f>IFERROR((F15*25)+G15,"-")</f>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x14ac:dyDescent="0.15">
      <c r="B16" s="87">
        <v>12</v>
      </c>
      <c r="C16" s="64" t="str">
        <f>IF(烤漆色號編碼!A14="","-",烤漆色號編碼!A14)</f>
        <v>4605-505</v>
      </c>
      <c r="D16" s="64" t="str">
        <f>IF(烤漆色號編碼!C14="","-",烤漆色號編碼!C14)</f>
        <v>消光黑</v>
      </c>
      <c r="E16" s="64" t="str">
        <f>IF(烤漆色號編碼!B14="","-",烤漆色號編碼!B14)</f>
        <v>EBK</v>
      </c>
      <c r="F16" s="63">
        <v>1</v>
      </c>
      <c r="G16" s="63">
        <v>19</v>
      </c>
      <c r="H16" s="64">
        <f>IFERROR((F16*25)+G16,"-")</f>
        <v>44</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x14ac:dyDescent="0.15">
      <c r="B17" s="87">
        <v>13</v>
      </c>
      <c r="C17" s="64" t="str">
        <f>IF(烤漆色號編碼!A15="","-",烤漆色號編碼!A15)</f>
        <v>O-9850GSNB</v>
      </c>
      <c r="D17" s="64" t="str">
        <f>IF(烤漆色號編碼!C15="","-",烤漆色號編碼!C15)</f>
        <v>黑砂閃銀</v>
      </c>
      <c r="E17" s="64" t="str">
        <f>IF(烤漆色號編碼!B15="","-",烤漆色號編碼!B15)</f>
        <v>BKSA</v>
      </c>
      <c r="F17" s="63">
        <v>1</v>
      </c>
      <c r="G17" s="63">
        <f>24+21+20</f>
        <v>65</v>
      </c>
      <c r="H17" s="64">
        <f>IFERROR((F17*25)+G17,"-")</f>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x14ac:dyDescent="0.15">
      <c r="B18" s="87">
        <v>14</v>
      </c>
      <c r="C18" s="64" t="str">
        <f>IF(烤漆色號編碼!A16="","-",烤漆色號編碼!A16)</f>
        <v>K-9287S</v>
      </c>
      <c r="D18" s="64" t="str">
        <f>IF(烤漆色號編碼!C16="","-",烤漆色號編碼!C16)</f>
        <v>黑閃銀</v>
      </c>
      <c r="E18" s="64" t="str">
        <f>IF(烤漆色號編碼!B16="","-",烤漆色號編碼!B16)</f>
        <v>BKSA1</v>
      </c>
      <c r="F18" s="63">
        <v>3</v>
      </c>
      <c r="G18" s="63">
        <f>18+25</f>
        <v>43</v>
      </c>
      <c r="H18" s="64">
        <f>IFERROR((F18*25)+G18,"-")</f>
        <v>118</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x14ac:dyDescent="0.15">
      <c r="B19" s="87">
        <v>15</v>
      </c>
      <c r="C19" s="64" t="str">
        <f>IF(烤漆色號編碼!A17="","-",烤漆色號編碼!A17)</f>
        <v>EL-0365T</v>
      </c>
      <c r="D19" s="64" t="str">
        <f>IF(烤漆色號編碼!C17="","-",烤漆色號編碼!C17)</f>
        <v>鐵灰砂</v>
      </c>
      <c r="E19" s="64" t="str">
        <f>IF(烤漆色號編碼!B17="","-",烤漆色號編碼!B17)</f>
        <v>IGS</v>
      </c>
      <c r="F19" s="63">
        <v>8</v>
      </c>
      <c r="G19" s="63">
        <v>21</v>
      </c>
      <c r="H19" s="64">
        <f>IFERROR((F19*25)+G19,"-")</f>
        <v>221</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x14ac:dyDescent="0.15">
      <c r="B20" s="87">
        <v>16</v>
      </c>
      <c r="C20" s="64" t="str">
        <f>IF(烤漆色號編碼!A18="","-",烤漆色號編碼!A18)</f>
        <v>O-22170G</v>
      </c>
      <c r="D20" s="64" t="str">
        <f>IF(烤漆色號編碼!C18="","-",烤漆色號編碼!C18)</f>
        <v>深灰砂</v>
      </c>
      <c r="E20" s="64" t="str">
        <f>IF(烤漆色號編碼!B18="","-",烤漆色號編碼!B18)</f>
        <v>DGS</v>
      </c>
      <c r="F20" s="63">
        <v>6</v>
      </c>
      <c r="G20" s="63">
        <v>4</v>
      </c>
      <c r="H20" s="64">
        <f>IFERROR((F20*25)+G20,"-")</f>
        <v>154</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x14ac:dyDescent="0.15">
      <c r="B21" s="87">
        <v>17</v>
      </c>
      <c r="C21" s="64" t="str">
        <f>IF(烤漆色號編碼!A19="","-",烤漆色號編碼!A19)</f>
        <v>O-200SB</v>
      </c>
      <c r="D21" s="64" t="str">
        <f>IF(烤漆色號編碼!C19="","-",烤漆色號編碼!C19)</f>
        <v>閃銀</v>
      </c>
      <c r="E21" s="64" t="str">
        <f>IF(烤漆色號編碼!B19="","-",烤漆色號編碼!B19)</f>
        <v>SAT</v>
      </c>
      <c r="F21" s="63"/>
      <c r="G21" s="63"/>
      <c r="H21" s="64">
        <f>IFERROR((F21*25)+G21,"-")</f>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x14ac:dyDescent="0.15">
      <c r="B22" s="87">
        <v>18</v>
      </c>
      <c r="C22" s="64" t="str">
        <f>IF(烤漆色號編碼!A20="","-",烤漆色號編碼!A20)</f>
        <v>K-5257CSB</v>
      </c>
      <c r="D22" s="64" t="str">
        <f>IF(烤漆色號編碼!C20="","-",烤漆色號編碼!C20)</f>
        <v>新閃銀</v>
      </c>
      <c r="E22" s="64" t="str">
        <f>IF(烤漆色號編碼!B20="","-",烤漆色號編碼!B20)</f>
        <v>SAT1</v>
      </c>
      <c r="F22" s="63">
        <v>2</v>
      </c>
      <c r="G22" s="63">
        <f>23+11+10</f>
        <v>44</v>
      </c>
      <c r="H22" s="64">
        <f>IFERROR((F22*25)+G22,"-")</f>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x14ac:dyDescent="0.15">
      <c r="B23" s="87">
        <v>19</v>
      </c>
      <c r="C23" s="64" t="str">
        <f>IF(烤漆色號編碼!A21="","-",烤漆色號編碼!A21)</f>
        <v>K-4654</v>
      </c>
      <c r="D23" s="64" t="str">
        <f>IF(烤漆色號編碼!C21="","-",烤漆色號編碼!C21)</f>
        <v>紫色</v>
      </c>
      <c r="E23" s="64" t="str">
        <f>IF(烤漆色號編碼!B21="","-",烤漆色號編碼!B21)</f>
        <v>PEL</v>
      </c>
      <c r="F23" s="63">
        <v>2</v>
      </c>
      <c r="G23" s="63">
        <f>16+12+6</f>
        <v>34</v>
      </c>
      <c r="H23" s="64">
        <f>IFERROR((F23*25)+G23,"-")</f>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x14ac:dyDescent="0.15">
      <c r="B24" s="87">
        <v>20</v>
      </c>
      <c r="C24" s="64" t="str">
        <f>IF(烤漆色號編碼!A22="","-",烤漆色號編碼!A22)</f>
        <v>780-9B65</v>
      </c>
      <c r="D24" s="64" t="str">
        <f>IF(烤漆色號編碼!C22="","-",烤漆色號編碼!C22)</f>
        <v>銀灰</v>
      </c>
      <c r="E24" s="64" t="str">
        <f>IF(烤漆色號編碼!B22="","-",烤漆色號編碼!B22)</f>
        <v>ATG</v>
      </c>
      <c r="F24" s="63"/>
      <c r="G24" s="63"/>
      <c r="H24" s="64">
        <f>IFERROR((F24*25)+G24,"-")</f>
        <v>0</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x14ac:dyDescent="0.15">
      <c r="B25" s="87">
        <v>20</v>
      </c>
      <c r="C25" s="64" t="str">
        <f>IF(烤漆色號編碼!A23="","-",烤漆色號編碼!A23)</f>
        <v>780-9Q70</v>
      </c>
      <c r="D25" s="64" t="str">
        <f>IF(烤漆色號編碼!C23="","-",烤漆色號編碼!C23)</f>
        <v>銀灰</v>
      </c>
      <c r="E25" s="64" t="str">
        <f>IF(烤漆色號編碼!B23="","-",烤漆色號編碼!B23)</f>
        <v>ATG</v>
      </c>
      <c r="F25" s="63"/>
      <c r="G25" s="63"/>
      <c r="H25" s="64">
        <f>IFERROR((F25*25)+G25,"-")</f>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x14ac:dyDescent="0.15">
      <c r="B26" s="87">
        <v>21</v>
      </c>
      <c r="C26" s="64" t="str">
        <f>IF(烤漆色號編碼!A24="","-",烤漆色號編碼!A24)</f>
        <v>780-6902</v>
      </c>
      <c r="D26" s="64" t="str">
        <f>IF(烤漆色號編碼!C24="","-",烤漆色號編碼!C24)</f>
        <v>綠色</v>
      </c>
      <c r="E26" s="64" t="str">
        <f>IF(烤漆色號編碼!B24="","-",烤漆色號編碼!B24)</f>
        <v>GN</v>
      </c>
      <c r="F26" s="63">
        <v>2</v>
      </c>
      <c r="G26" s="63">
        <v>17</v>
      </c>
      <c r="H26" s="64">
        <f>IFERROR((F26*25)+G26,"-")</f>
        <v>67</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x14ac:dyDescent="0.15">
      <c r="B27" s="87">
        <v>22</v>
      </c>
      <c r="C27" s="64" t="str">
        <f>IF(烤漆色號編碼!A25="","-",烤漆色號編碼!A25)</f>
        <v>A-10067</v>
      </c>
      <c r="D27" s="64" t="str">
        <f>IF(烤漆色號編碼!C25="","-",烤漆色號編碼!C25)</f>
        <v>橘色</v>
      </c>
      <c r="E27" s="64" t="str">
        <f>IF(烤漆色號編碼!B25="","-",烤漆色號編碼!B25)</f>
        <v>OE</v>
      </c>
      <c r="F27" s="63">
        <v>1</v>
      </c>
      <c r="G27" s="63">
        <f>26+24+22</f>
        <v>72</v>
      </c>
      <c r="H27" s="64">
        <f>IFERROR((F27*25)+G27,"-")</f>
        <v>97</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x14ac:dyDescent="0.15">
      <c r="B28" s="87">
        <v>23</v>
      </c>
      <c r="C28" s="64" t="str">
        <f>IF(烤漆色號編碼!A26="","-",烤漆色號編碼!A26)</f>
        <v>4605-702A</v>
      </c>
      <c r="D28" s="64" t="str">
        <f>IF(烤漆色號編碼!C26="","-",烤漆色號編碼!C26)</f>
        <v>鐵灰</v>
      </c>
      <c r="E28" s="64" t="str">
        <f>IF(烤漆色號編碼!B26="","-",烤漆色號編碼!B26)</f>
        <v>IG</v>
      </c>
      <c r="F28" s="63">
        <v>1</v>
      </c>
      <c r="G28" s="63">
        <v>3</v>
      </c>
      <c r="H28" s="64">
        <f>IFERROR((F28*25)+G28,"-")</f>
        <v>28</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x14ac:dyDescent="0.15">
      <c r="B29" s="87">
        <v>24</v>
      </c>
      <c r="C29" s="64" t="str">
        <f>IF(烤漆色號編碼!A27="","-",烤漆色號編碼!A27)</f>
        <v>4900-246</v>
      </c>
      <c r="D29" s="64" t="str">
        <f>IF(烤漆色號編碼!C27="","-",烤漆色號編碼!C27)</f>
        <v>鵝黃色</v>
      </c>
      <c r="E29" s="64" t="str">
        <f>IF(烤漆色號編碼!B27="","-",烤漆色號編碼!B27)</f>
        <v>GYW</v>
      </c>
      <c r="F29" s="63"/>
      <c r="G29" s="63">
        <v>22</v>
      </c>
      <c r="H29" s="64">
        <f>IFERROR((F29*25)+G29,"-")</f>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x14ac:dyDescent="0.15">
      <c r="B30" s="87">
        <v>25</v>
      </c>
      <c r="C30" s="64" t="str">
        <f>IF(烤漆色號編碼!A28="","-",烤漆色號編碼!A28)</f>
        <v>4900-149</v>
      </c>
      <c r="D30" s="64" t="str">
        <f>IF(烤漆色號編碼!C28="","-",烤漆色號編碼!C28)</f>
        <v>粉紅色</v>
      </c>
      <c r="E30" s="64" t="str">
        <f>IF(烤漆色號編碼!B28="","-",烤漆色號編碼!B28)</f>
        <v>PK</v>
      </c>
      <c r="F30" s="63">
        <v>6</v>
      </c>
      <c r="G30" s="63">
        <f>14+1</f>
        <v>15</v>
      </c>
      <c r="H30" s="64">
        <f>IFERROR((F30*25)+G30,"-")</f>
        <v>165</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x14ac:dyDescent="0.15">
      <c r="B31" s="87">
        <v>26</v>
      </c>
      <c r="C31" s="64" t="str">
        <f>IF(烤漆色號編碼!A29="","-",烤漆色號編碼!A29)</f>
        <v>K-5510SCB</v>
      </c>
      <c r="D31" s="64" t="str">
        <f>IF(烤漆色號編碼!C29="","-",烤漆色號編碼!C29)</f>
        <v>黃金閃銀</v>
      </c>
      <c r="E31" s="64" t="str">
        <f>IF(烤漆色號編碼!B29="","-",烤漆色號編碼!B29)</f>
        <v>GSAT</v>
      </c>
      <c r="F31" s="63"/>
      <c r="G31" s="63">
        <v>9</v>
      </c>
      <c r="H31" s="64">
        <f>IFERROR((F31*25)+G31,"-")</f>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x14ac:dyDescent="0.15">
      <c r="B32" s="87">
        <v>27</v>
      </c>
      <c r="C32" s="64" t="str">
        <f>IF(烤漆色號編碼!A30="","-",烤漆色號編碼!A30)</f>
        <v>O-5337H</v>
      </c>
      <c r="D32" s="64" t="str">
        <f>IF(烤漆色號編碼!C30="","-",烤漆色號編碼!C30)</f>
        <v>黃錘紋</v>
      </c>
      <c r="E32" s="64" t="str">
        <f>IF(烤漆色號編碼!B30="","-",烤漆色號編碼!B30)</f>
        <v>YWH</v>
      </c>
      <c r="F32" s="63"/>
      <c r="G32" s="63"/>
      <c r="H32" s="64">
        <f>IFERROR((F32*25)+G32,"-")</f>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x14ac:dyDescent="0.15">
      <c r="B33" s="87">
        <v>28</v>
      </c>
      <c r="C33" s="64" t="str">
        <f>IF(烤漆色號編碼!A31="","-",烤漆色號編碼!A31)</f>
        <v>E-BY112</v>
      </c>
      <c r="D33" s="64" t="str">
        <f>IF(烤漆色號編碼!C31="","-",烤漆色號編碼!C31)</f>
        <v>灰色</v>
      </c>
      <c r="E33" s="64" t="str">
        <f>IF(烤漆色號編碼!B31="","-",烤漆色號編碼!B31)</f>
        <v>ATG</v>
      </c>
      <c r="F33" s="63"/>
      <c r="G33" s="63"/>
      <c r="H33" s="64">
        <f>IFERROR((F33*25)+G33,"-")</f>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x14ac:dyDescent="0.15">
      <c r="B34" s="87">
        <v>29</v>
      </c>
      <c r="C34" s="64" t="str">
        <f>IF(烤漆色號編碼!A32="","-",烤漆色號編碼!A32)</f>
        <v>BP-133S</v>
      </c>
      <c r="D34" s="64" t="str">
        <f>IF(烤漆色號編碼!C32="","-",烤漆色號編碼!C32)</f>
        <v>閃銀</v>
      </c>
      <c r="E34" s="64" t="str">
        <f>IF(烤漆色號編碼!B32="","-",烤漆色號編碼!B32)</f>
        <v>SAT2</v>
      </c>
      <c r="F34" s="63">
        <v>4</v>
      </c>
      <c r="G34" s="63">
        <v>9</v>
      </c>
      <c r="H34" s="64">
        <f>IFERROR((F34*25)+G34,"-")</f>
        <v>109</v>
      </c>
      <c r="K34" s="86">
        <v>29</v>
      </c>
      <c r="L34" s="89" t="str">
        <f>IF(烤漆色號編碼!K36="","-",烤漆色號編碼!K36)</f>
        <v>-</v>
      </c>
      <c r="M34" s="89" t="str">
        <f>IF(烤漆色號編碼!M36="","-",烤漆色號編碼!M36)</f>
        <v>-</v>
      </c>
      <c r="N34" s="89" t="str">
        <f>IF(烤漆色號編碼!L36="","-",烤漆色號編碼!L36)</f>
        <v>-</v>
      </c>
      <c r="O34" s="89"/>
      <c r="P34" s="89"/>
      <c r="Q34" s="89"/>
    </row>
    <row r="35" spans="2:17" x14ac:dyDescent="0.15">
      <c r="B35" s="87">
        <v>30</v>
      </c>
      <c r="C35" s="64" t="str">
        <f>IF(烤漆色號編碼!A33="","-",烤漆色號編碼!A33)</f>
        <v>PC-20537Y</v>
      </c>
      <c r="D35" s="64" t="str">
        <f>IF(烤漆色號編碼!C33="","-",烤漆色號編碼!C33)</f>
        <v>灰平光</v>
      </c>
      <c r="E35" s="64" t="str">
        <f>IF(烤漆色號編碼!B33="","-",烤漆色號編碼!B33)</f>
        <v>ATG</v>
      </c>
      <c r="F35" s="63"/>
      <c r="G35" s="63">
        <v>6</v>
      </c>
      <c r="H35" s="64">
        <f>IFERROR((F35*25)+G35,"-")</f>
        <v>6</v>
      </c>
      <c r="K35" s="86">
        <v>30</v>
      </c>
      <c r="L35" s="89" t="str">
        <f>IF(烤漆色號編碼!K37="","-",烤漆色號編碼!K37)</f>
        <v>-</v>
      </c>
      <c r="M35" s="89" t="str">
        <f>IF(烤漆色號編碼!M37="","-",烤漆色號編碼!M37)</f>
        <v>-</v>
      </c>
      <c r="N35" s="89" t="str">
        <f>IF(烤漆色號編碼!L37="","-",烤漆色號編碼!L37)</f>
        <v>-</v>
      </c>
      <c r="O35" s="89"/>
      <c r="P35" s="89"/>
      <c r="Q35" s="89"/>
    </row>
    <row r="36" spans="2:17" x14ac:dyDescent="0.15">
      <c r="B36" s="87">
        <v>31</v>
      </c>
      <c r="C36" s="64" t="str">
        <f>IF(烤漆色號編碼!A34="","-",烤漆色號編碼!A34)</f>
        <v>008/2H056</v>
      </c>
      <c r="D36" s="64" t="str">
        <f>IF(烤漆色號編碼!C34="","-",烤漆色號編碼!C34)</f>
        <v>黃亮光</v>
      </c>
      <c r="E36" s="64" t="str">
        <f>IF(烤漆色號編碼!B34="","-",烤漆色號編碼!B34)</f>
        <v>YW1</v>
      </c>
      <c r="F36" s="63">
        <v>2</v>
      </c>
      <c r="G36" s="63">
        <v>6</v>
      </c>
      <c r="H36" s="64">
        <f>IFERROR((F36*25)+G36,"-")</f>
        <v>56</v>
      </c>
      <c r="K36" s="86">
        <v>31</v>
      </c>
      <c r="L36" s="89" t="str">
        <f>IF(烤漆色號編碼!K38="","-",烤漆色號編碼!K38)</f>
        <v>-</v>
      </c>
      <c r="M36" s="89" t="str">
        <f>IF(烤漆色號編碼!M38="","-",烤漆色號編碼!M38)</f>
        <v>-</v>
      </c>
      <c r="N36" s="89" t="str">
        <f>IF(烤漆色號編碼!L38="","-",烤漆色號編碼!L38)</f>
        <v>-</v>
      </c>
      <c r="O36" s="89"/>
      <c r="P36" s="89"/>
      <c r="Q36" s="89"/>
    </row>
    <row r="37" spans="2:17" x14ac:dyDescent="0.15">
      <c r="B37" s="87">
        <v>32</v>
      </c>
      <c r="C37" s="64" t="str">
        <f>IF(烤漆色號編碼!A35="","-",烤漆色號編碼!A35)</f>
        <v>008/1H127</v>
      </c>
      <c r="D37" s="64" t="str">
        <f>IF(烤漆色號編碼!C35="","-",烤漆色號編碼!C35)</f>
        <v>白亮光</v>
      </c>
      <c r="E37" s="64" t="str">
        <f>IF(烤漆色號編碼!B35="","-",烤漆色號編碼!B35)</f>
        <v>WE2</v>
      </c>
      <c r="F37" s="63">
        <v>4</v>
      </c>
      <c r="G37" s="63"/>
      <c r="H37" s="64">
        <f>IFERROR((F37*25)+G37,"-")</f>
        <v>100</v>
      </c>
      <c r="K37" s="86">
        <v>32</v>
      </c>
      <c r="L37" s="90" t="s">
        <v>50</v>
      </c>
      <c r="M37" s="90" t="s">
        <v>51</v>
      </c>
      <c r="N37" s="90" t="s">
        <v>50</v>
      </c>
      <c r="O37" s="90" t="s">
        <v>50</v>
      </c>
      <c r="P37" s="90">
        <f t="shared" ref="P35:P66" si="1">Q37/25</f>
        <v>0</v>
      </c>
      <c r="Q37" s="90"/>
    </row>
    <row r="38" spans="2:17" x14ac:dyDescent="0.15">
      <c r="B38" s="87">
        <v>33</v>
      </c>
      <c r="C38" s="64"/>
      <c r="D38" s="64" t="str">
        <f>IF(烤漆色號編碼!C39="","-",烤漆色號編碼!C39)</f>
        <v>-</v>
      </c>
      <c r="E38" s="64" t="str">
        <f>IF(烤漆色號編碼!B39="","-",烤漆色號編碼!B39)</f>
        <v>-</v>
      </c>
      <c r="F38" s="64"/>
      <c r="G38" s="64"/>
      <c r="H38" s="64">
        <f>IFERROR((F38*25)+G38,"-")</f>
        <v>0</v>
      </c>
      <c r="K38" s="86">
        <v>33</v>
      </c>
      <c r="L38" s="89" t="s">
        <v>50</v>
      </c>
      <c r="M38" s="89" t="s">
        <v>51</v>
      </c>
      <c r="N38" s="89" t="s">
        <v>50</v>
      </c>
      <c r="O38" s="89" t="s">
        <v>50</v>
      </c>
      <c r="P38" s="89">
        <f t="shared" si="1"/>
        <v>0</v>
      </c>
      <c r="Q38" s="89"/>
    </row>
    <row r="39" spans="2:17" x14ac:dyDescent="0.15">
      <c r="B39" s="87">
        <v>34</v>
      </c>
      <c r="C39" s="64"/>
      <c r="D39" s="64" t="str">
        <f>IF(烤漆色號編碼!C40="","-",烤漆色號編碼!C40)</f>
        <v>-</v>
      </c>
      <c r="E39" s="64" t="str">
        <f>IF(烤漆色號編碼!B40="","-",烤漆色號編碼!B40)</f>
        <v>-</v>
      </c>
      <c r="F39" s="64"/>
      <c r="G39" s="64"/>
      <c r="H39" s="64">
        <f>IFERROR((F39*25)+G39,"-")</f>
        <v>0</v>
      </c>
      <c r="K39" s="86">
        <v>34</v>
      </c>
      <c r="L39" s="90" t="s">
        <v>50</v>
      </c>
      <c r="M39" s="90" t="s">
        <v>51</v>
      </c>
      <c r="N39" s="90" t="s">
        <v>50</v>
      </c>
      <c r="O39" s="90" t="s">
        <v>50</v>
      </c>
      <c r="P39" s="90">
        <f t="shared" si="1"/>
        <v>0</v>
      </c>
      <c r="Q39" s="90"/>
    </row>
    <row r="40" spans="2:17" x14ac:dyDescent="0.15">
      <c r="B40" s="87">
        <v>35</v>
      </c>
      <c r="C40" s="64"/>
      <c r="D40" s="64" t="str">
        <f>IF(烤漆色號編碼!C41="","-",烤漆色號編碼!C41)</f>
        <v>-</v>
      </c>
      <c r="E40" s="64" t="str">
        <f>IF(烤漆色號編碼!B41="","-",烤漆色號編碼!B41)</f>
        <v>-</v>
      </c>
      <c r="F40" s="64"/>
      <c r="G40" s="64"/>
      <c r="H40" s="64">
        <f>IFERROR((F40*25)+G40,"-")</f>
        <v>0</v>
      </c>
      <c r="K40" s="86">
        <v>35</v>
      </c>
      <c r="L40" s="89" t="s">
        <v>50</v>
      </c>
      <c r="M40" s="89" t="s">
        <v>51</v>
      </c>
      <c r="N40" s="89" t="s">
        <v>50</v>
      </c>
      <c r="O40" s="89" t="s">
        <v>50</v>
      </c>
      <c r="P40" s="89">
        <f t="shared" si="1"/>
        <v>0</v>
      </c>
      <c r="Q40" s="89"/>
    </row>
    <row r="41" spans="2:17" x14ac:dyDescent="0.15">
      <c r="B41" s="87">
        <v>36</v>
      </c>
      <c r="C41" s="64"/>
      <c r="D41" s="64" t="str">
        <f>IF(烤漆色號編碼!C42="","-",烤漆色號編碼!C42)</f>
        <v>-</v>
      </c>
      <c r="E41" s="64" t="str">
        <f>IF(烤漆色號編碼!B42="","-",烤漆色號編碼!B42)</f>
        <v>-</v>
      </c>
      <c r="F41" s="64"/>
      <c r="G41" s="64"/>
      <c r="H41" s="64">
        <f>IFERROR((F41*25)+G41,"-")</f>
        <v>0</v>
      </c>
      <c r="K41" s="86">
        <v>36</v>
      </c>
      <c r="L41" s="90" t="s">
        <v>50</v>
      </c>
      <c r="M41" s="90" t="s">
        <v>51</v>
      </c>
      <c r="N41" s="90" t="s">
        <v>50</v>
      </c>
      <c r="O41" s="90" t="s">
        <v>50</v>
      </c>
      <c r="P41" s="90">
        <f t="shared" si="1"/>
        <v>0</v>
      </c>
      <c r="Q41" s="90"/>
    </row>
    <row r="42" spans="2:17" x14ac:dyDescent="0.15">
      <c r="B42" s="87">
        <v>37</v>
      </c>
      <c r="C42" s="64"/>
      <c r="D42" s="64" t="str">
        <f>IF(烤漆色號編碼!C43="","-",烤漆色號編碼!C43)</f>
        <v>-</v>
      </c>
      <c r="E42" s="64" t="str">
        <f>IF(烤漆色號編碼!B43="","-",烤漆色號編碼!B43)</f>
        <v>-</v>
      </c>
      <c r="F42" s="64"/>
      <c r="G42" s="64"/>
      <c r="H42" s="64">
        <f>IFERROR((F42*25)+G42,"-")</f>
        <v>0</v>
      </c>
      <c r="K42" s="86">
        <v>37</v>
      </c>
      <c r="L42" s="89" t="s">
        <v>50</v>
      </c>
      <c r="M42" s="89" t="s">
        <v>51</v>
      </c>
      <c r="N42" s="89" t="s">
        <v>50</v>
      </c>
      <c r="O42" s="89" t="s">
        <v>50</v>
      </c>
      <c r="P42" s="89">
        <f t="shared" si="1"/>
        <v>0</v>
      </c>
      <c r="Q42" s="89"/>
    </row>
    <row r="43" spans="2:17" x14ac:dyDescent="0.15">
      <c r="B43" s="87">
        <v>38</v>
      </c>
      <c r="C43" s="64"/>
      <c r="D43" s="64" t="str">
        <f>IF(烤漆色號編碼!C44="","-",烤漆色號編碼!C44)</f>
        <v>-</v>
      </c>
      <c r="E43" s="64" t="str">
        <f>IF(烤漆色號編碼!B44="","-",烤漆色號編碼!B44)</f>
        <v>-</v>
      </c>
      <c r="F43" s="64"/>
      <c r="G43" s="64"/>
      <c r="H43" s="64">
        <f>IFERROR((F43*25)+G43,"-")</f>
        <v>0</v>
      </c>
      <c r="K43" s="86">
        <v>38</v>
      </c>
      <c r="L43" s="90" t="s">
        <v>50</v>
      </c>
      <c r="M43" s="90" t="s">
        <v>51</v>
      </c>
      <c r="N43" s="90" t="s">
        <v>50</v>
      </c>
      <c r="O43" s="90" t="s">
        <v>50</v>
      </c>
      <c r="P43" s="90">
        <f t="shared" si="1"/>
        <v>0</v>
      </c>
      <c r="Q43" s="90"/>
    </row>
    <row r="44" spans="2:17" x14ac:dyDescent="0.15">
      <c r="B44" s="87">
        <v>39</v>
      </c>
      <c r="C44" s="64"/>
      <c r="D44" s="64" t="str">
        <f>IF(烤漆色號編碼!C45="","-",烤漆色號編碼!C45)</f>
        <v>-</v>
      </c>
      <c r="E44" s="64" t="str">
        <f>IF(烤漆色號編碼!B45="","-",烤漆色號編碼!B45)</f>
        <v>-</v>
      </c>
      <c r="F44" s="64"/>
      <c r="G44" s="64"/>
      <c r="H44" s="64">
        <f>IFERROR((F44*25)+G44,"-")</f>
        <v>0</v>
      </c>
      <c r="K44" s="86">
        <v>39</v>
      </c>
      <c r="L44" s="89" t="s">
        <v>50</v>
      </c>
      <c r="M44" s="89" t="s">
        <v>51</v>
      </c>
      <c r="N44" s="89" t="s">
        <v>50</v>
      </c>
      <c r="O44" s="89" t="s">
        <v>50</v>
      </c>
      <c r="P44" s="89">
        <f t="shared" si="1"/>
        <v>0</v>
      </c>
      <c r="Q44" s="89"/>
    </row>
    <row r="45" spans="2:17" x14ac:dyDescent="0.15">
      <c r="B45" s="87">
        <v>40</v>
      </c>
      <c r="C45" s="64"/>
      <c r="D45" s="64" t="str">
        <f>IF(烤漆色號編碼!C46="","-",烤漆色號編碼!C46)</f>
        <v>-</v>
      </c>
      <c r="E45" s="64" t="str">
        <f>IF(烤漆色號編碼!B46="","-",烤漆色號編碼!B46)</f>
        <v>-</v>
      </c>
      <c r="F45" s="64"/>
      <c r="G45" s="64"/>
      <c r="H45" s="64">
        <f>IFERROR((F45*25)+G45,"-")</f>
        <v>0</v>
      </c>
      <c r="K45" s="86">
        <v>40</v>
      </c>
      <c r="L45" s="90" t="s">
        <v>50</v>
      </c>
      <c r="M45" s="90" t="s">
        <v>51</v>
      </c>
      <c r="N45" s="90" t="s">
        <v>50</v>
      </c>
      <c r="O45" s="90" t="s">
        <v>50</v>
      </c>
      <c r="P45" s="90">
        <f t="shared" si="1"/>
        <v>0</v>
      </c>
      <c r="Q45" s="90"/>
    </row>
    <row r="46" spans="2:17" x14ac:dyDescent="0.15">
      <c r="B46" s="87">
        <v>41</v>
      </c>
      <c r="C46" s="64"/>
      <c r="D46" s="64" t="str">
        <f>IF(烤漆色號編碼!C47="","-",烤漆色號編碼!C47)</f>
        <v>-</v>
      </c>
      <c r="E46" s="64" t="str">
        <f>IF(烤漆色號編碼!B47="","-",烤漆色號編碼!B47)</f>
        <v>-</v>
      </c>
      <c r="F46" s="64"/>
      <c r="G46" s="64"/>
      <c r="H46" s="64">
        <f>IFERROR((F46*25)+G46,"-")</f>
        <v>0</v>
      </c>
      <c r="K46" s="86">
        <v>41</v>
      </c>
      <c r="L46" s="89" t="s">
        <v>50</v>
      </c>
      <c r="M46" s="89" t="s">
        <v>51</v>
      </c>
      <c r="N46" s="89" t="s">
        <v>50</v>
      </c>
      <c r="O46" s="89" t="s">
        <v>50</v>
      </c>
      <c r="P46" s="89">
        <f t="shared" si="1"/>
        <v>0</v>
      </c>
      <c r="Q46" s="89"/>
    </row>
    <row r="47" spans="2:17" x14ac:dyDescent="0.15">
      <c r="B47" s="87">
        <v>42</v>
      </c>
      <c r="C47" s="64"/>
      <c r="D47" s="64" t="str">
        <f>IF(烤漆色號編碼!C48="","-",烤漆色號編碼!C48)</f>
        <v>-</v>
      </c>
      <c r="E47" s="64" t="str">
        <f>IF(烤漆色號編碼!B48="","-",烤漆色號編碼!B48)</f>
        <v>-</v>
      </c>
      <c r="F47" s="64"/>
      <c r="G47" s="64"/>
      <c r="H47" s="64">
        <f>IFERROR((F47*25)+G47,"-")</f>
        <v>0</v>
      </c>
      <c r="K47" s="86">
        <v>42</v>
      </c>
      <c r="L47" s="90" t="s">
        <v>50</v>
      </c>
      <c r="M47" s="90" t="s">
        <v>51</v>
      </c>
      <c r="N47" s="90" t="s">
        <v>50</v>
      </c>
      <c r="O47" s="90" t="s">
        <v>50</v>
      </c>
      <c r="P47" s="90">
        <f t="shared" si="1"/>
        <v>0</v>
      </c>
      <c r="Q47" s="90"/>
    </row>
    <row r="48" spans="2:17" x14ac:dyDescent="0.15">
      <c r="B48" s="87">
        <v>43</v>
      </c>
      <c r="C48" s="64"/>
      <c r="D48" s="64" t="str">
        <f>IF(烤漆色號編碼!C49="","-",烤漆色號編碼!C49)</f>
        <v>-</v>
      </c>
      <c r="E48" s="64" t="str">
        <f>IF(烤漆色號編碼!B49="","-",烤漆色號編碼!B49)</f>
        <v>-</v>
      </c>
      <c r="F48" s="64"/>
      <c r="G48" s="64"/>
      <c r="H48" s="64">
        <f>IFERROR((F48*25)+G48,"-")</f>
        <v>0</v>
      </c>
      <c r="K48" s="86">
        <v>43</v>
      </c>
      <c r="L48" s="89" t="s">
        <v>50</v>
      </c>
      <c r="M48" s="89" t="s">
        <v>51</v>
      </c>
      <c r="N48" s="89" t="s">
        <v>50</v>
      </c>
      <c r="O48" s="89" t="s">
        <v>50</v>
      </c>
      <c r="P48" s="89">
        <f t="shared" si="1"/>
        <v>0</v>
      </c>
      <c r="Q48" s="89"/>
    </row>
    <row r="49" spans="2:17" x14ac:dyDescent="0.15">
      <c r="B49" s="87">
        <v>44</v>
      </c>
      <c r="C49" s="64"/>
      <c r="D49" s="64" t="str">
        <f>IF(烤漆色號編碼!C50="","-",烤漆色號編碼!C50)</f>
        <v>-</v>
      </c>
      <c r="E49" s="64" t="str">
        <f>IF(烤漆色號編碼!B50="","-",烤漆色號編碼!B50)</f>
        <v>-</v>
      </c>
      <c r="F49" s="64"/>
      <c r="G49" s="64"/>
      <c r="H49" s="64">
        <f>IFERROR((F49*25)+G49,"-")</f>
        <v>0</v>
      </c>
      <c r="K49" s="86">
        <v>44</v>
      </c>
      <c r="L49" s="90" t="s">
        <v>50</v>
      </c>
      <c r="M49" s="90" t="s">
        <v>51</v>
      </c>
      <c r="N49" s="90" t="s">
        <v>50</v>
      </c>
      <c r="O49" s="90" t="s">
        <v>50</v>
      </c>
      <c r="P49" s="90">
        <f t="shared" si="1"/>
        <v>0</v>
      </c>
      <c r="Q49" s="90"/>
    </row>
    <row r="50" spans="2:17" x14ac:dyDescent="0.15">
      <c r="B50" s="87">
        <v>45</v>
      </c>
      <c r="C50" s="64"/>
      <c r="D50" s="64" t="str">
        <f>IF(烤漆色號編碼!C51="","-",烤漆色號編碼!C51)</f>
        <v>-</v>
      </c>
      <c r="E50" s="64" t="str">
        <f>IF(烤漆色號編碼!B51="","-",烤漆色號編碼!B51)</f>
        <v>-</v>
      </c>
      <c r="F50" s="64"/>
      <c r="G50" s="64"/>
      <c r="H50" s="64">
        <f>IFERROR((F50*25)+G50,"-")</f>
        <v>0</v>
      </c>
      <c r="K50" s="86">
        <v>45</v>
      </c>
      <c r="L50" s="89" t="s">
        <v>50</v>
      </c>
      <c r="M50" s="89" t="s">
        <v>51</v>
      </c>
      <c r="N50" s="89" t="s">
        <v>50</v>
      </c>
      <c r="O50" s="89" t="s">
        <v>50</v>
      </c>
      <c r="P50" s="89">
        <f t="shared" si="1"/>
        <v>0</v>
      </c>
      <c r="Q50" s="89"/>
    </row>
    <row r="51" spans="2:17" x14ac:dyDescent="0.15">
      <c r="B51" s="87">
        <v>46</v>
      </c>
      <c r="C51" s="64"/>
      <c r="D51" s="64" t="str">
        <f>IF(烤漆色號編碼!C52="","-",烤漆色號編碼!C52)</f>
        <v>-</v>
      </c>
      <c r="E51" s="64" t="str">
        <f>IF(烤漆色號編碼!B52="","-",烤漆色號編碼!B52)</f>
        <v>-</v>
      </c>
      <c r="F51" s="64"/>
      <c r="G51" s="64"/>
      <c r="H51" s="64">
        <f>IFERROR((F51*25)+G51,"-")</f>
        <v>0</v>
      </c>
      <c r="K51" s="86">
        <v>46</v>
      </c>
      <c r="L51" s="90" t="s">
        <v>50</v>
      </c>
      <c r="M51" s="90" t="s">
        <v>51</v>
      </c>
      <c r="N51" s="90" t="s">
        <v>50</v>
      </c>
      <c r="O51" s="90" t="s">
        <v>50</v>
      </c>
      <c r="P51" s="90">
        <f t="shared" si="1"/>
        <v>0</v>
      </c>
      <c r="Q51" s="90"/>
    </row>
    <row r="52" spans="2:17" x14ac:dyDescent="0.15">
      <c r="B52" s="87">
        <v>47</v>
      </c>
      <c r="C52" s="64"/>
      <c r="D52" s="64" t="str">
        <f>IF(烤漆色號編碼!C53="","-",烤漆色號編碼!C53)</f>
        <v>-</v>
      </c>
      <c r="E52" s="64" t="str">
        <f>IF(烤漆色號編碼!B53="","-",烤漆色號編碼!B53)</f>
        <v>-</v>
      </c>
      <c r="F52" s="64"/>
      <c r="G52" s="64"/>
      <c r="H52" s="64">
        <f>IFERROR((F52*25)+G52,"-")</f>
        <v>0</v>
      </c>
      <c r="K52" s="86">
        <v>47</v>
      </c>
      <c r="L52" s="89" t="s">
        <v>50</v>
      </c>
      <c r="M52" s="89" t="s">
        <v>51</v>
      </c>
      <c r="N52" s="89" t="s">
        <v>50</v>
      </c>
      <c r="O52" s="89" t="s">
        <v>50</v>
      </c>
      <c r="P52" s="89">
        <f t="shared" si="1"/>
        <v>0</v>
      </c>
      <c r="Q52" s="89"/>
    </row>
    <row r="53" spans="2:17" x14ac:dyDescent="0.15">
      <c r="B53" s="87">
        <v>48</v>
      </c>
      <c r="C53" s="64"/>
      <c r="D53" s="64" t="str">
        <f>IF(烤漆色號編碼!C54="","-",烤漆色號編碼!C54)</f>
        <v>-</v>
      </c>
      <c r="E53" s="64" t="str">
        <f>IF(烤漆色號編碼!B54="","-",烤漆色號編碼!B54)</f>
        <v>-</v>
      </c>
      <c r="F53" s="64"/>
      <c r="G53" s="64"/>
      <c r="H53" s="64">
        <f>IFERROR((F53*25)+G53,"-")</f>
        <v>0</v>
      </c>
      <c r="K53" s="86">
        <v>48</v>
      </c>
      <c r="L53" s="90" t="s">
        <v>50</v>
      </c>
      <c r="M53" s="90" t="s">
        <v>51</v>
      </c>
      <c r="N53" s="90" t="s">
        <v>50</v>
      </c>
      <c r="O53" s="90" t="s">
        <v>50</v>
      </c>
      <c r="P53" s="90">
        <f t="shared" si="1"/>
        <v>0</v>
      </c>
      <c r="Q53" s="90"/>
    </row>
    <row r="54" spans="2:17" x14ac:dyDescent="0.15">
      <c r="B54" s="87">
        <v>49</v>
      </c>
      <c r="C54" s="64"/>
      <c r="D54" s="64" t="str">
        <f>IF(烤漆色號編碼!C55="","-",烤漆色號編碼!C55)</f>
        <v>-</v>
      </c>
      <c r="E54" s="64" t="str">
        <f>IF(烤漆色號編碼!B55="","-",烤漆色號編碼!B55)</f>
        <v>-</v>
      </c>
      <c r="F54" s="64"/>
      <c r="G54" s="64"/>
      <c r="H54" s="64">
        <f>IFERROR((F54*25)+G54,"-")</f>
        <v>0</v>
      </c>
      <c r="K54" s="86">
        <v>49</v>
      </c>
      <c r="L54" s="89" t="s">
        <v>50</v>
      </c>
      <c r="M54" s="89" t="s">
        <v>51</v>
      </c>
      <c r="N54" s="89" t="s">
        <v>50</v>
      </c>
      <c r="O54" s="89" t="s">
        <v>50</v>
      </c>
      <c r="P54" s="89">
        <f t="shared" si="1"/>
        <v>0</v>
      </c>
      <c r="Q54" s="89"/>
    </row>
    <row r="55" spans="2:17" x14ac:dyDescent="0.15">
      <c r="B55" s="87">
        <v>50</v>
      </c>
      <c r="C55" s="64"/>
      <c r="D55" s="64" t="str">
        <f>IF(烤漆色號編碼!C56="","-",烤漆色號編碼!C56)</f>
        <v>-</v>
      </c>
      <c r="E55" s="64" t="str">
        <f>IF(烤漆色號編碼!B56="","-",烤漆色號編碼!B56)</f>
        <v>-</v>
      </c>
      <c r="F55" s="64"/>
      <c r="G55" s="64"/>
      <c r="H55" s="64">
        <f>IFERROR((F55*25)+G55,"-")</f>
        <v>0</v>
      </c>
      <c r="K55" s="86">
        <v>50</v>
      </c>
      <c r="L55" s="90" t="s">
        <v>50</v>
      </c>
      <c r="M55" s="90" t="s">
        <v>51</v>
      </c>
      <c r="N55" s="90" t="s">
        <v>50</v>
      </c>
      <c r="O55" s="90" t="s">
        <v>50</v>
      </c>
      <c r="P55" s="90">
        <f t="shared" si="1"/>
        <v>0</v>
      </c>
      <c r="Q55" s="90"/>
    </row>
    <row r="56" spans="2:17" x14ac:dyDescent="0.15">
      <c r="B56" s="87">
        <v>51</v>
      </c>
      <c r="C56" s="64"/>
      <c r="D56" s="64" t="str">
        <f>IF(烤漆色號編碼!C57="","-",烤漆色號編碼!C57)</f>
        <v>-</v>
      </c>
      <c r="E56" s="64" t="str">
        <f>IF(烤漆色號編碼!B57="","-",烤漆色號編碼!B57)</f>
        <v>-</v>
      </c>
      <c r="F56" s="64"/>
      <c r="G56" s="64"/>
      <c r="H56" s="64">
        <f>IFERROR((F56*25)+G56,"-")</f>
        <v>0</v>
      </c>
      <c r="K56" s="86">
        <v>51</v>
      </c>
      <c r="L56" s="89" t="s">
        <v>50</v>
      </c>
      <c r="M56" s="89" t="s">
        <v>50</v>
      </c>
      <c r="N56" s="89" t="s">
        <v>50</v>
      </c>
      <c r="O56" s="89" t="s">
        <v>50</v>
      </c>
      <c r="P56" s="89">
        <f t="shared" si="1"/>
        <v>0</v>
      </c>
      <c r="Q56" s="89"/>
    </row>
    <row r="57" spans="2:17" x14ac:dyDescent="0.15">
      <c r="B57" s="87">
        <v>52</v>
      </c>
      <c r="C57" s="64"/>
      <c r="D57" s="64" t="str">
        <f>IF(烤漆色號編碼!C58="","-",烤漆色號編碼!C58)</f>
        <v>-</v>
      </c>
      <c r="E57" s="64" t="str">
        <f>IF(烤漆色號編碼!B58="","-",烤漆色號編碼!B58)</f>
        <v>-</v>
      </c>
      <c r="F57" s="64"/>
      <c r="G57" s="64"/>
      <c r="H57" s="64">
        <f>IFERROR((F57*25)+G57,"-")</f>
        <v>0</v>
      </c>
      <c r="K57" s="86">
        <v>52</v>
      </c>
      <c r="L57" s="90" t="s">
        <v>50</v>
      </c>
      <c r="M57" s="90" t="s">
        <v>50</v>
      </c>
      <c r="N57" s="90" t="s">
        <v>50</v>
      </c>
      <c r="O57" s="90" t="s">
        <v>50</v>
      </c>
      <c r="P57" s="90">
        <f t="shared" si="1"/>
        <v>0</v>
      </c>
      <c r="Q57" s="90"/>
    </row>
    <row r="58" spans="2:17" x14ac:dyDescent="0.15">
      <c r="B58" s="87">
        <v>53</v>
      </c>
      <c r="C58" s="64"/>
      <c r="D58" s="64" t="str">
        <f>IF(烤漆色號編碼!C59="","-",烤漆色號編碼!C59)</f>
        <v>-</v>
      </c>
      <c r="E58" s="64" t="str">
        <f>IF(烤漆色號編碼!B59="","-",烤漆色號編碼!B59)</f>
        <v>-</v>
      </c>
      <c r="F58" s="64"/>
      <c r="G58" s="64"/>
      <c r="H58" s="64">
        <f>IFERROR((F58*25)+G58,"-")</f>
        <v>0</v>
      </c>
      <c r="K58" s="86">
        <v>53</v>
      </c>
      <c r="L58" s="89" t="s">
        <v>50</v>
      </c>
      <c r="M58" s="89" t="s">
        <v>50</v>
      </c>
      <c r="N58" s="89" t="s">
        <v>50</v>
      </c>
      <c r="O58" s="89" t="s">
        <v>50</v>
      </c>
      <c r="P58" s="89">
        <f t="shared" si="1"/>
        <v>0</v>
      </c>
      <c r="Q58" s="89"/>
    </row>
    <row r="59" spans="2:17" x14ac:dyDescent="0.15">
      <c r="B59" s="87">
        <v>54</v>
      </c>
      <c r="C59" s="64"/>
      <c r="D59" s="64" t="str">
        <f>IF(烤漆色號編碼!C60="","-",烤漆色號編碼!C60)</f>
        <v>-</v>
      </c>
      <c r="E59" s="64" t="str">
        <f>IF(烤漆色號編碼!B60="","-",烤漆色號編碼!B60)</f>
        <v>-</v>
      </c>
      <c r="F59" s="64"/>
      <c r="G59" s="64"/>
      <c r="H59" s="64">
        <f>IFERROR((F59*25)+G59,"-")</f>
        <v>0</v>
      </c>
      <c r="K59" s="86">
        <v>54</v>
      </c>
      <c r="L59" s="90" t="s">
        <v>50</v>
      </c>
      <c r="M59" s="90" t="s">
        <v>50</v>
      </c>
      <c r="N59" s="90" t="s">
        <v>50</v>
      </c>
      <c r="O59" s="90" t="s">
        <v>50</v>
      </c>
      <c r="P59" s="90">
        <f t="shared" si="1"/>
        <v>0</v>
      </c>
      <c r="Q59" s="90"/>
    </row>
    <row r="60" spans="2:17" x14ac:dyDescent="0.15">
      <c r="B60" s="87">
        <v>55</v>
      </c>
      <c r="C60" s="64"/>
      <c r="D60" s="64" t="str">
        <f>IF(烤漆色號編碼!C61="","-",烤漆色號編碼!C61)</f>
        <v>-</v>
      </c>
      <c r="E60" s="64" t="str">
        <f>IF(烤漆色號編碼!B61="","-",烤漆色號編碼!B61)</f>
        <v>-</v>
      </c>
      <c r="F60" s="64"/>
      <c r="G60" s="64"/>
      <c r="H60" s="64">
        <f>IFERROR((F60*25)+G60,"-")</f>
        <v>0</v>
      </c>
      <c r="K60" s="86">
        <v>55</v>
      </c>
      <c r="L60" s="89" t="s">
        <v>50</v>
      </c>
      <c r="M60" s="89" t="s">
        <v>50</v>
      </c>
      <c r="N60" s="89" t="s">
        <v>50</v>
      </c>
      <c r="O60" s="89" t="s">
        <v>50</v>
      </c>
      <c r="P60" s="89">
        <f t="shared" si="1"/>
        <v>0</v>
      </c>
      <c r="Q60" s="89"/>
    </row>
    <row r="61" spans="2:17" x14ac:dyDescent="0.15">
      <c r="B61" s="87">
        <v>56</v>
      </c>
      <c r="C61" s="64"/>
      <c r="D61" s="64" t="str">
        <f>IF(烤漆色號編碼!C62="","-",烤漆色號編碼!C62)</f>
        <v>-</v>
      </c>
      <c r="E61" s="64" t="str">
        <f>IF(烤漆色號編碼!B62="","-",烤漆色號編碼!B62)</f>
        <v>-</v>
      </c>
      <c r="F61" s="64"/>
      <c r="G61" s="64"/>
      <c r="H61" s="64">
        <f>IFERROR((F61*25)+G61,"-")</f>
        <v>0</v>
      </c>
      <c r="K61" s="86">
        <v>56</v>
      </c>
      <c r="L61" s="90" t="s">
        <v>50</v>
      </c>
      <c r="M61" s="90" t="s">
        <v>50</v>
      </c>
      <c r="N61" s="90" t="s">
        <v>50</v>
      </c>
      <c r="O61" s="90" t="s">
        <v>50</v>
      </c>
      <c r="P61" s="90">
        <f t="shared" si="1"/>
        <v>0</v>
      </c>
      <c r="Q61" s="90"/>
    </row>
    <row r="62" spans="2:17" x14ac:dyDescent="0.15">
      <c r="B62" s="87">
        <v>57</v>
      </c>
      <c r="C62" s="64"/>
      <c r="D62" s="64" t="str">
        <f>IF(烤漆色號編碼!C63="","-",烤漆色號編碼!C63)</f>
        <v>-</v>
      </c>
      <c r="E62" s="64" t="str">
        <f>IF(烤漆色號編碼!B63="","-",烤漆色號編碼!B63)</f>
        <v>-</v>
      </c>
      <c r="F62" s="64"/>
      <c r="G62" s="64"/>
      <c r="H62" s="64">
        <f>IFERROR((F62*25)+G62,"-")</f>
        <v>0</v>
      </c>
      <c r="K62" s="86">
        <v>57</v>
      </c>
      <c r="L62" s="89" t="s">
        <v>50</v>
      </c>
      <c r="M62" s="89" t="s">
        <v>50</v>
      </c>
      <c r="N62" s="89" t="s">
        <v>50</v>
      </c>
      <c r="O62" s="89" t="s">
        <v>50</v>
      </c>
      <c r="P62" s="89">
        <f t="shared" si="1"/>
        <v>0</v>
      </c>
      <c r="Q62" s="89"/>
    </row>
    <row r="63" spans="2:17" x14ac:dyDescent="0.15">
      <c r="B63" s="87">
        <v>58</v>
      </c>
      <c r="C63" s="64"/>
      <c r="D63" s="64" t="str">
        <f>IF(烤漆色號編碼!C64="","-",烤漆色號編碼!C64)</f>
        <v>-</v>
      </c>
      <c r="E63" s="64" t="str">
        <f>IF(烤漆色號編碼!B64="","-",烤漆色號編碼!B64)</f>
        <v>-</v>
      </c>
      <c r="F63" s="64"/>
      <c r="G63" s="64"/>
      <c r="H63" s="64">
        <f>IFERROR((F63*25)+G63,"-")</f>
        <v>0</v>
      </c>
      <c r="K63" s="86">
        <v>58</v>
      </c>
      <c r="L63" s="90" t="s">
        <v>50</v>
      </c>
      <c r="M63" s="90" t="s">
        <v>50</v>
      </c>
      <c r="N63" s="90" t="s">
        <v>50</v>
      </c>
      <c r="O63" s="90" t="s">
        <v>50</v>
      </c>
      <c r="P63" s="90">
        <f t="shared" si="1"/>
        <v>0</v>
      </c>
      <c r="Q63" s="90"/>
    </row>
    <row r="64" spans="2:17" x14ac:dyDescent="0.15">
      <c r="B64" s="87">
        <v>59</v>
      </c>
      <c r="C64" s="64"/>
      <c r="D64" s="64" t="str">
        <f>IF(烤漆色號編碼!C65="","-",烤漆色號編碼!C65)</f>
        <v>-</v>
      </c>
      <c r="E64" s="64" t="str">
        <f>IF(烤漆色號編碼!B65="","-",烤漆色號編碼!B65)</f>
        <v>-</v>
      </c>
      <c r="F64" s="64"/>
      <c r="G64" s="64"/>
      <c r="H64" s="64">
        <f>IFERROR((F64*25)+G64,"-")</f>
        <v>0</v>
      </c>
      <c r="K64" s="86">
        <v>59</v>
      </c>
      <c r="L64" s="89" t="s">
        <v>50</v>
      </c>
      <c r="M64" s="89" t="s">
        <v>50</v>
      </c>
      <c r="N64" s="89" t="s">
        <v>50</v>
      </c>
      <c r="O64" s="89" t="s">
        <v>50</v>
      </c>
      <c r="P64" s="89">
        <f t="shared" si="1"/>
        <v>0</v>
      </c>
      <c r="Q64" s="89"/>
    </row>
    <row r="65" spans="2:17" x14ac:dyDescent="0.15">
      <c r="B65" s="87">
        <v>60</v>
      </c>
      <c r="C65" s="64"/>
      <c r="D65" s="64" t="str">
        <f>IF(烤漆色號編碼!C66="","-",烤漆色號編碼!C66)</f>
        <v>-</v>
      </c>
      <c r="E65" s="64" t="str">
        <f>IF(烤漆色號編碼!B66="","-",烤漆色號編碼!B66)</f>
        <v>-</v>
      </c>
      <c r="F65" s="64"/>
      <c r="G65" s="64"/>
      <c r="H65" s="64">
        <f>IFERROR((F65*25)+G65,"-")</f>
        <v>0</v>
      </c>
      <c r="K65" s="86">
        <v>60</v>
      </c>
      <c r="L65" s="90" t="s">
        <v>50</v>
      </c>
      <c r="M65" s="90" t="s">
        <v>50</v>
      </c>
      <c r="N65" s="90" t="s">
        <v>50</v>
      </c>
      <c r="O65" s="90" t="s">
        <v>50</v>
      </c>
      <c r="P65" s="90">
        <f t="shared" si="1"/>
        <v>0</v>
      </c>
      <c r="Q65" s="90"/>
    </row>
    <row r="66" spans="2:17" x14ac:dyDescent="0.15">
      <c r="B66" s="87">
        <v>61</v>
      </c>
      <c r="C66" s="64"/>
      <c r="D66" s="64" t="str">
        <f>IF(烤漆色號編碼!C67="","-",烤漆色號編碼!C67)</f>
        <v>-</v>
      </c>
      <c r="E66" s="64" t="str">
        <f>IF(烤漆色號編碼!B67="","-",烤漆色號編碼!B67)</f>
        <v>-</v>
      </c>
      <c r="F66" s="64"/>
      <c r="G66" s="64"/>
      <c r="H66" s="64">
        <f>IFERROR((F66*25)+G66,"-")</f>
        <v>0</v>
      </c>
      <c r="K66" s="86">
        <v>61</v>
      </c>
      <c r="L66" s="89" t="s">
        <v>50</v>
      </c>
      <c r="M66" s="89" t="s">
        <v>50</v>
      </c>
      <c r="N66" s="89" t="s">
        <v>50</v>
      </c>
      <c r="O66" s="89" t="s">
        <v>50</v>
      </c>
      <c r="P66" s="89">
        <f t="shared" si="1"/>
        <v>0</v>
      </c>
      <c r="Q66" s="89"/>
    </row>
    <row r="67" spans="2:17" x14ac:dyDescent="0.15">
      <c r="B67" s="87">
        <v>62</v>
      </c>
      <c r="C67" s="64"/>
      <c r="D67" s="64" t="str">
        <f>IF(烤漆色號編碼!C68="","-",烤漆色號編碼!C68)</f>
        <v>-</v>
      </c>
      <c r="E67" s="64" t="str">
        <f>IF(烤漆色號編碼!B68="","-",烤漆色號編碼!B68)</f>
        <v>-</v>
      </c>
      <c r="F67" s="64"/>
      <c r="G67" s="64"/>
      <c r="H67" s="64">
        <f>IFERROR((F67*25)+G67,"-")</f>
        <v>0</v>
      </c>
      <c r="K67" s="86">
        <v>62</v>
      </c>
      <c r="L67" s="90" t="s">
        <v>50</v>
      </c>
      <c r="M67" s="90" t="s">
        <v>50</v>
      </c>
      <c r="N67" s="90" t="s">
        <v>50</v>
      </c>
      <c r="O67" s="90" t="s">
        <v>50</v>
      </c>
      <c r="P67" s="90">
        <f t="shared" ref="P67:P83" si="2">Q67/25</f>
        <v>0</v>
      </c>
      <c r="Q67" s="90"/>
    </row>
    <row r="68" spans="2:17" x14ac:dyDescent="0.15">
      <c r="B68" s="87">
        <v>63</v>
      </c>
      <c r="C68" s="64"/>
      <c r="D68" s="64" t="str">
        <f>IF(烤漆色號編碼!C69="","-",烤漆色號編碼!C69)</f>
        <v>-</v>
      </c>
      <c r="E68" s="64" t="str">
        <f>IF(烤漆色號編碼!B69="","-",烤漆色號編碼!B69)</f>
        <v>-</v>
      </c>
      <c r="F68" s="64"/>
      <c r="G68" s="64"/>
      <c r="H68" s="64">
        <f>IFERROR((F68*25)+G68,"-")</f>
        <v>0</v>
      </c>
      <c r="K68" s="86">
        <v>63</v>
      </c>
      <c r="L68" s="89" t="s">
        <v>50</v>
      </c>
      <c r="M68" s="89" t="s">
        <v>50</v>
      </c>
      <c r="N68" s="89" t="s">
        <v>50</v>
      </c>
      <c r="O68" s="89" t="s">
        <v>50</v>
      </c>
      <c r="P68" s="89">
        <f t="shared" si="2"/>
        <v>0</v>
      </c>
      <c r="Q68" s="89"/>
    </row>
    <row r="69" spans="2:17" x14ac:dyDescent="0.15">
      <c r="B69" s="87">
        <v>64</v>
      </c>
      <c r="C69" s="64"/>
      <c r="D69" s="64" t="str">
        <f>IF(烤漆色號編碼!C70="","-",烤漆色號編碼!C70)</f>
        <v>-</v>
      </c>
      <c r="E69" s="64" t="str">
        <f>IF(烤漆色號編碼!B70="","-",烤漆色號編碼!B70)</f>
        <v>-</v>
      </c>
      <c r="F69" s="64"/>
      <c r="G69" s="64"/>
      <c r="H69" s="64">
        <f>IFERROR((F69*25)+G69,"-")</f>
        <v>0</v>
      </c>
      <c r="K69" s="86">
        <v>64</v>
      </c>
      <c r="L69" s="90" t="s">
        <v>50</v>
      </c>
      <c r="M69" s="90" t="s">
        <v>50</v>
      </c>
      <c r="N69" s="90" t="s">
        <v>50</v>
      </c>
      <c r="O69" s="90" t="s">
        <v>50</v>
      </c>
      <c r="P69" s="90">
        <f t="shared" si="2"/>
        <v>0</v>
      </c>
      <c r="Q69" s="90"/>
    </row>
    <row r="70" spans="2:17" x14ac:dyDescent="0.15">
      <c r="B70" s="87">
        <v>65</v>
      </c>
      <c r="C70" s="64"/>
      <c r="D70" s="64" t="str">
        <f>IF(烤漆色號編碼!C71="","-",烤漆色號編碼!C71)</f>
        <v>-</v>
      </c>
      <c r="E70" s="64" t="str">
        <f>IF(烤漆色號編碼!B71="","-",烤漆色號編碼!B71)</f>
        <v>-</v>
      </c>
      <c r="F70" s="64"/>
      <c r="G70" s="64"/>
      <c r="H70" s="64">
        <f>IFERROR((F70*25)+G70,"-")</f>
        <v>0</v>
      </c>
      <c r="K70" s="86">
        <v>65</v>
      </c>
      <c r="L70" s="89" t="s">
        <v>50</v>
      </c>
      <c r="M70" s="89" t="s">
        <v>50</v>
      </c>
      <c r="N70" s="89" t="s">
        <v>50</v>
      </c>
      <c r="O70" s="89" t="s">
        <v>50</v>
      </c>
      <c r="P70" s="89">
        <f t="shared" si="2"/>
        <v>0</v>
      </c>
      <c r="Q70" s="89"/>
    </row>
    <row r="71" spans="2:17" x14ac:dyDescent="0.15">
      <c r="B71" s="87">
        <v>66</v>
      </c>
      <c r="C71" s="64"/>
      <c r="D71" s="64" t="str">
        <f>IF(烤漆色號編碼!C72="","-",烤漆色號編碼!C72)</f>
        <v>-</v>
      </c>
      <c r="E71" s="64" t="str">
        <f>IF(烤漆色號編碼!B72="","-",烤漆色號編碼!B72)</f>
        <v>-</v>
      </c>
      <c r="F71" s="64"/>
      <c r="G71" s="64"/>
      <c r="H71" s="64">
        <f>IFERROR((F71*25)+G71,"-")</f>
        <v>0</v>
      </c>
      <c r="K71" s="86">
        <v>66</v>
      </c>
      <c r="L71" s="90" t="s">
        <v>50</v>
      </c>
      <c r="M71" s="90" t="s">
        <v>50</v>
      </c>
      <c r="N71" s="90" t="s">
        <v>50</v>
      </c>
      <c r="O71" s="90" t="s">
        <v>50</v>
      </c>
      <c r="P71" s="90">
        <f t="shared" si="2"/>
        <v>0</v>
      </c>
      <c r="Q71" s="90"/>
    </row>
    <row r="72" spans="2:17" x14ac:dyDescent="0.15">
      <c r="B72" s="87">
        <v>67</v>
      </c>
      <c r="C72" s="64"/>
      <c r="D72" s="64" t="str">
        <f>IF(烤漆色號編碼!C73="","-",烤漆色號編碼!C73)</f>
        <v>-</v>
      </c>
      <c r="E72" s="64" t="str">
        <f>IF(烤漆色號編碼!B73="","-",烤漆色號編碼!B73)</f>
        <v>-</v>
      </c>
      <c r="F72" s="64"/>
      <c r="G72" s="64"/>
      <c r="H72" s="64">
        <f>IFERROR((F72*25)+G72,"-")</f>
        <v>0</v>
      </c>
      <c r="K72" s="86">
        <v>67</v>
      </c>
      <c r="L72" s="89" t="s">
        <v>50</v>
      </c>
      <c r="M72" s="89" t="s">
        <v>50</v>
      </c>
      <c r="N72" s="89" t="s">
        <v>50</v>
      </c>
      <c r="O72" s="89" t="s">
        <v>50</v>
      </c>
      <c r="P72" s="89">
        <f t="shared" si="2"/>
        <v>0</v>
      </c>
      <c r="Q72" s="89"/>
    </row>
    <row r="73" spans="2:17" x14ac:dyDescent="0.15">
      <c r="B73" s="87">
        <v>68</v>
      </c>
      <c r="C73" s="64"/>
      <c r="D73" s="64" t="str">
        <f>IF(烤漆色號編碼!C74="","-",烤漆色號編碼!C74)</f>
        <v>-</v>
      </c>
      <c r="E73" s="64" t="str">
        <f>IF(烤漆色號編碼!B74="","-",烤漆色號編碼!B74)</f>
        <v>-</v>
      </c>
      <c r="F73" s="64"/>
      <c r="G73" s="64"/>
      <c r="H73" s="64">
        <f>IFERROR((F73*25)+G73,"-")</f>
        <v>0</v>
      </c>
      <c r="K73" s="86">
        <v>68</v>
      </c>
      <c r="L73" s="90" t="s">
        <v>50</v>
      </c>
      <c r="M73" s="90" t="s">
        <v>50</v>
      </c>
      <c r="N73" s="90" t="s">
        <v>50</v>
      </c>
      <c r="O73" s="90" t="s">
        <v>50</v>
      </c>
      <c r="P73" s="90">
        <f t="shared" si="2"/>
        <v>0</v>
      </c>
      <c r="Q73" s="90"/>
    </row>
    <row r="74" spans="2:17" x14ac:dyDescent="0.15">
      <c r="B74" s="87">
        <v>69</v>
      </c>
      <c r="C74" s="64"/>
      <c r="D74" s="64" t="str">
        <f>IF(烤漆色號編碼!C75="","-",烤漆色號編碼!C75)</f>
        <v>-</v>
      </c>
      <c r="E74" s="64" t="str">
        <f>IF(烤漆色號編碼!B75="","-",烤漆色號編碼!B75)</f>
        <v>-</v>
      </c>
      <c r="F74" s="64"/>
      <c r="G74" s="64"/>
      <c r="H74" s="64">
        <f>IFERROR((F74*25)+G74,"-")</f>
        <v>0</v>
      </c>
      <c r="K74" s="86">
        <v>69</v>
      </c>
      <c r="L74" s="89" t="s">
        <v>50</v>
      </c>
      <c r="M74" s="89" t="s">
        <v>50</v>
      </c>
      <c r="N74" s="89" t="s">
        <v>50</v>
      </c>
      <c r="O74" s="89" t="s">
        <v>50</v>
      </c>
      <c r="P74" s="89">
        <f t="shared" si="2"/>
        <v>0</v>
      </c>
      <c r="Q74" s="89"/>
    </row>
    <row r="75" spans="2:17" x14ac:dyDescent="0.15">
      <c r="B75" s="87">
        <v>70</v>
      </c>
      <c r="C75" s="64"/>
      <c r="D75" s="64" t="str">
        <f>IF(烤漆色號編碼!C76="","-",烤漆色號編碼!C76)</f>
        <v>-</v>
      </c>
      <c r="E75" s="64" t="str">
        <f>IF(烤漆色號編碼!B76="","-",烤漆色號編碼!B76)</f>
        <v>-</v>
      </c>
      <c r="F75" s="64"/>
      <c r="G75" s="64"/>
      <c r="H75" s="64">
        <f>IFERROR((F75*25)+G75,"-")</f>
        <v>0</v>
      </c>
      <c r="K75" s="86">
        <v>70</v>
      </c>
      <c r="L75" s="90" t="s">
        <v>50</v>
      </c>
      <c r="M75" s="90" t="s">
        <v>50</v>
      </c>
      <c r="N75" s="90" t="s">
        <v>50</v>
      </c>
      <c r="O75" s="90" t="s">
        <v>50</v>
      </c>
      <c r="P75" s="90">
        <f t="shared" si="2"/>
        <v>0</v>
      </c>
      <c r="Q75" s="90"/>
    </row>
    <row r="76" spans="2:17" x14ac:dyDescent="0.15">
      <c r="B76" s="87">
        <v>71</v>
      </c>
      <c r="C76" s="64"/>
      <c r="D76" s="64" t="str">
        <f>IF(烤漆色號編碼!C77="","-",烤漆色號編碼!C77)</f>
        <v>-</v>
      </c>
      <c r="E76" s="64" t="str">
        <f>IF(烤漆色號編碼!B77="","-",烤漆色號編碼!B77)</f>
        <v>-</v>
      </c>
      <c r="F76" s="64"/>
      <c r="G76" s="64"/>
      <c r="H76" s="64">
        <f>IFERROR((F76*25)+G76,"-")</f>
        <v>0</v>
      </c>
      <c r="K76" s="86">
        <v>71</v>
      </c>
      <c r="L76" s="89" t="s">
        <v>50</v>
      </c>
      <c r="M76" s="89" t="s">
        <v>50</v>
      </c>
      <c r="N76" s="89" t="s">
        <v>50</v>
      </c>
      <c r="O76" s="89" t="s">
        <v>50</v>
      </c>
      <c r="P76" s="89">
        <f t="shared" si="2"/>
        <v>0</v>
      </c>
      <c r="Q76" s="89"/>
    </row>
    <row r="77" spans="2:17" x14ac:dyDescent="0.15">
      <c r="B77" s="87">
        <v>72</v>
      </c>
      <c r="C77" s="64"/>
      <c r="D77" s="64" t="str">
        <f>IF(烤漆色號編碼!C78="","-",烤漆色號編碼!C78)</f>
        <v>-</v>
      </c>
      <c r="E77" s="64" t="str">
        <f>IF(烤漆色號編碼!B78="","-",烤漆色號編碼!B78)</f>
        <v>-</v>
      </c>
      <c r="F77" s="64"/>
      <c r="G77" s="64"/>
      <c r="H77" s="64">
        <f>IFERROR((F77*25)+G77,"-")</f>
        <v>0</v>
      </c>
      <c r="K77" s="86">
        <v>72</v>
      </c>
      <c r="L77" s="90" t="s">
        <v>50</v>
      </c>
      <c r="M77" s="90" t="s">
        <v>50</v>
      </c>
      <c r="N77" s="90" t="s">
        <v>50</v>
      </c>
      <c r="O77" s="90" t="s">
        <v>50</v>
      </c>
      <c r="P77" s="90">
        <f t="shared" si="2"/>
        <v>0</v>
      </c>
      <c r="Q77" s="90"/>
    </row>
    <row r="78" spans="2:17" x14ac:dyDescent="0.15">
      <c r="B78" s="87">
        <v>73</v>
      </c>
      <c r="C78" s="64"/>
      <c r="D78" s="64" t="str">
        <f>IF(烤漆色號編碼!C79="","-",烤漆色號編碼!C79)</f>
        <v>-</v>
      </c>
      <c r="E78" s="64" t="str">
        <f>IF(烤漆色號編碼!B79="","-",烤漆色號編碼!B79)</f>
        <v>-</v>
      </c>
      <c r="F78" s="64"/>
      <c r="G78" s="64"/>
      <c r="H78" s="64">
        <f>IFERROR((F78*25)+G78,"-")</f>
        <v>0</v>
      </c>
      <c r="K78" s="86">
        <v>73</v>
      </c>
      <c r="L78" s="89" t="s">
        <v>50</v>
      </c>
      <c r="M78" s="89" t="s">
        <v>50</v>
      </c>
      <c r="N78" s="89" t="s">
        <v>50</v>
      </c>
      <c r="O78" s="89" t="s">
        <v>50</v>
      </c>
      <c r="P78" s="89">
        <f t="shared" si="2"/>
        <v>0</v>
      </c>
      <c r="Q78" s="89"/>
    </row>
    <row r="79" spans="2:17" x14ac:dyDescent="0.15">
      <c r="B79" s="87">
        <v>74</v>
      </c>
      <c r="C79" s="64"/>
      <c r="D79" s="64" t="str">
        <f>IF(烤漆色號編碼!C80="","-",烤漆色號編碼!C80)</f>
        <v>-</v>
      </c>
      <c r="E79" s="64" t="str">
        <f>IF(烤漆色號編碼!B80="","-",烤漆色號編碼!B80)</f>
        <v>-</v>
      </c>
      <c r="F79" s="64"/>
      <c r="G79" s="64"/>
      <c r="H79" s="64">
        <f>IFERROR((F79*25)+G79,"-")</f>
        <v>0</v>
      </c>
      <c r="K79" s="86">
        <v>74</v>
      </c>
      <c r="L79" s="90" t="s">
        <v>50</v>
      </c>
      <c r="M79" s="90" t="s">
        <v>50</v>
      </c>
      <c r="N79" s="90" t="s">
        <v>50</v>
      </c>
      <c r="O79" s="90" t="s">
        <v>50</v>
      </c>
      <c r="P79" s="90">
        <f t="shared" si="2"/>
        <v>0</v>
      </c>
      <c r="Q79" s="90"/>
    </row>
    <row r="80" spans="2:17" x14ac:dyDescent="0.15">
      <c r="B80" s="87">
        <v>75</v>
      </c>
      <c r="C80" s="64"/>
      <c r="D80" s="64" t="str">
        <f>IF(烤漆色號編碼!C81="","-",烤漆色號編碼!C81)</f>
        <v>-</v>
      </c>
      <c r="E80" s="64" t="str">
        <f>IF(烤漆色號編碼!B81="","-",烤漆色號編碼!B81)</f>
        <v>-</v>
      </c>
      <c r="F80" s="64"/>
      <c r="G80" s="64"/>
      <c r="H80" s="64">
        <f>IFERROR((F80*25)+G80,"-")</f>
        <v>0</v>
      </c>
      <c r="K80" s="86">
        <v>75</v>
      </c>
      <c r="L80" s="89" t="s">
        <v>50</v>
      </c>
      <c r="M80" s="89" t="s">
        <v>50</v>
      </c>
      <c r="N80" s="89" t="s">
        <v>50</v>
      </c>
      <c r="O80" s="89" t="s">
        <v>50</v>
      </c>
      <c r="P80" s="89">
        <f t="shared" si="2"/>
        <v>0</v>
      </c>
      <c r="Q80" s="89"/>
    </row>
    <row r="81" spans="2:17" x14ac:dyDescent="0.15">
      <c r="B81" s="87">
        <v>76</v>
      </c>
      <c r="C81" s="64"/>
      <c r="D81" s="64" t="str">
        <f>IF(烤漆色號編碼!C82="","-",烤漆色號編碼!C82)</f>
        <v>-</v>
      </c>
      <c r="E81" s="64" t="str">
        <f>IF(烤漆色號編碼!B82="","-",烤漆色號編碼!B82)</f>
        <v>-</v>
      </c>
      <c r="F81" s="64"/>
      <c r="G81" s="64"/>
      <c r="H81" s="64">
        <f>IFERROR((F81*25)+G81,"-")</f>
        <v>0</v>
      </c>
      <c r="K81" s="86">
        <v>76</v>
      </c>
      <c r="L81" s="90" t="s">
        <v>50</v>
      </c>
      <c r="M81" s="90" t="s">
        <v>50</v>
      </c>
      <c r="N81" s="90" t="s">
        <v>50</v>
      </c>
      <c r="O81" s="90" t="s">
        <v>50</v>
      </c>
      <c r="P81" s="90">
        <f t="shared" si="2"/>
        <v>0</v>
      </c>
      <c r="Q81" s="90"/>
    </row>
    <row r="82" spans="2:17" x14ac:dyDescent="0.15">
      <c r="B82" s="87">
        <v>77</v>
      </c>
      <c r="C82" s="64"/>
      <c r="D82" s="64" t="str">
        <f>IF(烤漆色號編碼!C83="","-",烤漆色號編碼!C83)</f>
        <v>-</v>
      </c>
      <c r="E82" s="64" t="str">
        <f>IF(烤漆色號編碼!B83="","-",烤漆色號編碼!B83)</f>
        <v>-</v>
      </c>
      <c r="F82" s="64"/>
      <c r="G82" s="64"/>
      <c r="H82" s="64">
        <f>IFERROR((F82*25)+G82,"-")</f>
        <v>0</v>
      </c>
      <c r="K82" s="86">
        <v>77</v>
      </c>
      <c r="L82" s="89" t="s">
        <v>50</v>
      </c>
      <c r="M82" s="89" t="s">
        <v>50</v>
      </c>
      <c r="N82" s="89" t="s">
        <v>50</v>
      </c>
      <c r="O82" s="89" t="s">
        <v>50</v>
      </c>
      <c r="P82" s="89">
        <f t="shared" si="2"/>
        <v>0</v>
      </c>
      <c r="Q82" s="89"/>
    </row>
    <row r="83" spans="2:17" x14ac:dyDescent="0.15">
      <c r="B83" s="87">
        <v>78</v>
      </c>
      <c r="C83" s="64"/>
      <c r="D83" s="64" t="str">
        <f>IF(烤漆色號編碼!C84="","-",烤漆色號編碼!C84)</f>
        <v>-</v>
      </c>
      <c r="E83" s="64" t="str">
        <f>IF(烤漆色號編碼!B84="","-",烤漆色號編碼!B84)</f>
        <v>-</v>
      </c>
      <c r="F83" s="64"/>
      <c r="G83" s="64"/>
      <c r="H83" s="64">
        <f>IFERROR((F83*25)+G83,"-")</f>
        <v>0</v>
      </c>
      <c r="K83" s="86">
        <v>78</v>
      </c>
      <c r="L83" s="90" t="s">
        <v>50</v>
      </c>
      <c r="M83" s="90" t="s">
        <v>50</v>
      </c>
      <c r="N83" s="90" t="s">
        <v>50</v>
      </c>
      <c r="O83" s="90" t="s">
        <v>50</v>
      </c>
      <c r="P83" s="90">
        <f t="shared" si="2"/>
        <v>0</v>
      </c>
      <c r="Q83" s="90"/>
    </row>
    <row r="84" spans="2:17" x14ac:dyDescent="0.15">
      <c r="B84" s="87">
        <v>79</v>
      </c>
      <c r="C84" s="64"/>
      <c r="D84" s="64" t="str">
        <f>IF(烤漆色號編碼!C85="","-",烤漆色號編碼!C85)</f>
        <v>-</v>
      </c>
      <c r="E84" s="64" t="str">
        <f>IF(烤漆色號編碼!B85="","-",烤漆色號編碼!B85)</f>
        <v>-</v>
      </c>
      <c r="F84" s="64"/>
      <c r="G84" s="64"/>
      <c r="H84" s="64">
        <f>IFERROR((F84*25)+G84,"-")</f>
        <v>0</v>
      </c>
      <c r="K84" s="86">
        <v>79</v>
      </c>
      <c r="L84" s="89" t="s">
        <v>50</v>
      </c>
      <c r="M84" s="89" t="s">
        <v>50</v>
      </c>
      <c r="N84" s="89" t="s">
        <v>50</v>
      </c>
      <c r="O84" s="89" t="s">
        <v>50</v>
      </c>
      <c r="P84" s="89"/>
      <c r="Q84" s="89"/>
    </row>
    <row r="85" spans="2:17" x14ac:dyDescent="0.15">
      <c r="B85" s="87">
        <v>80</v>
      </c>
      <c r="C85" s="64"/>
      <c r="D85" s="64" t="str">
        <f>IF(烤漆色號編碼!C86="","-",烤漆色號編碼!C86)</f>
        <v>-</v>
      </c>
      <c r="E85" s="64" t="str">
        <f>IF(烤漆色號編碼!B86="","-",烤漆色號編碼!B86)</f>
        <v>-</v>
      </c>
      <c r="F85" s="64"/>
      <c r="G85" s="64"/>
      <c r="H85" s="64">
        <f>IFERROR((F85*25)+G85,"-")</f>
        <v>0</v>
      </c>
    </row>
    <row r="86" spans="2:17" x14ac:dyDescent="0.15">
      <c r="B86" s="87">
        <v>81</v>
      </c>
      <c r="C86" s="64"/>
      <c r="D86" s="64" t="str">
        <f>IF(烤漆色號編碼!C87="","-",烤漆色號編碼!C87)</f>
        <v>-</v>
      </c>
      <c r="E86" s="64" t="str">
        <f>IF(烤漆色號編碼!B87="","-",烤漆色號編碼!B87)</f>
        <v>-</v>
      </c>
      <c r="F86" s="64"/>
      <c r="G86" s="64"/>
      <c r="H86" s="64">
        <f>IFERROR((F86*25)+G86,"-")</f>
        <v>0</v>
      </c>
    </row>
    <row r="87" spans="2:17" x14ac:dyDescent="0.15">
      <c r="B87" s="87">
        <v>82</v>
      </c>
      <c r="C87" s="64"/>
      <c r="D87" s="64" t="str">
        <f>IF(烤漆色號編碼!C88="","-",烤漆色號編碼!C88)</f>
        <v>-</v>
      </c>
      <c r="E87" s="64" t="str">
        <f>IF(烤漆色號編碼!B88="","-",烤漆色號編碼!B88)</f>
        <v>-</v>
      </c>
      <c r="F87" s="64"/>
      <c r="G87" s="64"/>
      <c r="H87" s="64">
        <f>IFERROR((F87*25)+G87,"-")</f>
        <v>0</v>
      </c>
    </row>
    <row r="88" spans="2:17" x14ac:dyDescent="0.15">
      <c r="B88" s="87">
        <v>83</v>
      </c>
      <c r="C88" s="64"/>
      <c r="D88" s="64" t="str">
        <f>IF(烤漆色號編碼!C89="","-",烤漆色號編碼!C89)</f>
        <v>-</v>
      </c>
      <c r="E88" s="64" t="str">
        <f>IF(烤漆色號編碼!B89="","-",烤漆色號編碼!B89)</f>
        <v>-</v>
      </c>
      <c r="F88" s="64"/>
      <c r="G88" s="64"/>
      <c r="H88" s="64">
        <f>IFERROR((F88*25)+G88,"-")</f>
        <v>0</v>
      </c>
    </row>
    <row r="89" spans="2:17" x14ac:dyDescent="0.15">
      <c r="B89" s="87">
        <v>84</v>
      </c>
      <c r="C89" s="64"/>
      <c r="D89" s="64" t="str">
        <f>IF(烤漆色號編碼!C90="","-",烤漆色號編碼!C90)</f>
        <v>-</v>
      </c>
      <c r="E89" s="64" t="str">
        <f>IF(烤漆色號編碼!B90="","-",烤漆色號編碼!B90)</f>
        <v>-</v>
      </c>
      <c r="F89" s="64"/>
      <c r="G89" s="64"/>
      <c r="H89" s="64">
        <f>IFERROR((F89*25)+G89,"-")</f>
        <v>0</v>
      </c>
    </row>
    <row r="90" spans="2:17" x14ac:dyDescent="0.15">
      <c r="B90" s="87">
        <v>85</v>
      </c>
      <c r="C90" s="64"/>
      <c r="D90" s="64" t="str">
        <f>IF(烤漆色號編碼!C91="","-",烤漆色號編碼!C91)</f>
        <v>-</v>
      </c>
      <c r="E90" s="64" t="str">
        <f>IF(烤漆色號編碼!B91="","-",烤漆色號編碼!B91)</f>
        <v>-</v>
      </c>
      <c r="F90" s="64"/>
      <c r="G90" s="64"/>
      <c r="H90" s="64">
        <f>IFERROR((F90*25)+G90,"-")</f>
        <v>0</v>
      </c>
    </row>
    <row r="91" spans="2:17" x14ac:dyDescent="0.15">
      <c r="B91" s="87">
        <v>86</v>
      </c>
      <c r="C91" s="64"/>
      <c r="D91" s="64" t="str">
        <f>IF(烤漆色號編碼!C92="","-",烤漆色號編碼!C92)</f>
        <v>-</v>
      </c>
      <c r="E91" s="64" t="str">
        <f>IF(烤漆色號編碼!B92="","-",烤漆色號編碼!B92)</f>
        <v>-</v>
      </c>
      <c r="F91" s="64"/>
      <c r="G91" s="64"/>
      <c r="H91" s="64">
        <f>IFERROR((F91*25)+G91,"-")</f>
        <v>0</v>
      </c>
    </row>
    <row r="92" spans="2:17" x14ac:dyDescent="0.15">
      <c r="B92" s="87">
        <v>87</v>
      </c>
      <c r="C92" s="64"/>
      <c r="D92" s="64" t="str">
        <f>IF(烤漆色號編碼!C93="","-",烤漆色號編碼!C93)</f>
        <v>-</v>
      </c>
      <c r="E92" s="64" t="str">
        <f>IF(烤漆色號編碼!B93="","-",烤漆色號編碼!B93)</f>
        <v>-</v>
      </c>
      <c r="F92" s="64"/>
      <c r="G92" s="64"/>
      <c r="H92" s="64">
        <f>IFERROR((F92*25)+G92,"-")</f>
        <v>0</v>
      </c>
    </row>
    <row r="93" spans="2:17" x14ac:dyDescent="0.15">
      <c r="B93" s="87">
        <v>88</v>
      </c>
      <c r="C93" s="64"/>
      <c r="D93" s="64" t="str">
        <f>IF(烤漆色號編碼!C94="","-",烤漆色號編碼!C94)</f>
        <v>-</v>
      </c>
      <c r="E93" s="64" t="str">
        <f>IF(烤漆色號編碼!B94="","-",烤漆色號編碼!B94)</f>
        <v>-</v>
      </c>
      <c r="F93" s="64"/>
      <c r="G93" s="64"/>
      <c r="H93" s="64">
        <f>IFERROR((F93*25)+G93,"-")</f>
        <v>0</v>
      </c>
    </row>
    <row r="94" spans="2:17" x14ac:dyDescent="0.15">
      <c r="B94" s="87">
        <v>89</v>
      </c>
      <c r="C94" s="64"/>
      <c r="D94" s="64" t="str">
        <f>IF(烤漆色號編碼!C95="","-",烤漆色號編碼!C95)</f>
        <v>-</v>
      </c>
      <c r="E94" s="64" t="str">
        <f>IF(烤漆色號編碼!B95="","-",烤漆色號編碼!B95)</f>
        <v>-</v>
      </c>
      <c r="F94" s="64"/>
      <c r="G94" s="64"/>
      <c r="H94" s="64">
        <f>IFERROR((F94*25)+G94,"-")</f>
        <v>0</v>
      </c>
    </row>
    <row r="95" spans="2:17" x14ac:dyDescent="0.15">
      <c r="B95" s="87">
        <v>90</v>
      </c>
      <c r="C95" s="64"/>
      <c r="D95" s="64" t="str">
        <f>IF(烤漆色號編碼!C96="","-",烤漆色號編碼!C96)</f>
        <v>-</v>
      </c>
      <c r="E95" s="64" t="str">
        <f>IF(烤漆色號編碼!B96="","-",烤漆色號編碼!B96)</f>
        <v>-</v>
      </c>
      <c r="F95" s="64"/>
      <c r="G95" s="64"/>
      <c r="H95" s="64">
        <f>IFERROR((F95*25)+G95,"-")</f>
        <v>0</v>
      </c>
    </row>
    <row r="96" spans="2:17" x14ac:dyDescent="0.15">
      <c r="B96" s="87">
        <v>91</v>
      </c>
      <c r="C96" s="64"/>
      <c r="D96" s="64" t="str">
        <f>IF(烤漆色號編碼!C97="","-",烤漆色號編碼!C97)</f>
        <v>-</v>
      </c>
      <c r="E96" s="64" t="str">
        <f>IF(烤漆色號編碼!B97="","-",烤漆色號編碼!B97)</f>
        <v>-</v>
      </c>
      <c r="F96" s="64"/>
      <c r="G96" s="64"/>
      <c r="H96" s="64">
        <f>IFERROR((F96*25)+G96,"-")</f>
        <v>0</v>
      </c>
    </row>
    <row r="97" spans="2:8" x14ac:dyDescent="0.15">
      <c r="B97" s="87">
        <v>92</v>
      </c>
      <c r="C97" s="64"/>
      <c r="D97" s="64" t="str">
        <f>IF(烤漆色號編碼!C98="","-",烤漆色號編碼!C98)</f>
        <v>-</v>
      </c>
      <c r="E97" s="64" t="str">
        <f>IF(烤漆色號編碼!B98="","-",烤漆色號編碼!B98)</f>
        <v>-</v>
      </c>
      <c r="F97" s="64"/>
      <c r="G97" s="64"/>
      <c r="H97" s="64">
        <f>IFERROR((F97*25)+G97,"-")</f>
        <v>0</v>
      </c>
    </row>
    <row r="98" spans="2:8" x14ac:dyDescent="0.15">
      <c r="B98" s="87">
        <v>93</v>
      </c>
      <c r="C98" s="64"/>
      <c r="D98" s="64" t="str">
        <f>IF(烤漆色號編碼!C99="","-",烤漆色號編碼!C99)</f>
        <v>-</v>
      </c>
      <c r="E98" s="64" t="str">
        <f>IF(烤漆色號編碼!B99="","-",烤漆色號編碼!B99)</f>
        <v>-</v>
      </c>
      <c r="F98" s="64"/>
      <c r="G98" s="64"/>
      <c r="H98" s="64">
        <f>IFERROR((F98*25)+G98,"-")</f>
        <v>0</v>
      </c>
    </row>
    <row r="99" spans="2:8" x14ac:dyDescent="0.15">
      <c r="B99" s="87">
        <v>94</v>
      </c>
      <c r="C99" s="64"/>
      <c r="D99" s="64" t="str">
        <f>IF(烤漆色號編碼!C100="","-",烤漆色號編碼!C100)</f>
        <v>-</v>
      </c>
      <c r="E99" s="64" t="str">
        <f>IF(烤漆色號編碼!B100="","-",烤漆色號編碼!B100)</f>
        <v>-</v>
      </c>
      <c r="F99" s="64"/>
      <c r="G99" s="64"/>
      <c r="H99" s="64">
        <f>IFERROR((F99*25)+G99,"-")</f>
        <v>0</v>
      </c>
    </row>
    <row r="100" spans="2:8" x14ac:dyDescent="0.15">
      <c r="B100" s="87">
        <v>95</v>
      </c>
      <c r="C100" s="64"/>
      <c r="D100" s="64" t="str">
        <f>IF(烤漆色號編碼!C101="","-",烤漆色號編碼!C101)</f>
        <v>-</v>
      </c>
      <c r="E100" s="64" t="str">
        <f>IF(烤漆色號編碼!B101="","-",烤漆色號編碼!B101)</f>
        <v>-</v>
      </c>
      <c r="F100" s="64"/>
      <c r="G100" s="64"/>
      <c r="H100" s="64">
        <f>IFERROR((F100*25)+G100,"-")</f>
        <v>0</v>
      </c>
    </row>
    <row r="101" spans="2:8" x14ac:dyDescent="0.15">
      <c r="B101" s="87">
        <v>96</v>
      </c>
      <c r="C101" s="64"/>
      <c r="D101" s="64" t="str">
        <f>IF(烤漆色號編碼!C102="","-",烤漆色號編碼!C102)</f>
        <v>-</v>
      </c>
      <c r="E101" s="64" t="str">
        <f>IF(烤漆色號編碼!B102="","-",烤漆色號編碼!B102)</f>
        <v>-</v>
      </c>
      <c r="F101" s="64"/>
      <c r="G101" s="64"/>
      <c r="H101" s="64">
        <f>IFERROR((F101*25)+G101,"-")</f>
        <v>0</v>
      </c>
    </row>
    <row r="102" spans="2:8" x14ac:dyDescent="0.15">
      <c r="B102" s="87">
        <v>97</v>
      </c>
      <c r="C102" s="64"/>
      <c r="D102" s="64" t="str">
        <f>IF(烤漆色號編碼!C103="","-",烤漆色號編碼!C103)</f>
        <v>-</v>
      </c>
      <c r="E102" s="64" t="str">
        <f>IF(烤漆色號編碼!B103="","-",烤漆色號編碼!B103)</f>
        <v>-</v>
      </c>
      <c r="F102" s="64"/>
      <c r="G102" s="64"/>
      <c r="H102" s="64">
        <f>IFERROR((F102*25)+G102,"-")</f>
        <v>0</v>
      </c>
    </row>
    <row r="103" spans="2:8" x14ac:dyDescent="0.15">
      <c r="B103" s="87">
        <v>98</v>
      </c>
      <c r="C103" s="64"/>
      <c r="D103" s="64" t="str">
        <f>IF(烤漆色號編碼!C104="","-",烤漆色號編碼!C104)</f>
        <v>-</v>
      </c>
      <c r="E103" s="64" t="str">
        <f>IF(烤漆色號編碼!B104="","-",烤漆色號編碼!B104)</f>
        <v>-</v>
      </c>
      <c r="F103" s="64"/>
      <c r="G103" s="64"/>
      <c r="H103" s="64">
        <f>IFERROR((F103*25)+G103,"-")</f>
        <v>0</v>
      </c>
    </row>
    <row r="104" spans="2:8" x14ac:dyDescent="0.15">
      <c r="B104" s="87">
        <v>99</v>
      </c>
      <c r="C104" s="64"/>
      <c r="D104" s="64" t="str">
        <f>IF(烤漆色號編碼!C105="","-",烤漆色號編碼!C105)</f>
        <v>-</v>
      </c>
      <c r="E104" s="64" t="str">
        <f>IF(烤漆色號編碼!B105="","-",烤漆色號編碼!B105)</f>
        <v>-</v>
      </c>
      <c r="F104" s="64"/>
      <c r="G104" s="64"/>
      <c r="H104" s="64">
        <f>IFERROR((F104*25)+G104,"-")</f>
        <v>0</v>
      </c>
    </row>
    <row r="105" spans="2:8" x14ac:dyDescent="0.15">
      <c r="B105" s="87">
        <v>100</v>
      </c>
      <c r="C105" s="64"/>
      <c r="D105" s="64" t="str">
        <f>IF(烤漆色號編碼!C106="","-",烤漆色號編碼!C106)</f>
        <v>-</v>
      </c>
      <c r="E105" s="64" t="str">
        <f>IF(烤漆色號編碼!B106="","-",烤漆色號編碼!B106)</f>
        <v>-</v>
      </c>
      <c r="F105" s="64"/>
      <c r="G105" s="64"/>
      <c r="H105" s="64">
        <f>IFERROR((F105*25)+G105,"-")</f>
        <v>0</v>
      </c>
    </row>
    <row r="106" spans="2:8" x14ac:dyDescent="0.15">
      <c r="B106" s="87">
        <v>101</v>
      </c>
      <c r="C106" s="64"/>
      <c r="D106" s="64" t="str">
        <f>IF(烤漆色號編碼!C107="","-",烤漆色號編碼!C107)</f>
        <v>-</v>
      </c>
      <c r="E106" s="64" t="str">
        <f>IF(烤漆色號編碼!B107="","-",烤漆色號編碼!B107)</f>
        <v>-</v>
      </c>
      <c r="F106" s="64"/>
      <c r="G106" s="64"/>
      <c r="H106" s="64">
        <f>IFERROR((F106*25)+G106,"-")</f>
        <v>0</v>
      </c>
    </row>
    <row r="107" spans="2:8" x14ac:dyDescent="0.15">
      <c r="B107" s="87">
        <v>102</v>
      </c>
      <c r="C107" s="64"/>
      <c r="D107" s="64" t="str">
        <f>IF(烤漆色號編碼!C108="","-",烤漆色號編碼!C108)</f>
        <v>-</v>
      </c>
      <c r="E107" s="64" t="str">
        <f>IF(烤漆色號編碼!B108="","-",烤漆色號編碼!B108)</f>
        <v>-</v>
      </c>
      <c r="F107" s="64"/>
      <c r="G107" s="64"/>
      <c r="H107" s="64">
        <f>IFERROR((F107*25)+G107,"-")</f>
        <v>0</v>
      </c>
    </row>
    <row r="108" spans="2:8" x14ac:dyDescent="0.15">
      <c r="B108" s="87">
        <v>103</v>
      </c>
      <c r="C108" s="64"/>
      <c r="D108" s="64" t="str">
        <f>IF(烤漆色號編碼!C109="","-",烤漆色號編碼!C109)</f>
        <v>-</v>
      </c>
      <c r="E108" s="64" t="str">
        <f>IF(烤漆色號編碼!B109="","-",烤漆色號編碼!B109)</f>
        <v>-</v>
      </c>
      <c r="F108" s="64"/>
      <c r="G108" s="64"/>
      <c r="H108" s="64">
        <f>IFERROR((F108*25)+G108,"-")</f>
        <v>0</v>
      </c>
    </row>
    <row r="109" spans="2:8" x14ac:dyDescent="0.15">
      <c r="B109" s="87">
        <v>104</v>
      </c>
      <c r="C109" s="64"/>
      <c r="D109" s="64" t="str">
        <f>IF(烤漆色號編碼!C110="","-",烤漆色號編碼!C110)</f>
        <v>-</v>
      </c>
      <c r="E109" s="64" t="str">
        <f>IF(烤漆色號編碼!B110="","-",烤漆色號編碼!B110)</f>
        <v>-</v>
      </c>
      <c r="F109" s="64"/>
      <c r="G109" s="64"/>
      <c r="H109" s="64">
        <f>IFERROR((F109*25)+G109,"-")</f>
        <v>0</v>
      </c>
    </row>
    <row r="110" spans="2:8" x14ac:dyDescent="0.15">
      <c r="B110" s="87">
        <v>105</v>
      </c>
      <c r="C110" s="64"/>
      <c r="D110" s="64" t="str">
        <f>IF(烤漆色號編碼!C111="","-",烤漆色號編碼!C111)</f>
        <v>-</v>
      </c>
      <c r="E110" s="64" t="str">
        <f>IF(烤漆色號編碼!B111="","-",烤漆色號編碼!B111)</f>
        <v>-</v>
      </c>
      <c r="F110" s="64"/>
      <c r="G110" s="64"/>
      <c r="H110" s="64">
        <f>IFERROR((F110*25)+G110,"-")</f>
        <v>0</v>
      </c>
    </row>
    <row r="111" spans="2:8" x14ac:dyDescent="0.15">
      <c r="B111" s="87">
        <v>106</v>
      </c>
      <c r="C111" s="64"/>
      <c r="D111" s="64" t="str">
        <f>IF(烤漆色號編碼!C112="","-",烤漆色號編碼!C112)</f>
        <v>-</v>
      </c>
      <c r="E111" s="64" t="str">
        <f>IF(烤漆色號編碼!B112="","-",烤漆色號編碼!B112)</f>
        <v>-</v>
      </c>
      <c r="F111" s="64"/>
      <c r="G111" s="64"/>
      <c r="H111" s="64">
        <f>IFERROR((F111*25)+G111,"-")</f>
        <v>0</v>
      </c>
    </row>
    <row r="112" spans="2:8" x14ac:dyDescent="0.15">
      <c r="B112" s="87">
        <v>107</v>
      </c>
      <c r="C112" s="64"/>
      <c r="D112" s="64" t="str">
        <f>IF(烤漆色號編碼!C113="","-",烤漆色號編碼!C113)</f>
        <v>-</v>
      </c>
      <c r="E112" s="64" t="str">
        <f>IF(烤漆色號編碼!B113="","-",烤漆色號編碼!B113)</f>
        <v>-</v>
      </c>
      <c r="F112" s="64"/>
      <c r="G112" s="64"/>
      <c r="H112" s="64">
        <f>IFERROR((F112*25)+G112,"-")</f>
        <v>0</v>
      </c>
    </row>
    <row r="113" spans="2:8" x14ac:dyDescent="0.15">
      <c r="B113" s="87">
        <v>108</v>
      </c>
      <c r="C113" s="64"/>
      <c r="D113" s="64" t="str">
        <f>IF(烤漆色號編碼!C114="","-",烤漆色號編碼!C114)</f>
        <v>-</v>
      </c>
      <c r="E113" s="64" t="str">
        <f>IF(烤漆色號編碼!B114="","-",烤漆色號編碼!B114)</f>
        <v>-</v>
      </c>
      <c r="F113" s="64"/>
      <c r="G113" s="64"/>
      <c r="H113" s="64">
        <f>IFERROR((F113*25)+G113,"-")</f>
        <v>0</v>
      </c>
    </row>
    <row r="114" spans="2:8" x14ac:dyDescent="0.15">
      <c r="B114" s="87">
        <v>109</v>
      </c>
      <c r="C114" s="64"/>
      <c r="D114" s="64" t="str">
        <f>IF(烤漆色號編碼!C115="","-",烤漆色號編碼!C115)</f>
        <v>-</v>
      </c>
      <c r="E114" s="64" t="str">
        <f>IF(烤漆色號編碼!B115="","-",烤漆色號編碼!B115)</f>
        <v>-</v>
      </c>
      <c r="F114" s="64"/>
      <c r="G114" s="64"/>
      <c r="H114" s="64">
        <f>IFERROR((F114*25)+G114,"-")</f>
        <v>0</v>
      </c>
    </row>
    <row r="115" spans="2:8" x14ac:dyDescent="0.15">
      <c r="B115" s="87">
        <v>110</v>
      </c>
      <c r="C115" s="64"/>
      <c r="D115" s="64" t="str">
        <f>IF(烤漆色號編碼!C116="","-",烤漆色號編碼!C116)</f>
        <v>-</v>
      </c>
      <c r="E115" s="64" t="str">
        <f>IF(烤漆色號編碼!B116="","-",烤漆色號編碼!B116)</f>
        <v>-</v>
      </c>
      <c r="F115" s="64"/>
      <c r="G115" s="64"/>
      <c r="H115" s="64">
        <f>IFERROR((F115*25)+G115,"-")</f>
        <v>0</v>
      </c>
    </row>
    <row r="116" spans="2:8" x14ac:dyDescent="0.15">
      <c r="B116" s="87">
        <v>111</v>
      </c>
      <c r="C116" s="64"/>
      <c r="D116" s="64" t="str">
        <f>IF(烤漆色號編碼!C117="","-",烤漆色號編碼!C117)</f>
        <v>-</v>
      </c>
      <c r="E116" s="64" t="str">
        <f>IF(烤漆色號編碼!B117="","-",烤漆色號編碼!B117)</f>
        <v>-</v>
      </c>
      <c r="F116" s="64"/>
      <c r="G116" s="64"/>
      <c r="H116" s="64">
        <f>IFERROR((F116*25)+G116,"-")</f>
        <v>0</v>
      </c>
    </row>
    <row r="117" spans="2:8" x14ac:dyDescent="0.15">
      <c r="B117" s="87">
        <v>112</v>
      </c>
      <c r="C117" s="64"/>
      <c r="D117" s="64" t="str">
        <f>IF(烤漆色號編碼!C118="","-",烤漆色號編碼!C118)</f>
        <v>-</v>
      </c>
      <c r="E117" s="64" t="str">
        <f>IF(烤漆色號編碼!B118="","-",烤漆色號編碼!B118)</f>
        <v>-</v>
      </c>
      <c r="F117" s="64"/>
      <c r="G117" s="64"/>
      <c r="H117" s="64">
        <f>IFERROR((F117*25)+G117,"-")</f>
        <v>0</v>
      </c>
    </row>
    <row r="118" spans="2:8" x14ac:dyDescent="0.15">
      <c r="B118" s="87">
        <v>113</v>
      </c>
      <c r="C118" s="64"/>
      <c r="D118" s="64" t="str">
        <f>IF(烤漆色號編碼!C119="","-",烤漆色號編碼!C119)</f>
        <v>-</v>
      </c>
      <c r="E118" s="64" t="str">
        <f>IF(烤漆色號編碼!B119="","-",烤漆色號編碼!B119)</f>
        <v>-</v>
      </c>
      <c r="F118" s="64"/>
      <c r="G118" s="64"/>
      <c r="H118" s="64">
        <f>IFERROR((F118*25)+G118,"-")</f>
        <v>0</v>
      </c>
    </row>
    <row r="119" spans="2:8" x14ac:dyDescent="0.15">
      <c r="B119" s="87">
        <v>114</v>
      </c>
      <c r="C119" s="64"/>
      <c r="D119" s="64" t="str">
        <f>IF(烤漆色號編碼!C120="","-",烤漆色號編碼!C120)</f>
        <v>-</v>
      </c>
      <c r="E119" s="64" t="str">
        <f>IF(烤漆色號編碼!B120="","-",烤漆色號編碼!B120)</f>
        <v>-</v>
      </c>
      <c r="F119" s="64"/>
      <c r="G119" s="64"/>
      <c r="H119" s="64">
        <f>IFERROR((F119*25)+G119,"-")</f>
        <v>0</v>
      </c>
    </row>
    <row r="120" spans="2:8" x14ac:dyDescent="0.15">
      <c r="B120" s="87">
        <v>115</v>
      </c>
      <c r="C120" s="64"/>
      <c r="D120" s="64" t="str">
        <f>IF(烤漆色號編碼!C121="","-",烤漆色號編碼!C121)</f>
        <v>-</v>
      </c>
      <c r="E120" s="64" t="str">
        <f>IF(烤漆色號編碼!B121="","-",烤漆色號編碼!B121)</f>
        <v>-</v>
      </c>
      <c r="F120" s="64"/>
      <c r="G120" s="64"/>
      <c r="H120" s="64">
        <f>IFERROR((F120*25)+G120,"-")</f>
        <v>0</v>
      </c>
    </row>
    <row r="121" spans="2:8" x14ac:dyDescent="0.15">
      <c r="B121" s="87">
        <v>116</v>
      </c>
      <c r="C121" s="64"/>
      <c r="D121" s="64" t="str">
        <f>IF(烤漆色號編碼!C122="","-",烤漆色號編碼!C122)</f>
        <v>-</v>
      </c>
      <c r="E121" s="64" t="str">
        <f>IF(烤漆色號編碼!B122="","-",烤漆色號編碼!B122)</f>
        <v>-</v>
      </c>
      <c r="F121" s="64"/>
      <c r="G121" s="64"/>
      <c r="H121" s="64">
        <f>IFERROR((F121*25)+G121,"-")</f>
        <v>0</v>
      </c>
    </row>
    <row r="122" spans="2:8" x14ac:dyDescent="0.15">
      <c r="B122" s="87">
        <v>117</v>
      </c>
      <c r="C122" s="64"/>
      <c r="D122" s="64" t="str">
        <f>IF(烤漆色號編碼!C123="","-",烤漆色號編碼!C123)</f>
        <v>-</v>
      </c>
      <c r="E122" s="64" t="str">
        <f>IF(烤漆色號編碼!B123="","-",烤漆色號編碼!B123)</f>
        <v>-</v>
      </c>
      <c r="F122" s="64"/>
      <c r="G122" s="64"/>
      <c r="H122" s="64">
        <f>IFERROR((F122*25)+G122,"-")</f>
        <v>0</v>
      </c>
    </row>
    <row r="123" spans="2:8" x14ac:dyDescent="0.15">
      <c r="B123" s="87">
        <v>118</v>
      </c>
      <c r="C123" s="64"/>
      <c r="D123" s="64" t="str">
        <f>IF(烤漆色號編碼!C124="","-",烤漆色號編碼!C124)</f>
        <v>-</v>
      </c>
      <c r="E123" s="64" t="str">
        <f>IF(烤漆色號編碼!B124="","-",烤漆色號編碼!B124)</f>
        <v>-</v>
      </c>
      <c r="F123" s="64"/>
      <c r="G123" s="64"/>
      <c r="H123" s="64">
        <f>IFERROR((F123*25)+G123,"-")</f>
        <v>0</v>
      </c>
    </row>
    <row r="124" spans="2:8" x14ac:dyDescent="0.15">
      <c r="B124" s="87">
        <v>119</v>
      </c>
      <c r="C124" s="64"/>
      <c r="D124" s="64" t="str">
        <f>IF(烤漆色號編碼!C125="","-",烤漆色號編碼!C125)</f>
        <v>-</v>
      </c>
      <c r="E124" s="64" t="str">
        <f>IF(烤漆色號編碼!B125="","-",烤漆色號編碼!B125)</f>
        <v>-</v>
      </c>
      <c r="F124" s="64"/>
      <c r="G124" s="64"/>
      <c r="H124" s="64">
        <f>IFERROR((F124*25)+G124,"-")</f>
        <v>0</v>
      </c>
    </row>
    <row r="125" spans="2:8" x14ac:dyDescent="0.15">
      <c r="B125" s="87">
        <v>120</v>
      </c>
      <c r="C125" s="64"/>
      <c r="D125" s="64" t="str">
        <f>IF(烤漆色號編碼!C126="","-",烤漆色號編碼!C126)</f>
        <v>-</v>
      </c>
      <c r="E125" s="64" t="str">
        <f>IF(烤漆色號編碼!B126="","-",烤漆色號編碼!B126)</f>
        <v>-</v>
      </c>
      <c r="F125" s="64"/>
      <c r="G125" s="64"/>
      <c r="H125" s="64">
        <f>IFERROR((F125*25)+G125,"-")</f>
        <v>0</v>
      </c>
    </row>
    <row r="126" spans="2:8" x14ac:dyDescent="0.15">
      <c r="B126" s="87">
        <v>121</v>
      </c>
      <c r="C126" s="64"/>
      <c r="D126" s="64" t="str">
        <f>IF(烤漆色號編碼!C127="","-",烤漆色號編碼!C127)</f>
        <v>-</v>
      </c>
      <c r="E126" s="64" t="str">
        <f>IF(烤漆色號編碼!B127="","-",烤漆色號編碼!B127)</f>
        <v>-</v>
      </c>
      <c r="F126" s="64"/>
      <c r="G126" s="64"/>
      <c r="H126" s="64">
        <f>IFERROR((F126*25)+G126,"-")</f>
        <v>0</v>
      </c>
    </row>
    <row r="127" spans="2:8" x14ac:dyDescent="0.15">
      <c r="B127" s="87">
        <v>122</v>
      </c>
      <c r="C127" s="64"/>
      <c r="D127" s="64" t="str">
        <f>IF(烤漆色號編碼!C128="","-",烤漆色號編碼!C128)</f>
        <v>-</v>
      </c>
      <c r="E127" s="64" t="str">
        <f>IF(烤漆色號編碼!B128="","-",烤漆色號編碼!B128)</f>
        <v>-</v>
      </c>
      <c r="F127" s="64"/>
      <c r="G127" s="64"/>
      <c r="H127" s="64">
        <f>IFERROR((F127*25)+G127,"-")</f>
        <v>0</v>
      </c>
    </row>
    <row r="128" spans="2:8" x14ac:dyDescent="0.15">
      <c r="B128" s="87">
        <v>123</v>
      </c>
      <c r="C128" s="64"/>
      <c r="D128" s="64" t="str">
        <f>IF(烤漆色號編碼!C129="","-",烤漆色號編碼!C129)</f>
        <v>-</v>
      </c>
      <c r="E128" s="64" t="str">
        <f>IF(烤漆色號編碼!B129="","-",烤漆色號編碼!B129)</f>
        <v>-</v>
      </c>
      <c r="F128" s="64"/>
      <c r="G128" s="64"/>
      <c r="H128" s="64">
        <f>IFERROR((F128*25)+G128,"-")</f>
        <v>0</v>
      </c>
    </row>
    <row r="129" spans="2:8" x14ac:dyDescent="0.15">
      <c r="B129" s="87">
        <v>124</v>
      </c>
      <c r="C129" s="64"/>
      <c r="D129" s="64" t="str">
        <f>IF(烤漆色號編碼!C130="","-",烤漆色號編碼!C130)</f>
        <v>-</v>
      </c>
      <c r="E129" s="64" t="str">
        <f>IF(烤漆色號編碼!B130="","-",烤漆色號編碼!B130)</f>
        <v>-</v>
      </c>
      <c r="F129" s="64"/>
      <c r="G129" s="64"/>
      <c r="H129" s="64">
        <f>IFERROR((F129*25)+G129,"-")</f>
        <v>0</v>
      </c>
    </row>
    <row r="130" spans="2:8" x14ac:dyDescent="0.15">
      <c r="B130" s="87">
        <v>125</v>
      </c>
      <c r="C130" s="64"/>
      <c r="D130" s="64" t="str">
        <f>IF(烤漆色號編碼!C131="","-",烤漆色號編碼!C131)</f>
        <v>-</v>
      </c>
      <c r="E130" s="64" t="str">
        <f>IF(烤漆色號編碼!B131="","-",烤漆色號編碼!B131)</f>
        <v>-</v>
      </c>
      <c r="F130" s="64"/>
      <c r="G130" s="64"/>
      <c r="H130" s="64">
        <f>IFERROR((F130*25)+G130,"-")</f>
        <v>0</v>
      </c>
    </row>
    <row r="131" spans="2:8" x14ac:dyDescent="0.15">
      <c r="B131" s="87">
        <v>126</v>
      </c>
      <c r="C131" s="64"/>
      <c r="D131" s="64" t="str">
        <f>IF(烤漆色號編碼!C132="","-",烤漆色號編碼!C132)</f>
        <v>-</v>
      </c>
      <c r="E131" s="64" t="str">
        <f>IF(烤漆色號編碼!B132="","-",烤漆色號編碼!B132)</f>
        <v>-</v>
      </c>
      <c r="F131" s="64"/>
      <c r="G131" s="64"/>
      <c r="H131" s="64">
        <f>IFERROR((F131*25)+G131,"-")</f>
        <v>0</v>
      </c>
    </row>
    <row r="132" spans="2:8" x14ac:dyDescent="0.15">
      <c r="B132" s="87">
        <v>127</v>
      </c>
      <c r="C132" s="64"/>
      <c r="D132" s="64" t="str">
        <f>IF(烤漆色號編碼!C133="","-",烤漆色號編碼!C133)</f>
        <v>-</v>
      </c>
      <c r="E132" s="64" t="str">
        <f>IF(烤漆色號編碼!B133="","-",烤漆色號編碼!B133)</f>
        <v>-</v>
      </c>
      <c r="F132" s="64"/>
      <c r="G132" s="64"/>
      <c r="H132" s="64">
        <f>IFERROR((F132*25)+G132,"-")</f>
        <v>0</v>
      </c>
    </row>
    <row r="133" spans="2:8" x14ac:dyDescent="0.15">
      <c r="B133" s="87">
        <v>128</v>
      </c>
      <c r="C133" s="64"/>
      <c r="D133" s="64" t="str">
        <f>IF(烤漆色號編碼!C134="","-",烤漆色號編碼!C134)</f>
        <v>-</v>
      </c>
      <c r="E133" s="64" t="str">
        <f>IF(烤漆色號編碼!B134="","-",烤漆色號編碼!B134)</f>
        <v>-</v>
      </c>
      <c r="F133" s="64"/>
      <c r="G133" s="64"/>
      <c r="H133" s="64">
        <f>IFERROR((F133*25)+G133,"-")</f>
        <v>0</v>
      </c>
    </row>
    <row r="134" spans="2:8" x14ac:dyDescent="0.15">
      <c r="B134" s="87">
        <v>129</v>
      </c>
      <c r="C134" s="64"/>
      <c r="D134" s="64" t="str">
        <f>IF(烤漆色號編碼!C135="","-",烤漆色號編碼!C135)</f>
        <v>-</v>
      </c>
      <c r="E134" s="64" t="str">
        <f>IF(烤漆色號編碼!B135="","-",烤漆色號編碼!B135)</f>
        <v>-</v>
      </c>
      <c r="F134" s="64"/>
      <c r="G134" s="64"/>
      <c r="H134" s="64">
        <f>IFERROR((F134*25)+G134,"-")</f>
        <v>0</v>
      </c>
    </row>
    <row r="135" spans="2:8" x14ac:dyDescent="0.15">
      <c r="B135" s="87">
        <v>130</v>
      </c>
      <c r="C135" s="64"/>
      <c r="D135" s="64" t="str">
        <f>IF(烤漆色號編碼!C136="","-",烤漆色號編碼!C136)</f>
        <v>-</v>
      </c>
      <c r="E135" s="64" t="str">
        <f>IF(烤漆色號編碼!B136="","-",烤漆色號編碼!B136)</f>
        <v>-</v>
      </c>
      <c r="F135" s="64"/>
      <c r="G135" s="64"/>
      <c r="H135" s="64">
        <f>IFERROR((F135*25)+G135,"-")</f>
        <v>0</v>
      </c>
    </row>
    <row r="136" spans="2:8" x14ac:dyDescent="0.15">
      <c r="B136" s="87">
        <v>131</v>
      </c>
      <c r="C136" s="64"/>
      <c r="D136" s="64" t="str">
        <f>IF(烤漆色號編碼!C137="","-",烤漆色號編碼!C137)</f>
        <v>-</v>
      </c>
      <c r="E136" s="64" t="str">
        <f>IF(烤漆色號編碼!B137="","-",烤漆色號編碼!B137)</f>
        <v>-</v>
      </c>
      <c r="F136" s="64"/>
      <c r="G136" s="64"/>
      <c r="H136" s="64">
        <f>IFERROR((F136*25)+G136,"-")</f>
        <v>0</v>
      </c>
    </row>
    <row r="137" spans="2:8" x14ac:dyDescent="0.15">
      <c r="B137" s="87">
        <v>132</v>
      </c>
      <c r="C137" s="64"/>
      <c r="D137" s="64" t="str">
        <f>IF(烤漆色號編碼!C138="","-",烤漆色號編碼!C138)</f>
        <v>-</v>
      </c>
      <c r="E137" s="64" t="str">
        <f>IF(烤漆色號編碼!B138="","-",烤漆色號編碼!B138)</f>
        <v>-</v>
      </c>
      <c r="F137" s="64"/>
      <c r="G137" s="64"/>
      <c r="H137" s="64">
        <f>IFERROR((F137*25)+G137,"-")</f>
        <v>0</v>
      </c>
    </row>
    <row r="138" spans="2:8" x14ac:dyDescent="0.15">
      <c r="B138" s="87">
        <v>133</v>
      </c>
      <c r="C138" s="64"/>
      <c r="D138" s="64" t="str">
        <f>IF(烤漆色號編碼!C139="","-",烤漆色號編碼!C139)</f>
        <v>-</v>
      </c>
      <c r="E138" s="64" t="str">
        <f>IF(烤漆色號編碼!B139="","-",烤漆色號編碼!B139)</f>
        <v>-</v>
      </c>
      <c r="F138" s="64"/>
      <c r="G138" s="64"/>
      <c r="H138" s="64">
        <f>IFERROR((F138*25)+G138,"-")</f>
        <v>0</v>
      </c>
    </row>
    <row r="139" spans="2:8" x14ac:dyDescent="0.15">
      <c r="B139" s="87">
        <v>134</v>
      </c>
      <c r="C139" s="64"/>
      <c r="D139" s="64" t="str">
        <f>IF(烤漆色號編碼!C140="","-",烤漆色號編碼!C140)</f>
        <v>-</v>
      </c>
      <c r="E139" s="64" t="str">
        <f>IF(烤漆色號編碼!B140="","-",烤漆色號編碼!B140)</f>
        <v>-</v>
      </c>
      <c r="F139" s="64"/>
      <c r="G139" s="64"/>
      <c r="H139" s="64">
        <f>IFERROR((F139*25)+G139,"-")</f>
        <v>0</v>
      </c>
    </row>
    <row r="140" spans="2:8" x14ac:dyDescent="0.15">
      <c r="B140" s="87">
        <v>135</v>
      </c>
      <c r="C140" s="64"/>
      <c r="D140" s="64" t="str">
        <f>IF(烤漆色號編碼!C141="","-",烤漆色號編碼!C141)</f>
        <v>-</v>
      </c>
      <c r="E140" s="64" t="str">
        <f>IF(烤漆色號編碼!B141="","-",烤漆色號編碼!B141)</f>
        <v>-</v>
      </c>
      <c r="F140" s="64"/>
      <c r="G140" s="64"/>
      <c r="H140" s="64">
        <f>IFERROR((F140*25)+G140,"-")</f>
        <v>0</v>
      </c>
    </row>
    <row r="141" spans="2:8" x14ac:dyDescent="0.15">
      <c r="B141" s="87">
        <v>136</v>
      </c>
      <c r="C141" s="64"/>
      <c r="D141" s="64" t="str">
        <f>IF(烤漆色號編碼!C142="","-",烤漆色號編碼!C142)</f>
        <v>-</v>
      </c>
      <c r="E141" s="64" t="str">
        <f>IF(烤漆色號編碼!B142="","-",烤漆色號編碼!B142)</f>
        <v>-</v>
      </c>
      <c r="F141" s="64"/>
      <c r="G141" s="64"/>
      <c r="H141" s="64">
        <f>IFERROR((F141*25)+G141,"-")</f>
        <v>0</v>
      </c>
    </row>
    <row r="142" spans="2:8" x14ac:dyDescent="0.15">
      <c r="B142" s="87">
        <v>137</v>
      </c>
      <c r="C142" s="64"/>
      <c r="D142" s="64" t="str">
        <f>IF(烤漆色號編碼!C143="","-",烤漆色號編碼!C143)</f>
        <v>-</v>
      </c>
      <c r="E142" s="64" t="str">
        <f>IF(烤漆色號編碼!B143="","-",烤漆色號編碼!B143)</f>
        <v>-</v>
      </c>
      <c r="F142" s="64"/>
      <c r="G142" s="64"/>
      <c r="H142" s="64">
        <f>IFERROR((F142*25)+G142,"-")</f>
        <v>0</v>
      </c>
    </row>
    <row r="143" spans="2:8" x14ac:dyDescent="0.15">
      <c r="B143" s="87">
        <v>138</v>
      </c>
      <c r="C143" s="64"/>
      <c r="D143" s="64" t="str">
        <f>IF(烤漆色號編碼!C144="","-",烤漆色號編碼!C144)</f>
        <v>-</v>
      </c>
      <c r="E143" s="64" t="str">
        <f>IF(烤漆色號編碼!B144="","-",烤漆色號編碼!B144)</f>
        <v>-</v>
      </c>
      <c r="F143" s="64"/>
      <c r="G143" s="64"/>
      <c r="H143" s="64">
        <f>IFERROR((F143*25)+G143,"-")</f>
        <v>0</v>
      </c>
    </row>
    <row r="144" spans="2:8" x14ac:dyDescent="0.15">
      <c r="B144" s="87">
        <v>139</v>
      </c>
      <c r="C144" s="64"/>
      <c r="D144" s="64" t="str">
        <f>IF(烤漆色號編碼!C145="","-",烤漆色號編碼!C145)</f>
        <v>-</v>
      </c>
      <c r="E144" s="64" t="str">
        <f>IF(烤漆色號編碼!B145="","-",烤漆色號編碼!B145)</f>
        <v>-</v>
      </c>
      <c r="F144" s="64"/>
      <c r="G144" s="64"/>
      <c r="H144" s="64">
        <f>IFERROR((F144*25)+G144,"-")</f>
        <v>0</v>
      </c>
    </row>
    <row r="145" spans="2:8" x14ac:dyDescent="0.15">
      <c r="B145" s="87">
        <v>140</v>
      </c>
      <c r="C145" s="64"/>
      <c r="D145" s="64" t="str">
        <f>IF(烤漆色號編碼!C146="","-",烤漆色號編碼!C146)</f>
        <v>-</v>
      </c>
      <c r="E145" s="64" t="str">
        <f>IF(烤漆色號編碼!B146="","-",烤漆色號編碼!B146)</f>
        <v>-</v>
      </c>
      <c r="F145" s="64"/>
      <c r="G145" s="64"/>
      <c r="H145" s="64">
        <f>IFERROR((F145*25)+G145,"-")</f>
        <v>0</v>
      </c>
    </row>
    <row r="146" spans="2:8" x14ac:dyDescent="0.15">
      <c r="B146" s="87">
        <v>141</v>
      </c>
      <c r="C146" s="64"/>
      <c r="D146" s="64" t="str">
        <f>IF(烤漆色號編碼!C147="","-",烤漆色號編碼!C147)</f>
        <v>-</v>
      </c>
      <c r="E146" s="64" t="str">
        <f>IF(烤漆色號編碼!B147="","-",烤漆色號編碼!B147)</f>
        <v>-</v>
      </c>
      <c r="F146" s="64"/>
      <c r="G146" s="64"/>
      <c r="H146" s="64">
        <f>IFERROR((F146*25)+G146,"-")</f>
        <v>0</v>
      </c>
    </row>
    <row r="147" spans="2:8" x14ac:dyDescent="0.15">
      <c r="B147" s="87">
        <v>142</v>
      </c>
      <c r="C147" s="64"/>
      <c r="D147" s="64" t="str">
        <f>IF(烤漆色號編碼!C148="","-",烤漆色號編碼!C148)</f>
        <v>-</v>
      </c>
      <c r="E147" s="64" t="str">
        <f>IF(烤漆色號編碼!B148="","-",烤漆色號編碼!B148)</f>
        <v>-</v>
      </c>
      <c r="F147" s="64"/>
      <c r="G147" s="64"/>
      <c r="H147" s="64">
        <f>IFERROR((F147*25)+G147,"-")</f>
        <v>0</v>
      </c>
    </row>
    <row r="148" spans="2:8" x14ac:dyDescent="0.15">
      <c r="B148" s="87">
        <v>143</v>
      </c>
      <c r="C148" s="64"/>
      <c r="D148" s="64" t="str">
        <f>IF(烤漆色號編碼!C149="","-",烤漆色號編碼!C149)</f>
        <v>-</v>
      </c>
      <c r="E148" s="64" t="str">
        <f>IF(烤漆色號編碼!B149="","-",烤漆色號編碼!B149)</f>
        <v>-</v>
      </c>
      <c r="F148" s="64"/>
      <c r="G148" s="64"/>
      <c r="H148" s="64">
        <f>IFERROR((F148*25)+G148,"-")</f>
        <v>0</v>
      </c>
    </row>
    <row r="149" spans="2:8" x14ac:dyDescent="0.15">
      <c r="B149" s="87">
        <v>144</v>
      </c>
      <c r="C149" s="64"/>
      <c r="D149" s="64" t="str">
        <f>IF(烤漆色號編碼!C150="","-",烤漆色號編碼!C150)</f>
        <v>-</v>
      </c>
      <c r="E149" s="64" t="str">
        <f>IF(烤漆色號編碼!B150="","-",烤漆色號編碼!B150)</f>
        <v>-</v>
      </c>
      <c r="F149" s="64"/>
      <c r="G149" s="64"/>
      <c r="H149" s="64">
        <f>IFERROR((F149*25)+G149,"-")</f>
        <v>0</v>
      </c>
    </row>
    <row r="150" spans="2:8" x14ac:dyDescent="0.15">
      <c r="B150" s="87">
        <v>145</v>
      </c>
      <c r="C150" s="64"/>
      <c r="D150" s="64" t="str">
        <f>IF(烤漆色號編碼!C151="","-",烤漆色號編碼!C151)</f>
        <v>-</v>
      </c>
      <c r="E150" s="64" t="str">
        <f>IF(烤漆色號編碼!B151="","-",烤漆色號編碼!B151)</f>
        <v>-</v>
      </c>
      <c r="F150" s="64"/>
      <c r="G150" s="64"/>
      <c r="H150" s="64">
        <f>IFERROR((F150*25)+G150,"-")</f>
        <v>0</v>
      </c>
    </row>
    <row r="151" spans="2:8" x14ac:dyDescent="0.15">
      <c r="B151" s="87">
        <v>146</v>
      </c>
      <c r="C151" s="64"/>
      <c r="D151" s="64" t="str">
        <f>IF(烤漆色號編碼!C152="","-",烤漆色號編碼!C152)</f>
        <v>-</v>
      </c>
      <c r="E151" s="64" t="str">
        <f>IF(烤漆色號編碼!B152="","-",烤漆色號編碼!B152)</f>
        <v>-</v>
      </c>
      <c r="F151" s="64"/>
      <c r="G151" s="64"/>
      <c r="H151" s="64">
        <f>IFERROR((F151*25)+G151,"-")</f>
        <v>0</v>
      </c>
    </row>
    <row r="152" spans="2:8" x14ac:dyDescent="0.15">
      <c r="B152" s="87">
        <v>147</v>
      </c>
      <c r="C152" s="64"/>
      <c r="D152" s="64" t="str">
        <f>IF(烤漆色號編碼!C153="","-",烤漆色號編碼!C153)</f>
        <v>-</v>
      </c>
      <c r="E152" s="64" t="str">
        <f>IF(烤漆色號編碼!B153="","-",烤漆色號編碼!B153)</f>
        <v>-</v>
      </c>
      <c r="F152" s="64"/>
      <c r="G152" s="64"/>
      <c r="H152" s="64">
        <f>IFERROR((F152*25)+G152,"-")</f>
        <v>0</v>
      </c>
    </row>
    <row r="153" spans="2:8" x14ac:dyDescent="0.15">
      <c r="B153" s="87">
        <v>148</v>
      </c>
      <c r="C153" s="64"/>
      <c r="D153" s="64" t="str">
        <f>IF(烤漆色號編碼!C154="","-",烤漆色號編碼!C154)</f>
        <v>-</v>
      </c>
      <c r="E153" s="64" t="str">
        <f>IF(烤漆色號編碼!B154="","-",烤漆色號編碼!B154)</f>
        <v>-</v>
      </c>
      <c r="F153" s="64"/>
      <c r="G153" s="64"/>
      <c r="H153" s="64">
        <f>IFERROR((F153*25)+G153,"-")</f>
        <v>0</v>
      </c>
    </row>
    <row r="154" spans="2:8" x14ac:dyDescent="0.15">
      <c r="B154" s="87">
        <v>149</v>
      </c>
      <c r="C154" s="64"/>
      <c r="D154" s="64" t="str">
        <f>IF(烤漆色號編碼!C155="","-",烤漆色號編碼!C155)</f>
        <v>-</v>
      </c>
      <c r="E154" s="64" t="str">
        <f>IF(烤漆色號編碼!B155="","-",烤漆色號編碼!B155)</f>
        <v>-</v>
      </c>
      <c r="F154" s="64"/>
      <c r="G154" s="64"/>
      <c r="H154" s="64">
        <f>IFERROR((F154*25)+G154,"-")</f>
        <v>0</v>
      </c>
    </row>
    <row r="155" spans="2:8" x14ac:dyDescent="0.15">
      <c r="B155" s="87">
        <v>150</v>
      </c>
      <c r="C155" s="64"/>
      <c r="D155" s="64" t="str">
        <f>IF(烤漆色號編碼!C156="","-",烤漆色號編碼!C156)</f>
        <v>-</v>
      </c>
      <c r="E155" s="64" t="str">
        <f>IF(烤漆色號編碼!B156="","-",烤漆色號編碼!B156)</f>
        <v>-</v>
      </c>
      <c r="F155" s="64"/>
      <c r="G155" s="64"/>
      <c r="H155" s="64">
        <f>IFERROR((F155*25)+G155,"-")</f>
        <v>0</v>
      </c>
    </row>
    <row r="156" spans="2:8" x14ac:dyDescent="0.15">
      <c r="B156" s="87">
        <v>151</v>
      </c>
      <c r="C156" s="64"/>
      <c r="D156" s="64" t="str">
        <f>IF(烤漆色號編碼!C157="","-",烤漆色號編碼!C157)</f>
        <v>-</v>
      </c>
      <c r="E156" s="64" t="str">
        <f>IF(烤漆色號編碼!B157="","-",烤漆色號編碼!B157)</f>
        <v>-</v>
      </c>
      <c r="F156" s="64"/>
      <c r="G156" s="64"/>
      <c r="H156" s="64">
        <f>IFERROR((F156*25)+G156,"-")</f>
        <v>0</v>
      </c>
    </row>
    <row r="157" spans="2:8" x14ac:dyDescent="0.15">
      <c r="B157" s="87">
        <v>152</v>
      </c>
      <c r="C157" s="64"/>
      <c r="D157" s="64" t="str">
        <f>IF(烤漆色號編碼!C158="","-",烤漆色號編碼!C158)</f>
        <v>-</v>
      </c>
      <c r="E157" s="64" t="str">
        <f>IF(烤漆色號編碼!B158="","-",烤漆色號編碼!B158)</f>
        <v>-</v>
      </c>
      <c r="F157" s="64"/>
      <c r="G157" s="64"/>
      <c r="H157" s="64">
        <f>IFERROR((F157*25)+G157,"-")</f>
        <v>0</v>
      </c>
    </row>
    <row r="158" spans="2:8" x14ac:dyDescent="0.15">
      <c r="B158" s="87">
        <v>153</v>
      </c>
      <c r="C158" s="64"/>
      <c r="D158" s="64" t="str">
        <f>IF(烤漆色號編碼!C159="","-",烤漆色號編碼!C159)</f>
        <v>-</v>
      </c>
      <c r="E158" s="64" t="str">
        <f>IF(烤漆色號編碼!B159="","-",烤漆色號編碼!B159)</f>
        <v>-</v>
      </c>
      <c r="F158" s="64"/>
      <c r="G158" s="64"/>
      <c r="H158" s="64">
        <f>IFERROR((F158*25)+G158,"-")</f>
        <v>0</v>
      </c>
    </row>
    <row r="159" spans="2:8" x14ac:dyDescent="0.15">
      <c r="B159" s="87">
        <v>154</v>
      </c>
      <c r="C159" s="64"/>
      <c r="D159" s="64" t="str">
        <f>IF(烤漆色號編碼!C160="","-",烤漆色號編碼!C160)</f>
        <v>-</v>
      </c>
      <c r="E159" s="64" t="str">
        <f>IF(烤漆色號編碼!B160="","-",烤漆色號編碼!B160)</f>
        <v>-</v>
      </c>
      <c r="F159" s="64"/>
      <c r="G159" s="64"/>
      <c r="H159" s="64">
        <f>IFERROR((F159*25)+G159,"-")</f>
        <v>0</v>
      </c>
    </row>
    <row r="160" spans="2:8" x14ac:dyDescent="0.15">
      <c r="B160" s="87">
        <v>155</v>
      </c>
      <c r="C160" s="64"/>
      <c r="D160" s="64" t="str">
        <f>IF(烤漆色號編碼!C161="","-",烤漆色號編碼!C161)</f>
        <v>-</v>
      </c>
      <c r="E160" s="64" t="str">
        <f>IF(烤漆色號編碼!B161="","-",烤漆色號編碼!B161)</f>
        <v>-</v>
      </c>
      <c r="F160" s="64"/>
      <c r="G160" s="64"/>
      <c r="H160" s="64">
        <f>IFERROR((F160*25)+G160,"-")</f>
        <v>0</v>
      </c>
    </row>
    <row r="161" spans="2:8" x14ac:dyDescent="0.15">
      <c r="B161" s="87">
        <v>156</v>
      </c>
      <c r="C161" s="64"/>
      <c r="D161" s="64" t="str">
        <f>IF(烤漆色號編碼!C162="","-",烤漆色號編碼!C162)</f>
        <v>-</v>
      </c>
      <c r="E161" s="64" t="str">
        <f>IF(烤漆色號編碼!B162="","-",烤漆色號編碼!B162)</f>
        <v>-</v>
      </c>
      <c r="F161" s="64"/>
      <c r="G161" s="64"/>
      <c r="H161" s="64">
        <f>IFERROR((F161*25)+G161,"-")</f>
        <v>0</v>
      </c>
    </row>
    <row r="162" spans="2:8" x14ac:dyDescent="0.15">
      <c r="B162" s="87">
        <v>157</v>
      </c>
      <c r="C162" s="64"/>
      <c r="D162" s="64" t="str">
        <f>IF(烤漆色號編碼!C163="","-",烤漆色號編碼!C163)</f>
        <v>-</v>
      </c>
      <c r="E162" s="64" t="str">
        <f>IF(烤漆色號編碼!B163="","-",烤漆色號編碼!B163)</f>
        <v>-</v>
      </c>
      <c r="F162" s="64"/>
      <c r="G162" s="64"/>
      <c r="H162" s="64">
        <f>IFERROR((F162*25)+G162,"-")</f>
        <v>0</v>
      </c>
    </row>
    <row r="163" spans="2:8" x14ac:dyDescent="0.15">
      <c r="B163" s="87">
        <v>158</v>
      </c>
      <c r="C163" s="64"/>
      <c r="D163" s="64" t="str">
        <f>IF(烤漆色號編碼!C164="","-",烤漆色號編碼!C164)</f>
        <v>-</v>
      </c>
      <c r="E163" s="64" t="str">
        <f>IF(烤漆色號編碼!B164="","-",烤漆色號編碼!B164)</f>
        <v>-</v>
      </c>
      <c r="F163" s="64"/>
      <c r="G163" s="64"/>
      <c r="H163" s="64">
        <f>IFERROR((F163*25)+G163,"-")</f>
        <v>0</v>
      </c>
    </row>
    <row r="164" spans="2:8" x14ac:dyDescent="0.15">
      <c r="B164" s="87">
        <v>159</v>
      </c>
      <c r="C164" s="64"/>
      <c r="D164" s="64" t="str">
        <f>IF(烤漆色號編碼!C165="","-",烤漆色號編碼!C165)</f>
        <v>-</v>
      </c>
      <c r="E164" s="64" t="str">
        <f>IF(烤漆色號編碼!B165="","-",烤漆色號編碼!B165)</f>
        <v>-</v>
      </c>
      <c r="F164" s="64"/>
      <c r="G164" s="64"/>
      <c r="H164" s="64">
        <f>IFERROR((F164*25)+G164,"-")</f>
        <v>0</v>
      </c>
    </row>
    <row r="165" spans="2:8" x14ac:dyDescent="0.15">
      <c r="B165" s="87">
        <v>160</v>
      </c>
      <c r="C165" s="64"/>
      <c r="D165" s="64" t="str">
        <f>IF(烤漆色號編碼!C166="","-",烤漆色號編碼!C166)</f>
        <v>-</v>
      </c>
      <c r="E165" s="64" t="str">
        <f>IF(烤漆色號編碼!B166="","-",烤漆色號編碼!B166)</f>
        <v>-</v>
      </c>
      <c r="F165" s="64"/>
      <c r="G165" s="64"/>
      <c r="H165" s="64">
        <f>IFERROR((F165*25)+G165,"-")</f>
        <v>0</v>
      </c>
    </row>
    <row r="166" spans="2:8" x14ac:dyDescent="0.15">
      <c r="B166" s="87">
        <v>161</v>
      </c>
      <c r="C166" s="64"/>
      <c r="D166" s="64" t="str">
        <f>IF(烤漆色號編碼!C167="","-",烤漆色號編碼!C167)</f>
        <v>-</v>
      </c>
      <c r="E166" s="64" t="str">
        <f>IF(烤漆色號編碼!B167="","-",烤漆色號編碼!B167)</f>
        <v>-</v>
      </c>
      <c r="F166" s="64"/>
      <c r="G166" s="64"/>
      <c r="H166" s="64">
        <f>IFERROR((F166*25)+G166,"-")</f>
        <v>0</v>
      </c>
    </row>
    <row r="167" spans="2:8" x14ac:dyDescent="0.15">
      <c r="B167" s="87">
        <v>162</v>
      </c>
      <c r="C167" s="64"/>
      <c r="D167" s="64" t="str">
        <f>IF(烤漆色號編碼!C168="","-",烤漆色號編碼!C168)</f>
        <v>-</v>
      </c>
      <c r="E167" s="64" t="str">
        <f>IF(烤漆色號編碼!B168="","-",烤漆色號編碼!B168)</f>
        <v>-</v>
      </c>
      <c r="F167" s="64"/>
      <c r="G167" s="64"/>
      <c r="H167" s="64">
        <f>IFERROR((F167*25)+G167,"-")</f>
        <v>0</v>
      </c>
    </row>
    <row r="168" spans="2:8" x14ac:dyDescent="0.15">
      <c r="B168" s="87">
        <v>163</v>
      </c>
      <c r="C168" s="64"/>
      <c r="D168" s="64" t="str">
        <f>IF(烤漆色號編碼!C169="","-",烤漆色號編碼!C169)</f>
        <v>-</v>
      </c>
      <c r="E168" s="64" t="str">
        <f>IF(烤漆色號編碼!B169="","-",烤漆色號編碼!B169)</f>
        <v>-</v>
      </c>
      <c r="F168" s="64"/>
      <c r="G168" s="64"/>
      <c r="H168" s="64">
        <f>IFERROR((F168*25)+G168,"-")</f>
        <v>0</v>
      </c>
    </row>
    <row r="169" spans="2:8" x14ac:dyDescent="0.15">
      <c r="B169" s="87">
        <v>164</v>
      </c>
      <c r="C169" s="64"/>
      <c r="D169" s="64" t="str">
        <f>IF(烤漆色號編碼!C170="","-",烤漆色號編碼!C170)</f>
        <v>-</v>
      </c>
      <c r="E169" s="64" t="str">
        <f>IF(烤漆色號編碼!B170="","-",烤漆色號編碼!B170)</f>
        <v>-</v>
      </c>
      <c r="F169" s="64"/>
      <c r="G169" s="64"/>
      <c r="H169" s="64">
        <f>IFERROR((F169*25)+G169,"-")</f>
        <v>0</v>
      </c>
    </row>
    <row r="170" spans="2:8" x14ac:dyDescent="0.15">
      <c r="B170" s="87">
        <v>165</v>
      </c>
      <c r="C170" s="64"/>
      <c r="D170" s="64" t="str">
        <f>IF(烤漆色號編碼!C171="","-",烤漆色號編碼!C171)</f>
        <v>-</v>
      </c>
      <c r="E170" s="64" t="str">
        <f>IF(烤漆色號編碼!B171="","-",烤漆色號編碼!B171)</f>
        <v>-</v>
      </c>
      <c r="F170" s="64"/>
      <c r="G170" s="64"/>
      <c r="H170" s="64">
        <f>IFERROR((F170*25)+G170,"-")</f>
        <v>0</v>
      </c>
    </row>
    <row r="171" spans="2:8" x14ac:dyDescent="0.15">
      <c r="B171" s="87">
        <v>166</v>
      </c>
      <c r="C171" s="64"/>
      <c r="D171" s="64" t="str">
        <f>IF(烤漆色號編碼!C172="","-",烤漆色號編碼!C172)</f>
        <v>-</v>
      </c>
      <c r="E171" s="64" t="str">
        <f>IF(烤漆色號編碼!B172="","-",烤漆色號編碼!B172)</f>
        <v>-</v>
      </c>
      <c r="F171" s="64"/>
      <c r="G171" s="64"/>
      <c r="H171" s="64">
        <f>IFERROR((F171*25)+G171,"-")</f>
        <v>0</v>
      </c>
    </row>
    <row r="172" spans="2:8" x14ac:dyDescent="0.15">
      <c r="B172" s="87">
        <v>167</v>
      </c>
      <c r="C172" s="64"/>
      <c r="D172" s="64" t="str">
        <f>IF(烤漆色號編碼!C173="","-",烤漆色號編碼!C173)</f>
        <v>-</v>
      </c>
      <c r="E172" s="64" t="str">
        <f>IF(烤漆色號編碼!B173="","-",烤漆色號編碼!B173)</f>
        <v>-</v>
      </c>
      <c r="F172" s="64"/>
      <c r="G172" s="64"/>
      <c r="H172" s="64">
        <f>IFERROR((F172*25)+G172,"-")</f>
        <v>0</v>
      </c>
    </row>
    <row r="173" spans="2:8" x14ac:dyDescent="0.15">
      <c r="B173" s="87">
        <v>168</v>
      </c>
      <c r="C173" s="64"/>
      <c r="D173" s="64" t="str">
        <f>IF(烤漆色號編碼!C174="","-",烤漆色號編碼!C174)</f>
        <v>-</v>
      </c>
      <c r="E173" s="64" t="str">
        <f>IF(烤漆色號編碼!B174="","-",烤漆色號編碼!B174)</f>
        <v>-</v>
      </c>
      <c r="F173" s="64"/>
      <c r="G173" s="64"/>
      <c r="H173" s="64">
        <f>IFERROR((F173*25)+G173,"-")</f>
        <v>0</v>
      </c>
    </row>
    <row r="174" spans="2:8" x14ac:dyDescent="0.15">
      <c r="B174" s="87">
        <v>169</v>
      </c>
      <c r="C174" s="64"/>
      <c r="D174" s="64" t="str">
        <f>IF(烤漆色號編碼!C175="","-",烤漆色號編碼!C175)</f>
        <v>-</v>
      </c>
      <c r="E174" s="64" t="str">
        <f>IF(烤漆色號編碼!B175="","-",烤漆色號編碼!B175)</f>
        <v>-</v>
      </c>
      <c r="F174" s="64"/>
      <c r="G174" s="64"/>
      <c r="H174" s="64">
        <f>IFERROR((F174*25)+G174,"-")</f>
        <v>0</v>
      </c>
    </row>
    <row r="175" spans="2:8" x14ac:dyDescent="0.15">
      <c r="B175" s="87">
        <v>170</v>
      </c>
      <c r="C175" s="64"/>
      <c r="D175" s="64" t="str">
        <f>IF(烤漆色號編碼!C176="","-",烤漆色號編碼!C176)</f>
        <v>-</v>
      </c>
      <c r="E175" s="64" t="str">
        <f>IF(烤漆色號編碼!B176="","-",烤漆色號編碼!B176)</f>
        <v>-</v>
      </c>
      <c r="F175" s="64"/>
      <c r="G175" s="64"/>
      <c r="H175" s="64">
        <f>IFERROR((F175*25)+G175,"-")</f>
        <v>0</v>
      </c>
    </row>
    <row r="176" spans="2:8" x14ac:dyDescent="0.15">
      <c r="B176" s="87">
        <v>171</v>
      </c>
      <c r="C176" s="64"/>
      <c r="D176" s="64" t="str">
        <f>IF(烤漆色號編碼!C177="","-",烤漆色號編碼!C177)</f>
        <v>-</v>
      </c>
      <c r="E176" s="64" t="str">
        <f>IF(烤漆色號編碼!B177="","-",烤漆色號編碼!B177)</f>
        <v>-</v>
      </c>
      <c r="F176" s="64"/>
      <c r="G176" s="64"/>
      <c r="H176" s="64">
        <f>IFERROR((F176*25)+G176,"-")</f>
        <v>0</v>
      </c>
    </row>
    <row r="177" spans="2:8" x14ac:dyDescent="0.15">
      <c r="B177" s="87">
        <v>172</v>
      </c>
      <c r="C177" s="64"/>
      <c r="D177" s="64" t="str">
        <f>IF(烤漆色號編碼!C178="","-",烤漆色號編碼!C178)</f>
        <v>-</v>
      </c>
      <c r="E177" s="64" t="str">
        <f>IF(烤漆色號編碼!B178="","-",烤漆色號編碼!B178)</f>
        <v>-</v>
      </c>
      <c r="F177" s="64"/>
      <c r="G177" s="64"/>
      <c r="H177" s="64">
        <f>IFERROR((F177*25)+G177,"-")</f>
        <v>0</v>
      </c>
    </row>
    <row r="178" spans="2:8" x14ac:dyDescent="0.15">
      <c r="B178" s="87">
        <v>173</v>
      </c>
      <c r="C178" s="64"/>
      <c r="D178" s="64" t="str">
        <f>IF(烤漆色號編碼!C179="","-",烤漆色號編碼!C179)</f>
        <v>-</v>
      </c>
      <c r="E178" s="64" t="str">
        <f>IF(烤漆色號編碼!B179="","-",烤漆色號編碼!B179)</f>
        <v>-</v>
      </c>
      <c r="F178" s="64"/>
      <c r="G178" s="64"/>
      <c r="H178" s="64">
        <f>IFERROR((F178*25)+G178,"-")</f>
        <v>0</v>
      </c>
    </row>
    <row r="179" spans="2:8" x14ac:dyDescent="0.15">
      <c r="B179" s="87">
        <v>174</v>
      </c>
      <c r="C179" s="64"/>
      <c r="D179" s="64" t="str">
        <f>IF(烤漆色號編碼!C180="","-",烤漆色號編碼!C180)</f>
        <v>-</v>
      </c>
      <c r="E179" s="64" t="str">
        <f>IF(烤漆色號編碼!B180="","-",烤漆色號編碼!B180)</f>
        <v>-</v>
      </c>
      <c r="F179" s="64"/>
      <c r="G179" s="64"/>
      <c r="H179" s="64">
        <f>IFERROR((F179*25)+G179,"-")</f>
        <v>0</v>
      </c>
    </row>
    <row r="180" spans="2:8" x14ac:dyDescent="0.15">
      <c r="B180" s="87">
        <v>175</v>
      </c>
      <c r="C180" s="64"/>
      <c r="D180" s="64" t="str">
        <f>IF(烤漆色號編碼!C181="","-",烤漆色號編碼!C181)</f>
        <v>-</v>
      </c>
      <c r="E180" s="64" t="str">
        <f>IF(烤漆色號編碼!B181="","-",烤漆色號編碼!B181)</f>
        <v>-</v>
      </c>
      <c r="F180" s="64"/>
      <c r="G180" s="64"/>
      <c r="H180" s="64">
        <f>IFERROR((F180*25)+G180,"-")</f>
        <v>0</v>
      </c>
    </row>
    <row r="181" spans="2:8" x14ac:dyDescent="0.15">
      <c r="B181" s="87">
        <v>176</v>
      </c>
      <c r="C181" s="64"/>
      <c r="D181" s="64" t="str">
        <f>IF(烤漆色號編碼!C182="","-",烤漆色號編碼!C182)</f>
        <v>-</v>
      </c>
      <c r="E181" s="64" t="str">
        <f>IF(烤漆色號編碼!B182="","-",烤漆色號編碼!B182)</f>
        <v>-</v>
      </c>
      <c r="F181" s="64"/>
      <c r="G181" s="64"/>
      <c r="H181" s="64">
        <f>IFERROR((F181*25)+G181,"-")</f>
        <v>0</v>
      </c>
    </row>
    <row r="182" spans="2:8" x14ac:dyDescent="0.15">
      <c r="B182" s="87">
        <v>177</v>
      </c>
      <c r="C182" s="64"/>
      <c r="D182" s="64" t="str">
        <f>IF(烤漆色號編碼!C183="","-",烤漆色號編碼!C183)</f>
        <v>-</v>
      </c>
      <c r="E182" s="64" t="str">
        <f>IF(烤漆色號編碼!B183="","-",烤漆色號編碼!B183)</f>
        <v>-</v>
      </c>
      <c r="F182" s="64"/>
      <c r="G182" s="64"/>
      <c r="H182" s="64">
        <f>IFERROR((F182*25)+G182,"-")</f>
        <v>0</v>
      </c>
    </row>
    <row r="183" spans="2:8" x14ac:dyDescent="0.15">
      <c r="B183" s="87">
        <v>178</v>
      </c>
      <c r="C183" s="64"/>
      <c r="D183" s="64" t="str">
        <f>IF(烤漆色號編碼!C184="","-",烤漆色號編碼!C184)</f>
        <v>-</v>
      </c>
      <c r="E183" s="64" t="str">
        <f>IF(烤漆色號編碼!B184="","-",烤漆色號編碼!B184)</f>
        <v>-</v>
      </c>
      <c r="F183" s="64"/>
      <c r="G183" s="64"/>
      <c r="H183" s="64">
        <f>IFERROR((F183*25)+G183,"-")</f>
        <v>0</v>
      </c>
    </row>
    <row r="184" spans="2:8" x14ac:dyDescent="0.15">
      <c r="B184" s="87">
        <v>179</v>
      </c>
      <c r="C184" s="64"/>
      <c r="D184" s="64" t="str">
        <f>IF(烤漆色號編碼!C185="","-",烤漆色號編碼!C185)</f>
        <v>-</v>
      </c>
      <c r="E184" s="64" t="str">
        <f>IF(烤漆色號編碼!B185="","-",烤漆色號編碼!B185)</f>
        <v>-</v>
      </c>
      <c r="F184" s="64"/>
      <c r="G184" s="64"/>
      <c r="H184" s="64">
        <f>IFERROR((F184*25)+G184,"-")</f>
        <v>0</v>
      </c>
    </row>
    <row r="185" spans="2:8" x14ac:dyDescent="0.15">
      <c r="B185" s="87">
        <v>180</v>
      </c>
      <c r="C185" s="64"/>
      <c r="D185" s="64" t="str">
        <f>IF(烤漆色號編碼!C186="","-",烤漆色號編碼!C186)</f>
        <v>-</v>
      </c>
      <c r="E185" s="64" t="str">
        <f>IF(烤漆色號編碼!B186="","-",烤漆色號編碼!B186)</f>
        <v>-</v>
      </c>
      <c r="F185" s="64"/>
      <c r="G185" s="64"/>
      <c r="H185" s="64">
        <f>IFERROR((F185*25)+G185,"-")</f>
        <v>0</v>
      </c>
    </row>
    <row r="186" spans="2:8" x14ac:dyDescent="0.15">
      <c r="B186" s="87">
        <v>181</v>
      </c>
      <c r="C186" s="64"/>
      <c r="D186" s="64" t="str">
        <f>IF(烤漆色號編碼!C187="","-",烤漆色號編碼!C187)</f>
        <v>-</v>
      </c>
      <c r="E186" s="64" t="str">
        <f>IF(烤漆色號編碼!B187="","-",烤漆色號編碼!B187)</f>
        <v>-</v>
      </c>
      <c r="F186" s="64"/>
      <c r="G186" s="64"/>
      <c r="H186" s="64">
        <f>IFERROR((F186*25)+G186,"-")</f>
        <v>0</v>
      </c>
    </row>
    <row r="187" spans="2:8" x14ac:dyDescent="0.15">
      <c r="B187" s="87">
        <v>182</v>
      </c>
      <c r="C187" s="64"/>
      <c r="D187" s="64" t="str">
        <f>IF(烤漆色號編碼!C188="","-",烤漆色號編碼!C188)</f>
        <v>-</v>
      </c>
      <c r="E187" s="64" t="str">
        <f>IF(烤漆色號編碼!B188="","-",烤漆色號編碼!B188)</f>
        <v>-</v>
      </c>
      <c r="F187" s="64"/>
      <c r="G187" s="64"/>
      <c r="H187" s="64">
        <f>IFERROR((F187*25)+G187,"-")</f>
        <v>0</v>
      </c>
    </row>
    <row r="188" spans="2:8" x14ac:dyDescent="0.15">
      <c r="B188" s="87">
        <v>183</v>
      </c>
      <c r="C188" s="64"/>
      <c r="D188" s="64" t="str">
        <f>IF(烤漆色號編碼!C189="","-",烤漆色號編碼!C189)</f>
        <v>-</v>
      </c>
      <c r="E188" s="64" t="str">
        <f>IF(烤漆色號編碼!B189="","-",烤漆色號編碼!B189)</f>
        <v>-</v>
      </c>
      <c r="F188" s="64"/>
      <c r="G188" s="64"/>
      <c r="H188" s="64">
        <f>IFERROR((F188*25)+G188,"-")</f>
        <v>0</v>
      </c>
    </row>
    <row r="189" spans="2:8" x14ac:dyDescent="0.15">
      <c r="B189" s="87">
        <v>184</v>
      </c>
      <c r="C189" s="64"/>
      <c r="D189" s="64" t="str">
        <f>IF(烤漆色號編碼!C190="","-",烤漆色號編碼!C190)</f>
        <v>-</v>
      </c>
      <c r="E189" s="64" t="str">
        <f>IF(烤漆色號編碼!B190="","-",烤漆色號編碼!B190)</f>
        <v>-</v>
      </c>
      <c r="F189" s="64"/>
      <c r="G189" s="64"/>
      <c r="H189" s="64">
        <f>IFERROR((F189*25)+G189,"-")</f>
        <v>0</v>
      </c>
    </row>
    <row r="190" spans="2:8" x14ac:dyDescent="0.15">
      <c r="B190" s="87">
        <v>185</v>
      </c>
      <c r="C190" s="64"/>
      <c r="D190" s="64" t="str">
        <f>IF(烤漆色號編碼!C191="","-",烤漆色號編碼!C191)</f>
        <v>-</v>
      </c>
      <c r="E190" s="64" t="str">
        <f>IF(烤漆色號編碼!B191="","-",烤漆色號編碼!B191)</f>
        <v>-</v>
      </c>
      <c r="F190" s="64"/>
      <c r="G190" s="64"/>
      <c r="H190" s="64">
        <f>IFERROR((F190*25)+G190,"-")</f>
        <v>0</v>
      </c>
    </row>
    <row r="191" spans="2:8" x14ac:dyDescent="0.15">
      <c r="B191" s="87">
        <v>186</v>
      </c>
      <c r="C191" s="64"/>
      <c r="D191" s="64" t="str">
        <f>IF(烤漆色號編碼!C192="","-",烤漆色號編碼!C192)</f>
        <v>-</v>
      </c>
      <c r="E191" s="64" t="str">
        <f>IF(烤漆色號編碼!B192="","-",烤漆色號編碼!B192)</f>
        <v>-</v>
      </c>
      <c r="F191" s="64"/>
      <c r="G191" s="64"/>
      <c r="H191" s="64">
        <f>IFERROR((F191*25)+G191,"-")</f>
        <v>0</v>
      </c>
    </row>
    <row r="192" spans="2:8" x14ac:dyDescent="0.15">
      <c r="B192" s="87">
        <v>187</v>
      </c>
      <c r="C192" s="64"/>
      <c r="D192" s="64" t="str">
        <f>IF(烤漆色號編碼!C193="","-",烤漆色號編碼!C193)</f>
        <v>-</v>
      </c>
      <c r="E192" s="64" t="str">
        <f>IF(烤漆色號編碼!B193="","-",烤漆色號編碼!B193)</f>
        <v>-</v>
      </c>
      <c r="F192" s="64"/>
      <c r="G192" s="64"/>
      <c r="H192" s="64">
        <f>IFERROR((F192*25)+G192,"-")</f>
        <v>0</v>
      </c>
    </row>
    <row r="193" spans="2:8" x14ac:dyDescent="0.15">
      <c r="B193" s="87">
        <v>188</v>
      </c>
      <c r="C193" s="64"/>
      <c r="D193" s="64" t="str">
        <f>IF(烤漆色號編碼!C194="","-",烤漆色號編碼!C194)</f>
        <v>-</v>
      </c>
      <c r="E193" s="64" t="str">
        <f>IF(烤漆色號編碼!B194="","-",烤漆色號編碼!B194)</f>
        <v>-</v>
      </c>
      <c r="F193" s="64"/>
      <c r="G193" s="64"/>
      <c r="H193" s="64">
        <f>IFERROR((F193*25)+G193,"-")</f>
        <v>0</v>
      </c>
    </row>
    <row r="194" spans="2:8" x14ac:dyDescent="0.15">
      <c r="B194" s="87">
        <v>189</v>
      </c>
      <c r="C194" s="64"/>
      <c r="D194" s="64" t="str">
        <f>IF(烤漆色號編碼!C195="","-",烤漆色號編碼!C195)</f>
        <v>-</v>
      </c>
      <c r="E194" s="64" t="str">
        <f>IF(烤漆色號編碼!B195="","-",烤漆色號編碼!B195)</f>
        <v>-</v>
      </c>
      <c r="F194" s="64"/>
      <c r="G194" s="64"/>
      <c r="H194" s="64">
        <f>IFERROR((F194*25)+G194,"-")</f>
        <v>0</v>
      </c>
    </row>
    <row r="195" spans="2:8" x14ac:dyDescent="0.15">
      <c r="B195" s="87">
        <v>190</v>
      </c>
      <c r="C195" s="64"/>
      <c r="D195" s="64" t="str">
        <f>IF(烤漆色號編碼!C196="","-",烤漆色號編碼!C196)</f>
        <v>-</v>
      </c>
      <c r="E195" s="64" t="str">
        <f>IF(烤漆色號編碼!B196="","-",烤漆色號編碼!B196)</f>
        <v>-</v>
      </c>
      <c r="F195" s="64"/>
      <c r="G195" s="64"/>
      <c r="H195" s="64">
        <f>IFERROR((F195*25)+G195,"-")</f>
        <v>0</v>
      </c>
    </row>
    <row r="196" spans="2:8" x14ac:dyDescent="0.15">
      <c r="B196" s="87">
        <v>191</v>
      </c>
      <c r="C196" s="64"/>
      <c r="D196" s="64" t="str">
        <f>IF(烤漆色號編碼!C197="","-",烤漆色號編碼!C197)</f>
        <v>-</v>
      </c>
      <c r="E196" s="64" t="str">
        <f>IF(烤漆色號編碼!B197="","-",烤漆色號編碼!B197)</f>
        <v>-</v>
      </c>
      <c r="F196" s="64"/>
      <c r="G196" s="64"/>
      <c r="H196" s="64">
        <f>IFERROR((F196*25)+G196,"-")</f>
        <v>0</v>
      </c>
    </row>
    <row r="197" spans="2:8" x14ac:dyDescent="0.15">
      <c r="B197" s="87">
        <v>192</v>
      </c>
      <c r="C197" s="64"/>
      <c r="D197" s="64" t="str">
        <f>IF(烤漆色號編碼!C198="","-",烤漆色號編碼!C198)</f>
        <v>-</v>
      </c>
      <c r="E197" s="64" t="str">
        <f>IF(烤漆色號編碼!B198="","-",烤漆色號編碼!B198)</f>
        <v>-</v>
      </c>
      <c r="F197" s="64"/>
      <c r="G197" s="64"/>
      <c r="H197" s="64">
        <f>IFERROR((F197*25)+G197,"-")</f>
        <v>0</v>
      </c>
    </row>
    <row r="198" spans="2:8" x14ac:dyDescent="0.15">
      <c r="B198" s="87">
        <v>193</v>
      </c>
      <c r="C198" s="64"/>
      <c r="D198" s="64" t="str">
        <f>IF(烤漆色號編碼!C199="","-",烤漆色號編碼!C199)</f>
        <v>-</v>
      </c>
      <c r="E198" s="64" t="str">
        <f>IF(烤漆色號編碼!B199="","-",烤漆色號編碼!B199)</f>
        <v>-</v>
      </c>
      <c r="F198" s="64"/>
      <c r="G198" s="64"/>
      <c r="H198" s="64">
        <f>IFERROR((F198*25)+G198,"-")</f>
        <v>0</v>
      </c>
    </row>
    <row r="199" spans="2:8" x14ac:dyDescent="0.15">
      <c r="B199" s="87">
        <v>194</v>
      </c>
      <c r="C199" s="64"/>
      <c r="D199" s="64" t="str">
        <f>IF(烤漆色號編碼!C200="","-",烤漆色號編碼!C200)</f>
        <v>-</v>
      </c>
      <c r="E199" s="64" t="str">
        <f>IF(烤漆色號編碼!B200="","-",烤漆色號編碼!B200)</f>
        <v>-</v>
      </c>
      <c r="F199" s="64"/>
      <c r="G199" s="64"/>
      <c r="H199" s="64">
        <f>IFERROR((F199*25)+G199,"-")</f>
        <v>0</v>
      </c>
    </row>
    <row r="200" spans="2:8" x14ac:dyDescent="0.15">
      <c r="B200" s="87">
        <v>195</v>
      </c>
      <c r="C200" s="64"/>
      <c r="D200" s="64" t="str">
        <f>IF(烤漆色號編碼!C201="","-",烤漆色號編碼!C201)</f>
        <v>-</v>
      </c>
      <c r="E200" s="64" t="str">
        <f>IF(烤漆色號編碼!B201="","-",烤漆色號編碼!B201)</f>
        <v>-</v>
      </c>
      <c r="F200" s="64"/>
      <c r="G200" s="64"/>
      <c r="H200" s="64">
        <f>IFERROR((F200*25)+G200,"-")</f>
        <v>0</v>
      </c>
    </row>
    <row r="201" spans="2:8" x14ac:dyDescent="0.15">
      <c r="B201" s="87">
        <v>196</v>
      </c>
      <c r="C201" s="64"/>
      <c r="D201" s="64" t="str">
        <f>IF(烤漆色號編碼!C202="","-",烤漆色號編碼!C202)</f>
        <v>-</v>
      </c>
      <c r="E201" s="64" t="str">
        <f>IF(烤漆色號編碼!B202="","-",烤漆色號編碼!B202)</f>
        <v>-</v>
      </c>
      <c r="F201" s="64"/>
      <c r="G201" s="64"/>
      <c r="H201" s="64">
        <f>IFERROR((F201*25)+G201,"-")</f>
        <v>0</v>
      </c>
    </row>
    <row r="202" spans="2:8" x14ac:dyDescent="0.15">
      <c r="B202" s="87">
        <v>197</v>
      </c>
      <c r="C202" s="64"/>
      <c r="D202" s="64" t="str">
        <f>IF(烤漆色號編碼!C203="","-",烤漆色號編碼!C203)</f>
        <v>-</v>
      </c>
      <c r="E202" s="64" t="str">
        <f>IF(烤漆色號編碼!B203="","-",烤漆色號編碼!B203)</f>
        <v>-</v>
      </c>
      <c r="F202" s="64"/>
      <c r="G202" s="64"/>
      <c r="H202" s="64">
        <f>IFERROR((F202*25)+G202,"-")</f>
        <v>0</v>
      </c>
    </row>
    <row r="203" spans="2:8" x14ac:dyDescent="0.15">
      <c r="B203" s="87">
        <v>198</v>
      </c>
      <c r="C203" s="64"/>
      <c r="D203" s="64" t="str">
        <f>IF(烤漆色號編碼!C204="","-",烤漆色號編碼!C204)</f>
        <v>-</v>
      </c>
      <c r="E203" s="64" t="str">
        <f>IF(烤漆色號編碼!B204="","-",烤漆色號編碼!B204)</f>
        <v>-</v>
      </c>
      <c r="F203" s="64"/>
      <c r="G203" s="64"/>
      <c r="H203" s="64">
        <f>IFERROR((F203*25)+G203,"-")</f>
        <v>0</v>
      </c>
    </row>
    <row r="204" spans="2:8" x14ac:dyDescent="0.15">
      <c r="B204" s="87">
        <v>199</v>
      </c>
      <c r="C204" s="64"/>
      <c r="D204" s="64" t="str">
        <f>IF(烤漆色號編碼!C205="","-",烤漆色號編碼!C205)</f>
        <v>-</v>
      </c>
      <c r="E204" s="64" t="str">
        <f>IF(烤漆色號編碼!B205="","-",烤漆色號編碼!B205)</f>
        <v>-</v>
      </c>
      <c r="F204" s="64"/>
      <c r="G204" s="64"/>
      <c r="H204" s="64">
        <f>IFERROR((F204*25)+G204,"-")</f>
        <v>0</v>
      </c>
    </row>
    <row r="205" spans="2:8" x14ac:dyDescent="0.15">
      <c r="B205" s="87">
        <v>200</v>
      </c>
      <c r="C205" s="64"/>
      <c r="D205" s="64" t="str">
        <f>IF(烤漆色號編碼!C206="","-",烤漆色號編碼!C206)</f>
        <v>-</v>
      </c>
      <c r="E205" s="64" t="str">
        <f>IF(烤漆色號編碼!B206="","-",烤漆色號編碼!B206)</f>
        <v>-</v>
      </c>
      <c r="F205" s="64"/>
      <c r="G205" s="64"/>
      <c r="H205" s="64">
        <f>IFERROR((F205*25)+G205,"-")</f>
        <v>0</v>
      </c>
    </row>
    <row r="206" spans="2:8" x14ac:dyDescent="0.15">
      <c r="B206" s="80"/>
      <c r="C206" s="81"/>
      <c r="D206" s="91" t="s">
        <v>50</v>
      </c>
      <c r="E206" s="81"/>
      <c r="F206" s="81"/>
      <c r="G206" s="81"/>
      <c r="H206" s="81"/>
    </row>
    <row r="207" spans="2:8" x14ac:dyDescent="0.15">
      <c r="D207" s="91" t="s">
        <v>50</v>
      </c>
    </row>
    <row r="208" spans="2:8" x14ac:dyDescent="0.15">
      <c r="D208" s="91" t="s">
        <v>50</v>
      </c>
    </row>
    <row r="209" spans="4:4" x14ac:dyDescent="0.15">
      <c r="D209" s="91" t="s">
        <v>50</v>
      </c>
    </row>
    <row r="210" spans="4:4" x14ac:dyDescent="0.15">
      <c r="D210" s="91" t="s">
        <v>50</v>
      </c>
    </row>
    <row r="211" spans="4:4" x14ac:dyDescent="0.15">
      <c r="D211" s="91" t="s">
        <v>50</v>
      </c>
    </row>
    <row r="212" spans="4:4" x14ac:dyDescent="0.15">
      <c r="D212" s="91" t="s">
        <v>50</v>
      </c>
    </row>
    <row r="213" spans="4:4" x14ac:dyDescent="0.15">
      <c r="D213" s="91" t="s">
        <v>50</v>
      </c>
    </row>
    <row r="214" spans="4:4" x14ac:dyDescent="0.15">
      <c r="D214" s="91" t="s">
        <v>50</v>
      </c>
    </row>
    <row r="215" spans="4:4" x14ac:dyDescent="0.15">
      <c r="D215" s="91" t="s">
        <v>50</v>
      </c>
    </row>
    <row r="216" spans="4:4" x14ac:dyDescent="0.15">
      <c r="D216" s="91" t="s">
        <v>50</v>
      </c>
    </row>
    <row r="217" spans="4:4" x14ac:dyDescent="0.15">
      <c r="D217" s="91" t="s">
        <v>50</v>
      </c>
    </row>
    <row r="218" spans="4:4" x14ac:dyDescent="0.15">
      <c r="D218" s="91" t="s">
        <v>50</v>
      </c>
    </row>
    <row r="219" spans="4:4" x14ac:dyDescent="0.15">
      <c r="D219" s="91" t="s">
        <v>50</v>
      </c>
    </row>
    <row r="220" spans="4:4" x14ac:dyDescent="0.15">
      <c r="D220" s="91" t="s">
        <v>50</v>
      </c>
    </row>
    <row r="221" spans="4:4" x14ac:dyDescent="0.15">
      <c r="D221" s="91" t="s">
        <v>50</v>
      </c>
    </row>
    <row r="222" spans="4:4" x14ac:dyDescent="0.15">
      <c r="D222" s="91" t="s">
        <v>50</v>
      </c>
    </row>
    <row r="223" spans="4:4" x14ac:dyDescent="0.15">
      <c r="D223" s="91" t="s">
        <v>50</v>
      </c>
    </row>
    <row r="224" spans="4:4" x14ac:dyDescent="0.15">
      <c r="D224" s="91" t="s">
        <v>50</v>
      </c>
    </row>
    <row r="225" spans="4:4" x14ac:dyDescent="0.15">
      <c r="D225" s="91" t="s">
        <v>50</v>
      </c>
    </row>
    <row r="226" spans="4:4" x14ac:dyDescent="0.15">
      <c r="D226" s="91" t="s">
        <v>50</v>
      </c>
    </row>
    <row r="227" spans="4:4" x14ac:dyDescent="0.15">
      <c r="D227" s="91" t="s">
        <v>50</v>
      </c>
    </row>
    <row r="228" spans="4:4" x14ac:dyDescent="0.15">
      <c r="D228" s="91" t="s">
        <v>50</v>
      </c>
    </row>
    <row r="229" spans="4:4" x14ac:dyDescent="0.15">
      <c r="D229" s="91" t="s">
        <v>50</v>
      </c>
    </row>
    <row r="230" spans="4:4" x14ac:dyDescent="0.15">
      <c r="D230" s="91" t="s">
        <v>50</v>
      </c>
    </row>
    <row r="231" spans="4:4" x14ac:dyDescent="0.15">
      <c r="D231" s="91" t="s">
        <v>50</v>
      </c>
    </row>
    <row r="232" spans="4:4" x14ac:dyDescent="0.15">
      <c r="D232" s="91" t="s">
        <v>50</v>
      </c>
    </row>
    <row r="233" spans="4:4" x14ac:dyDescent="0.15">
      <c r="D233" s="91" t="s">
        <v>50</v>
      </c>
    </row>
    <row r="234" spans="4:4" x14ac:dyDescent="0.15">
      <c r="D234" s="91" t="s">
        <v>50</v>
      </c>
    </row>
    <row r="235" spans="4:4" x14ac:dyDescent="0.15">
      <c r="D235" s="91" t="s">
        <v>50</v>
      </c>
    </row>
    <row r="236" spans="4:4" x14ac:dyDescent="0.15">
      <c r="D236" s="91" t="s">
        <v>50</v>
      </c>
    </row>
    <row r="237" spans="4:4" x14ac:dyDescent="0.15">
      <c r="D237" s="91" t="s">
        <v>50</v>
      </c>
    </row>
    <row r="238" spans="4:4" x14ac:dyDescent="0.15">
      <c r="D238" s="91" t="s">
        <v>50</v>
      </c>
    </row>
    <row r="239" spans="4:4" x14ac:dyDescent="0.15">
      <c r="D239" s="91" t="s">
        <v>50</v>
      </c>
    </row>
    <row r="240" spans="4:4" x14ac:dyDescent="0.15">
      <c r="D240" s="91" t="s">
        <v>50</v>
      </c>
    </row>
    <row r="241" spans="4:4" x14ac:dyDescent="0.15">
      <c r="D241" s="91" t="s">
        <v>50</v>
      </c>
    </row>
    <row r="242" spans="4:4" x14ac:dyDescent="0.15">
      <c r="D242" s="91" t="s">
        <v>50</v>
      </c>
    </row>
    <row r="243" spans="4:4" x14ac:dyDescent="0.15">
      <c r="D243" s="91" t="s">
        <v>50</v>
      </c>
    </row>
    <row r="244" spans="4:4" x14ac:dyDescent="0.15">
      <c r="D244" s="91" t="s">
        <v>50</v>
      </c>
    </row>
    <row r="245" spans="4:4" x14ac:dyDescent="0.15">
      <c r="D245" s="91" t="s">
        <v>50</v>
      </c>
    </row>
    <row r="246" spans="4:4" x14ac:dyDescent="0.15">
      <c r="D246" s="91" t="s">
        <v>50</v>
      </c>
    </row>
    <row r="247" spans="4:4" x14ac:dyDescent="0.15">
      <c r="D247" s="91" t="s">
        <v>50</v>
      </c>
    </row>
    <row r="248" spans="4:4" x14ac:dyDescent="0.15">
      <c r="D248" s="91" t="s">
        <v>50</v>
      </c>
    </row>
    <row r="249" spans="4:4" x14ac:dyDescent="0.15">
      <c r="D249" s="91" t="s">
        <v>50</v>
      </c>
    </row>
    <row r="250" spans="4:4" x14ac:dyDescent="0.15">
      <c r="D250" s="91" t="s">
        <v>50</v>
      </c>
    </row>
    <row r="251" spans="4:4" x14ac:dyDescent="0.15">
      <c r="D251" s="91" t="s">
        <v>50</v>
      </c>
    </row>
    <row r="252" spans="4:4" x14ac:dyDescent="0.15">
      <c r="D252" s="91" t="s">
        <v>50</v>
      </c>
    </row>
    <row r="253" spans="4:4" x14ac:dyDescent="0.15">
      <c r="D253" s="91" t="s">
        <v>50</v>
      </c>
    </row>
    <row r="254" spans="4:4" x14ac:dyDescent="0.15">
      <c r="D254" s="91" t="s">
        <v>50</v>
      </c>
    </row>
    <row r="255" spans="4:4" x14ac:dyDescent="0.15">
      <c r="D255" s="91" t="s">
        <v>50</v>
      </c>
    </row>
    <row r="256" spans="4:4" x14ac:dyDescent="0.15">
      <c r="D256" s="91" t="s">
        <v>50</v>
      </c>
    </row>
    <row r="257" spans="4:4" x14ac:dyDescent="0.15">
      <c r="D257" s="91" t="s">
        <v>50</v>
      </c>
    </row>
    <row r="258" spans="4:4" x14ac:dyDescent="0.15">
      <c r="D258" s="91" t="s">
        <v>50</v>
      </c>
    </row>
    <row r="259" spans="4:4" x14ac:dyDescent="0.15">
      <c r="D259" s="91" t="s">
        <v>50</v>
      </c>
    </row>
    <row r="260" spans="4:4" x14ac:dyDescent="0.15">
      <c r="D260" s="91" t="s">
        <v>50</v>
      </c>
    </row>
    <row r="261" spans="4:4" x14ac:dyDescent="0.15">
      <c r="D261" s="91" t="s">
        <v>50</v>
      </c>
    </row>
    <row r="262" spans="4:4" x14ac:dyDescent="0.15">
      <c r="D262" s="91" t="s">
        <v>50</v>
      </c>
    </row>
    <row r="263" spans="4:4" x14ac:dyDescent="0.15">
      <c r="D263" s="91" t="s">
        <v>50</v>
      </c>
    </row>
    <row r="264" spans="4:4" x14ac:dyDescent="0.15">
      <c r="D264" s="91" t="s">
        <v>50</v>
      </c>
    </row>
    <row r="265" spans="4:4" x14ac:dyDescent="0.15">
      <c r="D265" s="91" t="s">
        <v>50</v>
      </c>
    </row>
    <row r="266" spans="4:4" x14ac:dyDescent="0.15">
      <c r="D266" s="91" t="s">
        <v>50</v>
      </c>
    </row>
    <row r="267" spans="4:4" x14ac:dyDescent="0.15">
      <c r="D267" s="91" t="s">
        <v>50</v>
      </c>
    </row>
    <row r="268" spans="4:4" x14ac:dyDescent="0.15">
      <c r="D268" s="91" t="s">
        <v>50</v>
      </c>
    </row>
    <row r="269" spans="4:4" x14ac:dyDescent="0.15">
      <c r="D269" s="91" t="s">
        <v>50</v>
      </c>
    </row>
    <row r="270" spans="4:4" x14ac:dyDescent="0.15">
      <c r="D270" s="91" t="s">
        <v>50</v>
      </c>
    </row>
    <row r="271" spans="4:4" x14ac:dyDescent="0.15">
      <c r="D271" s="91" t="s">
        <v>50</v>
      </c>
    </row>
    <row r="272" spans="4:4" x14ac:dyDescent="0.15">
      <c r="D272" s="91" t="s">
        <v>50</v>
      </c>
    </row>
    <row r="273" spans="4:4" x14ac:dyDescent="0.15">
      <c r="D273" s="91" t="s">
        <v>50</v>
      </c>
    </row>
    <row r="274" spans="4:4" x14ac:dyDescent="0.15">
      <c r="D274" s="91" t="s">
        <v>50</v>
      </c>
    </row>
    <row r="275" spans="4:4" x14ac:dyDescent="0.15">
      <c r="D275" s="91" t="s">
        <v>50</v>
      </c>
    </row>
    <row r="276" spans="4:4" x14ac:dyDescent="0.15">
      <c r="D276" s="91" t="s">
        <v>50</v>
      </c>
    </row>
    <row r="277" spans="4:4" x14ac:dyDescent="0.15">
      <c r="D277" s="91" t="s">
        <v>50</v>
      </c>
    </row>
    <row r="278" spans="4:4" x14ac:dyDescent="0.15">
      <c r="D278" s="91" t="s">
        <v>50</v>
      </c>
    </row>
    <row r="279" spans="4:4" x14ac:dyDescent="0.15">
      <c r="D279" s="91" t="s">
        <v>50</v>
      </c>
    </row>
    <row r="280" spans="4:4" x14ac:dyDescent="0.15">
      <c r="D280" s="91" t="s">
        <v>50</v>
      </c>
    </row>
    <row r="281" spans="4:4" x14ac:dyDescent="0.15">
      <c r="D281" s="91" t="s">
        <v>50</v>
      </c>
    </row>
    <row r="282" spans="4:4" x14ac:dyDescent="0.15">
      <c r="D282" s="91" t="s">
        <v>50</v>
      </c>
    </row>
    <row r="283" spans="4:4" x14ac:dyDescent="0.15">
      <c r="D283" s="91" t="s">
        <v>50</v>
      </c>
    </row>
    <row r="284" spans="4:4" x14ac:dyDescent="0.15">
      <c r="D284" s="91" t="s">
        <v>50</v>
      </c>
    </row>
    <row r="285" spans="4:4" x14ac:dyDescent="0.15">
      <c r="D285" s="91" t="s">
        <v>50</v>
      </c>
    </row>
    <row r="286" spans="4:4" x14ac:dyDescent="0.15">
      <c r="D286" s="91" t="s">
        <v>50</v>
      </c>
    </row>
    <row r="287" spans="4:4" x14ac:dyDescent="0.15">
      <c r="D287" s="91" t="s">
        <v>50</v>
      </c>
    </row>
    <row r="288" spans="4:4" x14ac:dyDescent="0.15">
      <c r="D288" s="91" t="s">
        <v>50</v>
      </c>
    </row>
    <row r="289" spans="4:4" x14ac:dyDescent="0.15">
      <c r="D289" s="91" t="s">
        <v>50</v>
      </c>
    </row>
    <row r="290" spans="4:4" x14ac:dyDescent="0.15">
      <c r="D290" s="91" t="s">
        <v>50</v>
      </c>
    </row>
    <row r="291" spans="4:4" x14ac:dyDescent="0.15">
      <c r="D291" s="91" t="s">
        <v>50</v>
      </c>
    </row>
    <row r="292" spans="4:4" x14ac:dyDescent="0.15">
      <c r="D292" s="91" t="s">
        <v>50</v>
      </c>
    </row>
    <row r="293" spans="4:4" x14ac:dyDescent="0.15">
      <c r="D293" s="91" t="s">
        <v>50</v>
      </c>
    </row>
    <row r="294" spans="4:4" x14ac:dyDescent="0.15">
      <c r="D294" s="91" t="s">
        <v>50</v>
      </c>
    </row>
    <row r="295" spans="4:4" x14ac:dyDescent="0.15">
      <c r="D295" s="91" t="s">
        <v>50</v>
      </c>
    </row>
    <row r="296" spans="4:4" x14ac:dyDescent="0.15">
      <c r="D296" s="91" t="s">
        <v>50</v>
      </c>
    </row>
    <row r="297" spans="4:4" x14ac:dyDescent="0.15">
      <c r="D297" s="91" t="s">
        <v>50</v>
      </c>
    </row>
    <row r="298" spans="4:4" x14ac:dyDescent="0.15">
      <c r="D298" s="91" t="s">
        <v>50</v>
      </c>
    </row>
    <row r="299" spans="4:4" x14ac:dyDescent="0.15">
      <c r="D299" s="91" t="s">
        <v>50</v>
      </c>
    </row>
    <row r="300" spans="4:4" x14ac:dyDescent="0.15">
      <c r="D300" s="91" t="s">
        <v>50</v>
      </c>
    </row>
    <row r="301" spans="4:4" x14ac:dyDescent="0.15">
      <c r="D301" s="91" t="s">
        <v>50</v>
      </c>
    </row>
    <row r="302" spans="4:4" x14ac:dyDescent="0.15">
      <c r="D302" s="91" t="s">
        <v>50</v>
      </c>
    </row>
    <row r="303" spans="4:4" x14ac:dyDescent="0.15">
      <c r="D303" s="91" t="s">
        <v>50</v>
      </c>
    </row>
    <row r="304" spans="4:4" x14ac:dyDescent="0.15">
      <c r="D304" s="91" t="s">
        <v>50</v>
      </c>
    </row>
    <row r="305" spans="4:4" x14ac:dyDescent="0.15">
      <c r="D305" s="91" t="s">
        <v>50</v>
      </c>
    </row>
    <row r="306" spans="4:4" x14ac:dyDescent="0.15">
      <c r="D306" s="91" t="s">
        <v>50</v>
      </c>
    </row>
    <row r="307" spans="4:4" x14ac:dyDescent="0.15">
      <c r="D307" s="91" t="s">
        <v>50</v>
      </c>
    </row>
    <row r="308" spans="4:4" x14ac:dyDescent="0.15">
      <c r="D308" s="91" t="s">
        <v>50</v>
      </c>
    </row>
    <row r="309" spans="4:4" x14ac:dyDescent="0.15">
      <c r="D309" s="91" t="s">
        <v>50</v>
      </c>
    </row>
    <row r="310" spans="4:4" x14ac:dyDescent="0.15">
      <c r="D310" s="91" t="s">
        <v>50</v>
      </c>
    </row>
    <row r="311" spans="4:4" x14ac:dyDescent="0.15">
      <c r="D311" s="91" t="s">
        <v>50</v>
      </c>
    </row>
    <row r="312" spans="4:4" x14ac:dyDescent="0.15">
      <c r="D312" s="91" t="s">
        <v>50</v>
      </c>
    </row>
    <row r="313" spans="4:4" x14ac:dyDescent="0.15">
      <c r="D313" s="91" t="s">
        <v>50</v>
      </c>
    </row>
    <row r="314" spans="4:4" x14ac:dyDescent="0.15">
      <c r="D314" s="91" t="s">
        <v>50</v>
      </c>
    </row>
    <row r="315" spans="4:4" x14ac:dyDescent="0.15">
      <c r="D315" s="91" t="s">
        <v>50</v>
      </c>
    </row>
    <row r="316" spans="4:4" x14ac:dyDescent="0.15">
      <c r="D316" s="91" t="s">
        <v>50</v>
      </c>
    </row>
    <row r="317" spans="4:4" x14ac:dyDescent="0.15">
      <c r="D317" s="91" t="s">
        <v>50</v>
      </c>
    </row>
    <row r="318" spans="4:4" x14ac:dyDescent="0.15">
      <c r="D318" s="91" t="s">
        <v>50</v>
      </c>
    </row>
    <row r="319" spans="4:4" x14ac:dyDescent="0.15">
      <c r="D319" s="91" t="s">
        <v>50</v>
      </c>
    </row>
    <row r="320" spans="4:4" x14ac:dyDescent="0.15">
      <c r="D320" s="91" t="s">
        <v>50</v>
      </c>
    </row>
    <row r="321" spans="4:4" x14ac:dyDescent="0.15">
      <c r="D321" s="91" t="s">
        <v>50</v>
      </c>
    </row>
    <row r="322" spans="4:4" x14ac:dyDescent="0.15">
      <c r="D322" s="91" t="s">
        <v>50</v>
      </c>
    </row>
    <row r="323" spans="4:4" x14ac:dyDescent="0.15">
      <c r="D323" s="91" t="s">
        <v>50</v>
      </c>
    </row>
    <row r="324" spans="4:4" x14ac:dyDescent="0.15">
      <c r="D324" s="91" t="s">
        <v>50</v>
      </c>
    </row>
    <row r="325" spans="4:4" x14ac:dyDescent="0.15">
      <c r="D325" s="91" t="s">
        <v>50</v>
      </c>
    </row>
    <row r="326" spans="4:4" x14ac:dyDescent="0.15">
      <c r="D326" s="91" t="s">
        <v>50</v>
      </c>
    </row>
    <row r="327" spans="4:4" x14ac:dyDescent="0.15">
      <c r="D327" s="91" t="s">
        <v>50</v>
      </c>
    </row>
    <row r="328" spans="4:4" x14ac:dyDescent="0.15">
      <c r="D328" s="91" t="s">
        <v>50</v>
      </c>
    </row>
    <row r="329" spans="4:4" x14ac:dyDescent="0.15">
      <c r="D329" s="91" t="s">
        <v>50</v>
      </c>
    </row>
    <row r="330" spans="4:4" x14ac:dyDescent="0.15">
      <c r="D330" s="91" t="s">
        <v>50</v>
      </c>
    </row>
    <row r="331" spans="4:4" x14ac:dyDescent="0.15">
      <c r="D331" s="91" t="s">
        <v>50</v>
      </c>
    </row>
    <row r="332" spans="4:4" x14ac:dyDescent="0.15">
      <c r="D332" s="91" t="s">
        <v>50</v>
      </c>
    </row>
    <row r="333" spans="4:4" x14ac:dyDescent="0.15">
      <c r="D333" s="91" t="s">
        <v>50</v>
      </c>
    </row>
    <row r="334" spans="4:4" x14ac:dyDescent="0.15">
      <c r="D334" s="91" t="s">
        <v>50</v>
      </c>
    </row>
    <row r="335" spans="4:4" x14ac:dyDescent="0.15">
      <c r="D335" s="91" t="s">
        <v>50</v>
      </c>
    </row>
    <row r="336" spans="4:4" x14ac:dyDescent="0.15">
      <c r="D336" s="91" t="s">
        <v>50</v>
      </c>
    </row>
    <row r="337" spans="4:4" x14ac:dyDescent="0.15">
      <c r="D337" s="91" t="s">
        <v>50</v>
      </c>
    </row>
    <row r="338" spans="4:4" x14ac:dyDescent="0.15">
      <c r="D338" s="91" t="s">
        <v>50</v>
      </c>
    </row>
    <row r="339" spans="4:4" x14ac:dyDescent="0.15">
      <c r="D339" s="91" t="s">
        <v>50</v>
      </c>
    </row>
    <row r="340" spans="4:4" x14ac:dyDescent="0.15">
      <c r="D340" s="91" t="s">
        <v>50</v>
      </c>
    </row>
    <row r="341" spans="4:4" x14ac:dyDescent="0.15">
      <c r="D341" s="91" t="s">
        <v>50</v>
      </c>
    </row>
    <row r="342" spans="4:4" x14ac:dyDescent="0.15">
      <c r="D342" s="91" t="s">
        <v>50</v>
      </c>
    </row>
    <row r="343" spans="4:4" x14ac:dyDescent="0.15">
      <c r="D343" s="91" t="s">
        <v>50</v>
      </c>
    </row>
    <row r="344" spans="4:4" x14ac:dyDescent="0.15">
      <c r="D344" s="91" t="s">
        <v>50</v>
      </c>
    </row>
    <row r="345" spans="4:4" x14ac:dyDescent="0.15">
      <c r="D345" s="91" t="s">
        <v>50</v>
      </c>
    </row>
    <row r="346" spans="4:4" x14ac:dyDescent="0.15">
      <c r="D346" s="91" t="s">
        <v>50</v>
      </c>
    </row>
    <row r="347" spans="4:4" x14ac:dyDescent="0.15">
      <c r="D347" s="91" t="s">
        <v>50</v>
      </c>
    </row>
    <row r="348" spans="4:4" x14ac:dyDescent="0.15">
      <c r="D348" s="91" t="s">
        <v>50</v>
      </c>
    </row>
    <row r="349" spans="4:4" x14ac:dyDescent="0.15">
      <c r="D349" s="91" t="s">
        <v>50</v>
      </c>
    </row>
    <row r="350" spans="4:4" x14ac:dyDescent="0.15">
      <c r="D350" s="91" t="s">
        <v>50</v>
      </c>
    </row>
    <row r="351" spans="4:4" x14ac:dyDescent="0.15">
      <c r="D351" s="91" t="s">
        <v>50</v>
      </c>
    </row>
    <row r="352" spans="4:4" x14ac:dyDescent="0.15">
      <c r="D352" s="91" t="s">
        <v>50</v>
      </c>
    </row>
    <row r="353" spans="4:4" x14ac:dyDescent="0.15">
      <c r="D353" s="91" t="s">
        <v>50</v>
      </c>
    </row>
    <row r="354" spans="4:4" x14ac:dyDescent="0.15">
      <c r="D354" s="91" t="s">
        <v>50</v>
      </c>
    </row>
    <row r="355" spans="4:4" x14ac:dyDescent="0.15">
      <c r="D355" s="91" t="s">
        <v>50</v>
      </c>
    </row>
    <row r="356" spans="4:4" x14ac:dyDescent="0.15">
      <c r="D356" s="91" t="s">
        <v>50</v>
      </c>
    </row>
    <row r="357" spans="4:4" x14ac:dyDescent="0.15">
      <c r="D357" s="91" t="s">
        <v>50</v>
      </c>
    </row>
    <row r="358" spans="4:4" x14ac:dyDescent="0.15">
      <c r="D358" s="91" t="s">
        <v>50</v>
      </c>
    </row>
    <row r="359" spans="4:4" x14ac:dyDescent="0.15">
      <c r="D359" s="91" t="s">
        <v>50</v>
      </c>
    </row>
    <row r="360" spans="4:4" x14ac:dyDescent="0.15">
      <c r="D360" s="91" t="s">
        <v>50</v>
      </c>
    </row>
    <row r="361" spans="4:4" x14ac:dyDescent="0.15">
      <c r="D361" s="91" t="s">
        <v>50</v>
      </c>
    </row>
    <row r="362" spans="4:4" x14ac:dyDescent="0.15">
      <c r="D362" s="91" t="s">
        <v>50</v>
      </c>
    </row>
    <row r="363" spans="4:4" x14ac:dyDescent="0.15">
      <c r="D363" s="91" t="s">
        <v>50</v>
      </c>
    </row>
    <row r="364" spans="4:4" x14ac:dyDescent="0.15">
      <c r="D364" s="91" t="s">
        <v>50</v>
      </c>
    </row>
    <row r="365" spans="4:4" x14ac:dyDescent="0.15">
      <c r="D365" s="91" t="s">
        <v>50</v>
      </c>
    </row>
    <row r="366" spans="4:4" x14ac:dyDescent="0.15">
      <c r="D366" s="91" t="s">
        <v>50</v>
      </c>
    </row>
    <row r="367" spans="4:4" x14ac:dyDescent="0.15">
      <c r="D367" s="91" t="s">
        <v>50</v>
      </c>
    </row>
    <row r="368" spans="4:4" x14ac:dyDescent="0.15">
      <c r="D368" s="91" t="s">
        <v>50</v>
      </c>
    </row>
    <row r="369" spans="4:4" x14ac:dyDescent="0.15">
      <c r="D369" s="91" t="s">
        <v>50</v>
      </c>
    </row>
    <row r="370" spans="4:4" x14ac:dyDescent="0.15">
      <c r="D370" s="91" t="s">
        <v>50</v>
      </c>
    </row>
    <row r="371" spans="4:4" x14ac:dyDescent="0.15">
      <c r="D371" s="91" t="s">
        <v>50</v>
      </c>
    </row>
    <row r="372" spans="4:4" x14ac:dyDescent="0.15">
      <c r="D372" s="91" t="s">
        <v>50</v>
      </c>
    </row>
    <row r="373" spans="4:4" x14ac:dyDescent="0.15">
      <c r="D373" s="91" t="s">
        <v>50</v>
      </c>
    </row>
    <row r="374" spans="4:4" x14ac:dyDescent="0.15">
      <c r="D374" s="91" t="s">
        <v>50</v>
      </c>
    </row>
    <row r="375" spans="4:4" x14ac:dyDescent="0.15">
      <c r="D375" s="91" t="s">
        <v>50</v>
      </c>
    </row>
    <row r="376" spans="4:4" x14ac:dyDescent="0.15">
      <c r="D376" s="91" t="s">
        <v>50</v>
      </c>
    </row>
    <row r="377" spans="4:4" x14ac:dyDescent="0.15">
      <c r="D377" s="91" t="s">
        <v>50</v>
      </c>
    </row>
    <row r="378" spans="4:4" x14ac:dyDescent="0.15">
      <c r="D378" s="91" t="s">
        <v>50</v>
      </c>
    </row>
    <row r="379" spans="4:4" x14ac:dyDescent="0.15">
      <c r="D379" s="91" t="s">
        <v>50</v>
      </c>
    </row>
    <row r="380" spans="4:4" x14ac:dyDescent="0.15">
      <c r="D380" s="91" t="s">
        <v>50</v>
      </c>
    </row>
    <row r="381" spans="4:4" x14ac:dyDescent="0.15">
      <c r="D381" s="91" t="s">
        <v>50</v>
      </c>
    </row>
    <row r="382" spans="4:4" x14ac:dyDescent="0.15">
      <c r="D382" s="91" t="s">
        <v>50</v>
      </c>
    </row>
    <row r="383" spans="4:4" x14ac:dyDescent="0.15">
      <c r="D383" s="91" t="s">
        <v>50</v>
      </c>
    </row>
    <row r="384" spans="4:4" x14ac:dyDescent="0.15">
      <c r="D384" s="91" t="s">
        <v>50</v>
      </c>
    </row>
    <row r="385" spans="4:4" x14ac:dyDescent="0.15">
      <c r="D385" s="91" t="s">
        <v>50</v>
      </c>
    </row>
    <row r="386" spans="4:4" x14ac:dyDescent="0.15">
      <c r="D386" s="91" t="s">
        <v>50</v>
      </c>
    </row>
    <row r="387" spans="4:4" x14ac:dyDescent="0.15">
      <c r="D387" s="91" t="s">
        <v>50</v>
      </c>
    </row>
    <row r="388" spans="4:4" x14ac:dyDescent="0.15">
      <c r="D388" s="91" t="s">
        <v>50</v>
      </c>
    </row>
    <row r="389" spans="4:4" x14ac:dyDescent="0.15">
      <c r="D389" s="91" t="s">
        <v>50</v>
      </c>
    </row>
    <row r="390" spans="4:4" x14ac:dyDescent="0.15">
      <c r="D390" s="91" t="s">
        <v>50</v>
      </c>
    </row>
    <row r="391" spans="4:4" x14ac:dyDescent="0.15">
      <c r="D391" s="91" t="s">
        <v>50</v>
      </c>
    </row>
    <row r="392" spans="4:4" x14ac:dyDescent="0.15">
      <c r="D392" s="91" t="s">
        <v>50</v>
      </c>
    </row>
    <row r="393" spans="4:4" x14ac:dyDescent="0.15">
      <c r="D393" s="91" t="s">
        <v>50</v>
      </c>
    </row>
    <row r="394" spans="4:4" x14ac:dyDescent="0.15">
      <c r="D394" s="91" t="s">
        <v>50</v>
      </c>
    </row>
    <row r="395" spans="4:4" x14ac:dyDescent="0.15">
      <c r="D395" s="91" t="s">
        <v>50</v>
      </c>
    </row>
    <row r="396" spans="4:4" x14ac:dyDescent="0.15">
      <c r="D396" s="91" t="s">
        <v>50</v>
      </c>
    </row>
    <row r="397" spans="4:4" x14ac:dyDescent="0.15">
      <c r="D397" s="91" t="s">
        <v>50</v>
      </c>
    </row>
    <row r="398" spans="4:4" x14ac:dyDescent="0.15">
      <c r="D398" s="91" t="s">
        <v>50</v>
      </c>
    </row>
    <row r="399" spans="4:4" x14ac:dyDescent="0.15">
      <c r="D399" s="91" t="s">
        <v>50</v>
      </c>
    </row>
    <row r="400" spans="4:4" x14ac:dyDescent="0.15">
      <c r="D400" s="91" t="s">
        <v>50</v>
      </c>
    </row>
    <row r="401" spans="4:4" x14ac:dyDescent="0.15">
      <c r="D401" s="91" t="s">
        <v>50</v>
      </c>
    </row>
    <row r="402" spans="4:4" x14ac:dyDescent="0.15">
      <c r="D402" s="91" t="s">
        <v>50</v>
      </c>
    </row>
    <row r="403" spans="4:4" x14ac:dyDescent="0.15">
      <c r="D403" s="91" t="s">
        <v>50</v>
      </c>
    </row>
    <row r="404" spans="4:4" x14ac:dyDescent="0.15">
      <c r="D404" s="91" t="s">
        <v>50</v>
      </c>
    </row>
    <row r="405" spans="4:4" x14ac:dyDescent="0.15">
      <c r="D405" s="91" t="s">
        <v>50</v>
      </c>
    </row>
    <row r="406" spans="4:4" x14ac:dyDescent="0.15">
      <c r="D406" s="91" t="s">
        <v>50</v>
      </c>
    </row>
    <row r="407" spans="4:4" x14ac:dyDescent="0.15">
      <c r="D407" s="91" t="s">
        <v>50</v>
      </c>
    </row>
    <row r="408" spans="4:4" x14ac:dyDescent="0.15">
      <c r="D408" s="91" t="s">
        <v>50</v>
      </c>
    </row>
    <row r="409" spans="4:4" x14ac:dyDescent="0.15">
      <c r="D409" s="91" t="s">
        <v>50</v>
      </c>
    </row>
    <row r="410" spans="4:4" x14ac:dyDescent="0.15">
      <c r="D410" s="91" t="s">
        <v>50</v>
      </c>
    </row>
    <row r="411" spans="4:4" x14ac:dyDescent="0.15">
      <c r="D411" s="91" t="s">
        <v>50</v>
      </c>
    </row>
    <row r="412" spans="4:4" x14ac:dyDescent="0.15">
      <c r="D412" s="91" t="s">
        <v>50</v>
      </c>
    </row>
    <row r="413" spans="4:4" x14ac:dyDescent="0.15">
      <c r="D413" s="91" t="s">
        <v>50</v>
      </c>
    </row>
    <row r="414" spans="4:4" x14ac:dyDescent="0.15">
      <c r="D414" s="91" t="s">
        <v>50</v>
      </c>
    </row>
    <row r="415" spans="4:4" x14ac:dyDescent="0.15">
      <c r="D415" s="91" t="s">
        <v>50</v>
      </c>
    </row>
    <row r="416" spans="4:4" x14ac:dyDescent="0.15">
      <c r="D416" s="91" t="s">
        <v>50</v>
      </c>
    </row>
    <row r="417" spans="4:4" x14ac:dyDescent="0.15">
      <c r="D417" s="91" t="s">
        <v>50</v>
      </c>
    </row>
    <row r="418" spans="4:4" x14ac:dyDescent="0.15">
      <c r="D418" s="91" t="s">
        <v>50</v>
      </c>
    </row>
    <row r="419" spans="4:4" x14ac:dyDescent="0.15">
      <c r="D419" s="91" t="s">
        <v>50</v>
      </c>
    </row>
    <row r="420" spans="4:4" x14ac:dyDescent="0.15">
      <c r="D420" s="91" t="s">
        <v>50</v>
      </c>
    </row>
    <row r="421" spans="4:4" x14ac:dyDescent="0.15">
      <c r="D421" s="91" t="s">
        <v>50</v>
      </c>
    </row>
    <row r="422" spans="4:4" x14ac:dyDescent="0.15">
      <c r="D422" s="91" t="s">
        <v>50</v>
      </c>
    </row>
    <row r="423" spans="4:4" x14ac:dyDescent="0.15">
      <c r="D423" s="91" t="s">
        <v>50</v>
      </c>
    </row>
    <row r="424" spans="4:4" x14ac:dyDescent="0.15">
      <c r="D424" s="91" t="s">
        <v>50</v>
      </c>
    </row>
    <row r="425" spans="4:4" x14ac:dyDescent="0.15">
      <c r="D425" s="91" t="s">
        <v>50</v>
      </c>
    </row>
    <row r="426" spans="4:4" x14ac:dyDescent="0.15">
      <c r="D426" s="91" t="s">
        <v>50</v>
      </c>
    </row>
    <row r="427" spans="4:4" x14ac:dyDescent="0.15">
      <c r="D427" s="91" t="s">
        <v>50</v>
      </c>
    </row>
    <row r="428" spans="4:4" x14ac:dyDescent="0.15">
      <c r="D428" s="91" t="s">
        <v>50</v>
      </c>
    </row>
    <row r="429" spans="4:4" x14ac:dyDescent="0.15">
      <c r="D429" s="91" t="s">
        <v>50</v>
      </c>
    </row>
    <row r="430" spans="4:4" x14ac:dyDescent="0.15">
      <c r="D430" s="91" t="s">
        <v>50</v>
      </c>
    </row>
    <row r="431" spans="4:4" x14ac:dyDescent="0.15">
      <c r="D431" s="91" t="s">
        <v>50</v>
      </c>
    </row>
    <row r="432" spans="4:4" x14ac:dyDescent="0.15">
      <c r="D432" s="91" t="s">
        <v>50</v>
      </c>
    </row>
    <row r="433" spans="4:4" x14ac:dyDescent="0.15">
      <c r="D433" s="91" t="s">
        <v>50</v>
      </c>
    </row>
    <row r="434" spans="4:4" x14ac:dyDescent="0.15">
      <c r="D434" s="91" t="s">
        <v>50</v>
      </c>
    </row>
    <row r="435" spans="4:4" x14ac:dyDescent="0.15">
      <c r="D435" s="91" t="s">
        <v>50</v>
      </c>
    </row>
    <row r="436" spans="4:4" x14ac:dyDescent="0.15">
      <c r="D436" s="91" t="s">
        <v>50</v>
      </c>
    </row>
    <row r="437" spans="4:4" x14ac:dyDescent="0.15">
      <c r="D437" s="91" t="s">
        <v>50</v>
      </c>
    </row>
    <row r="438" spans="4:4" x14ac:dyDescent="0.15">
      <c r="D438" s="91" t="s">
        <v>50</v>
      </c>
    </row>
    <row r="439" spans="4:4" x14ac:dyDescent="0.15">
      <c r="D439" s="91" t="s">
        <v>50</v>
      </c>
    </row>
    <row r="440" spans="4:4" x14ac:dyDescent="0.15">
      <c r="D440" s="91" t="s">
        <v>50</v>
      </c>
    </row>
    <row r="441" spans="4:4" x14ac:dyDescent="0.15">
      <c r="D441" s="91" t="s">
        <v>50</v>
      </c>
    </row>
    <row r="442" spans="4:4" x14ac:dyDescent="0.15">
      <c r="D442" s="91" t="s">
        <v>50</v>
      </c>
    </row>
    <row r="443" spans="4:4" x14ac:dyDescent="0.15">
      <c r="D443" s="91" t="s">
        <v>50</v>
      </c>
    </row>
    <row r="444" spans="4:4" x14ac:dyDescent="0.15">
      <c r="D444" s="91" t="s">
        <v>50</v>
      </c>
    </row>
    <row r="445" spans="4:4" x14ac:dyDescent="0.15">
      <c r="D445" s="91" t="s">
        <v>50</v>
      </c>
    </row>
    <row r="446" spans="4:4" x14ac:dyDescent="0.15">
      <c r="D446" s="91" t="s">
        <v>50</v>
      </c>
    </row>
    <row r="447" spans="4:4" x14ac:dyDescent="0.15">
      <c r="D447" s="91" t="s">
        <v>50</v>
      </c>
    </row>
    <row r="448" spans="4:4" x14ac:dyDescent="0.15">
      <c r="D448" s="91" t="s">
        <v>50</v>
      </c>
    </row>
    <row r="449" spans="4:4" x14ac:dyDescent="0.15">
      <c r="D449" s="91" t="s">
        <v>50</v>
      </c>
    </row>
    <row r="450" spans="4:4" x14ac:dyDescent="0.15">
      <c r="D450" s="91" t="s">
        <v>50</v>
      </c>
    </row>
    <row r="451" spans="4:4" x14ac:dyDescent="0.15">
      <c r="D451" s="91" t="s">
        <v>50</v>
      </c>
    </row>
    <row r="452" spans="4:4" x14ac:dyDescent="0.15">
      <c r="D452" s="91" t="s">
        <v>50</v>
      </c>
    </row>
    <row r="453" spans="4:4" x14ac:dyDescent="0.15">
      <c r="D453" s="91" t="s">
        <v>50</v>
      </c>
    </row>
    <row r="454" spans="4:4" x14ac:dyDescent="0.15">
      <c r="D454" s="91" t="s">
        <v>50</v>
      </c>
    </row>
    <row r="455" spans="4:4" x14ac:dyDescent="0.15">
      <c r="D455" s="91" t="s">
        <v>50</v>
      </c>
    </row>
    <row r="456" spans="4:4" x14ac:dyDescent="0.15">
      <c r="D456" s="91" t="s">
        <v>50</v>
      </c>
    </row>
    <row r="457" spans="4:4" x14ac:dyDescent="0.15">
      <c r="D457" s="91" t="s">
        <v>50</v>
      </c>
    </row>
    <row r="458" spans="4:4" x14ac:dyDescent="0.15">
      <c r="D458" s="91" t="s">
        <v>50</v>
      </c>
    </row>
    <row r="459" spans="4:4" x14ac:dyDescent="0.15">
      <c r="D459" s="91" t="s">
        <v>50</v>
      </c>
    </row>
    <row r="460" spans="4:4" x14ac:dyDescent="0.15">
      <c r="D460" s="91" t="s">
        <v>50</v>
      </c>
    </row>
    <row r="461" spans="4:4" x14ac:dyDescent="0.15">
      <c r="D461" s="91" t="s">
        <v>50</v>
      </c>
    </row>
    <row r="462" spans="4:4" x14ac:dyDescent="0.15">
      <c r="D462" s="91" t="s">
        <v>50</v>
      </c>
    </row>
    <row r="463" spans="4:4" x14ac:dyDescent="0.15">
      <c r="D463" s="91" t="s">
        <v>50</v>
      </c>
    </row>
    <row r="464" spans="4:4" x14ac:dyDescent="0.15">
      <c r="D464" s="91" t="s">
        <v>50</v>
      </c>
    </row>
    <row r="465" spans="4:4" x14ac:dyDescent="0.15">
      <c r="D465" s="91" t="s">
        <v>50</v>
      </c>
    </row>
    <row r="466" spans="4:4" x14ac:dyDescent="0.15">
      <c r="D466" s="91" t="s">
        <v>50</v>
      </c>
    </row>
    <row r="467" spans="4:4" x14ac:dyDescent="0.15">
      <c r="D467" s="91" t="s">
        <v>50</v>
      </c>
    </row>
    <row r="468" spans="4:4" x14ac:dyDescent="0.15">
      <c r="D468" s="91" t="s">
        <v>50</v>
      </c>
    </row>
    <row r="469" spans="4:4" x14ac:dyDescent="0.15">
      <c r="D469" s="91" t="s">
        <v>50</v>
      </c>
    </row>
    <row r="470" spans="4:4" x14ac:dyDescent="0.15">
      <c r="D470" s="91" t="s">
        <v>50</v>
      </c>
    </row>
    <row r="471" spans="4:4" x14ac:dyDescent="0.15">
      <c r="D471" s="91" t="s">
        <v>50</v>
      </c>
    </row>
    <row r="472" spans="4:4" x14ac:dyDescent="0.15">
      <c r="D472" s="91" t="s">
        <v>50</v>
      </c>
    </row>
    <row r="473" spans="4:4" x14ac:dyDescent="0.15">
      <c r="D473" s="91" t="s">
        <v>50</v>
      </c>
    </row>
    <row r="474" spans="4:4" x14ac:dyDescent="0.15">
      <c r="D474" s="91" t="s">
        <v>50</v>
      </c>
    </row>
    <row r="475" spans="4:4" x14ac:dyDescent="0.15">
      <c r="D475" s="91" t="s">
        <v>50</v>
      </c>
    </row>
    <row r="476" spans="4:4" x14ac:dyDescent="0.15">
      <c r="D476" s="91" t="s">
        <v>50</v>
      </c>
    </row>
    <row r="477" spans="4:4" x14ac:dyDescent="0.15">
      <c r="D477" s="91" t="s">
        <v>50</v>
      </c>
    </row>
    <row r="478" spans="4:4" x14ac:dyDescent="0.15">
      <c r="D478" s="91" t="s">
        <v>50</v>
      </c>
    </row>
    <row r="479" spans="4:4" x14ac:dyDescent="0.15">
      <c r="D479" s="91" t="s">
        <v>50</v>
      </c>
    </row>
    <row r="480" spans="4:4" x14ac:dyDescent="0.15">
      <c r="D480" s="91" t="s">
        <v>50</v>
      </c>
    </row>
    <row r="481" spans="4:4" x14ac:dyDescent="0.15">
      <c r="D481" s="91" t="s">
        <v>50</v>
      </c>
    </row>
    <row r="482" spans="4:4" x14ac:dyDescent="0.15">
      <c r="D482" s="91" t="s">
        <v>50</v>
      </c>
    </row>
    <row r="483" spans="4:4" x14ac:dyDescent="0.15">
      <c r="D483" s="91" t="s">
        <v>50</v>
      </c>
    </row>
    <row r="484" spans="4:4" x14ac:dyDescent="0.15">
      <c r="D484" s="91" t="s">
        <v>50</v>
      </c>
    </row>
    <row r="485" spans="4:4" x14ac:dyDescent="0.15">
      <c r="D485" s="91" t="s">
        <v>50</v>
      </c>
    </row>
    <row r="486" spans="4:4" x14ac:dyDescent="0.15">
      <c r="D486" s="91" t="s">
        <v>50</v>
      </c>
    </row>
    <row r="487" spans="4:4" x14ac:dyDescent="0.15">
      <c r="D487" s="91" t="s">
        <v>50</v>
      </c>
    </row>
    <row r="488" spans="4:4" x14ac:dyDescent="0.15">
      <c r="D488" s="91" t="s">
        <v>50</v>
      </c>
    </row>
    <row r="489" spans="4:4" x14ac:dyDescent="0.15">
      <c r="D489" s="91" t="s">
        <v>50</v>
      </c>
    </row>
    <row r="490" spans="4:4" x14ac:dyDescent="0.15">
      <c r="D490" s="91" t="s">
        <v>50</v>
      </c>
    </row>
    <row r="491" spans="4:4" x14ac:dyDescent="0.15">
      <c r="D491" s="91" t="s">
        <v>50</v>
      </c>
    </row>
    <row r="492" spans="4:4" x14ac:dyDescent="0.15">
      <c r="D492" s="91" t="s">
        <v>50</v>
      </c>
    </row>
    <row r="493" spans="4:4" x14ac:dyDescent="0.15">
      <c r="D493" s="91" t="s">
        <v>50</v>
      </c>
    </row>
    <row r="494" spans="4:4" x14ac:dyDescent="0.15">
      <c r="D494" s="91" t="s">
        <v>50</v>
      </c>
    </row>
    <row r="495" spans="4:4" x14ac:dyDescent="0.15">
      <c r="D495" s="91" t="s">
        <v>50</v>
      </c>
    </row>
    <row r="496" spans="4:4" x14ac:dyDescent="0.15">
      <c r="D496" s="91" t="s">
        <v>50</v>
      </c>
    </row>
    <row r="497" spans="4:4" x14ac:dyDescent="0.15">
      <c r="D497" s="91" t="s">
        <v>50</v>
      </c>
    </row>
    <row r="498" spans="4:4" x14ac:dyDescent="0.15">
      <c r="D498" s="91" t="s">
        <v>50</v>
      </c>
    </row>
    <row r="499" spans="4:4" x14ac:dyDescent="0.15">
      <c r="D499" s="91" t="s">
        <v>50</v>
      </c>
    </row>
    <row r="500" spans="4:4" x14ac:dyDescent="0.15">
      <c r="D500" s="91" t="s">
        <v>50</v>
      </c>
    </row>
    <row r="501" spans="4:4" x14ac:dyDescent="0.15">
      <c r="D501" s="91" t="s">
        <v>50</v>
      </c>
    </row>
    <row r="502" spans="4:4" x14ac:dyDescent="0.15">
      <c r="D502" s="91" t="s">
        <v>50</v>
      </c>
    </row>
    <row r="503" spans="4:4" x14ac:dyDescent="0.15">
      <c r="D503" s="91" t="s">
        <v>50</v>
      </c>
    </row>
    <row r="504" spans="4:4" x14ac:dyDescent="0.15">
      <c r="D504" s="91" t="s">
        <v>50</v>
      </c>
    </row>
    <row r="505" spans="4:4" x14ac:dyDescent="0.15">
      <c r="D505" s="91" t="s">
        <v>50</v>
      </c>
    </row>
    <row r="506" spans="4:4" x14ac:dyDescent="0.15">
      <c r="D506" s="91" t="s">
        <v>50</v>
      </c>
    </row>
    <row r="507" spans="4:4" x14ac:dyDescent="0.15">
      <c r="D507" s="91" t="s">
        <v>50</v>
      </c>
    </row>
    <row r="508" spans="4:4" x14ac:dyDescent="0.15">
      <c r="D508" s="91" t="s">
        <v>50</v>
      </c>
    </row>
    <row r="509" spans="4:4" x14ac:dyDescent="0.15">
      <c r="D509" s="91" t="s">
        <v>50</v>
      </c>
    </row>
    <row r="510" spans="4:4" x14ac:dyDescent="0.15">
      <c r="D510" s="91" t="s">
        <v>50</v>
      </c>
    </row>
    <row r="511" spans="4:4" x14ac:dyDescent="0.15">
      <c r="D511" s="91" t="s">
        <v>50</v>
      </c>
    </row>
    <row r="512" spans="4:4" x14ac:dyDescent="0.15">
      <c r="D512" s="91" t="s">
        <v>50</v>
      </c>
    </row>
    <row r="513" spans="4:4" x14ac:dyDescent="0.15">
      <c r="D513" s="91" t="s">
        <v>50</v>
      </c>
    </row>
    <row r="514" spans="4:4" x14ac:dyDescent="0.15">
      <c r="D514" s="91" t="s">
        <v>50</v>
      </c>
    </row>
    <row r="515" spans="4:4" x14ac:dyDescent="0.15">
      <c r="D515" s="91" t="s">
        <v>50</v>
      </c>
    </row>
    <row r="516" spans="4:4" x14ac:dyDescent="0.15">
      <c r="D516" s="91" t="s">
        <v>50</v>
      </c>
    </row>
    <row r="517" spans="4:4" x14ac:dyDescent="0.15">
      <c r="D517" s="91" t="s">
        <v>50</v>
      </c>
    </row>
    <row r="518" spans="4:4" x14ac:dyDescent="0.15">
      <c r="D518" s="91" t="s">
        <v>50</v>
      </c>
    </row>
    <row r="519" spans="4:4" x14ac:dyDescent="0.15">
      <c r="D519" s="91" t="s">
        <v>50</v>
      </c>
    </row>
    <row r="520" spans="4:4" x14ac:dyDescent="0.15">
      <c r="D520" s="91" t="s">
        <v>50</v>
      </c>
    </row>
    <row r="521" spans="4:4" x14ac:dyDescent="0.15">
      <c r="D521" s="91" t="s">
        <v>50</v>
      </c>
    </row>
    <row r="522" spans="4:4" x14ac:dyDescent="0.15">
      <c r="D522" s="91" t="s">
        <v>50</v>
      </c>
    </row>
    <row r="523" spans="4:4" x14ac:dyDescent="0.15">
      <c r="D523" s="91" t="s">
        <v>50</v>
      </c>
    </row>
    <row r="524" spans="4:4" x14ac:dyDescent="0.15">
      <c r="D524" s="91" t="s">
        <v>50</v>
      </c>
    </row>
    <row r="525" spans="4:4" x14ac:dyDescent="0.15">
      <c r="D525" s="91" t="s">
        <v>50</v>
      </c>
    </row>
    <row r="526" spans="4:4" x14ac:dyDescent="0.15">
      <c r="D526" s="91" t="s">
        <v>50</v>
      </c>
    </row>
    <row r="527" spans="4:4" x14ac:dyDescent="0.15">
      <c r="D527" s="91" t="s">
        <v>50</v>
      </c>
    </row>
    <row r="528" spans="4:4" x14ac:dyDescent="0.15">
      <c r="D528" s="91" t="s">
        <v>50</v>
      </c>
    </row>
    <row r="529" spans="4:4" x14ac:dyDescent="0.15">
      <c r="D529" s="91" t="s">
        <v>50</v>
      </c>
    </row>
    <row r="530" spans="4:4" x14ac:dyDescent="0.15">
      <c r="D530" s="91" t="s">
        <v>50</v>
      </c>
    </row>
    <row r="531" spans="4:4" x14ac:dyDescent="0.15">
      <c r="D531" s="91" t="s">
        <v>50</v>
      </c>
    </row>
    <row r="532" spans="4:4" x14ac:dyDescent="0.15">
      <c r="D532" s="91" t="s">
        <v>50</v>
      </c>
    </row>
    <row r="533" spans="4:4" x14ac:dyDescent="0.15">
      <c r="D533" s="91" t="s">
        <v>50</v>
      </c>
    </row>
    <row r="534" spans="4:4" x14ac:dyDescent="0.15">
      <c r="D534" s="91" t="s">
        <v>50</v>
      </c>
    </row>
    <row r="535" spans="4:4" x14ac:dyDescent="0.15">
      <c r="D535" s="91" t="s">
        <v>50</v>
      </c>
    </row>
    <row r="536" spans="4:4" x14ac:dyDescent="0.15">
      <c r="D536" s="91" t="s">
        <v>50</v>
      </c>
    </row>
    <row r="537" spans="4:4" x14ac:dyDescent="0.15">
      <c r="D537" s="91" t="s">
        <v>50</v>
      </c>
    </row>
    <row r="538" spans="4:4" x14ac:dyDescent="0.15">
      <c r="D538" s="91" t="s">
        <v>50</v>
      </c>
    </row>
    <row r="539" spans="4:4" x14ac:dyDescent="0.15">
      <c r="D539" s="91" t="s">
        <v>50</v>
      </c>
    </row>
    <row r="540" spans="4:4" x14ac:dyDescent="0.15">
      <c r="D540" s="91" t="s">
        <v>50</v>
      </c>
    </row>
    <row r="541" spans="4:4" x14ac:dyDescent="0.15">
      <c r="D541" s="91" t="s">
        <v>50</v>
      </c>
    </row>
    <row r="542" spans="4:4" x14ac:dyDescent="0.15">
      <c r="D542" s="91" t="s">
        <v>50</v>
      </c>
    </row>
    <row r="543" spans="4:4" x14ac:dyDescent="0.15">
      <c r="D543" s="91" t="s">
        <v>50</v>
      </c>
    </row>
    <row r="544" spans="4:4" x14ac:dyDescent="0.15">
      <c r="D544" s="91" t="s">
        <v>50</v>
      </c>
    </row>
    <row r="545" spans="4:4" x14ac:dyDescent="0.15">
      <c r="D545" s="91" t="s">
        <v>50</v>
      </c>
    </row>
    <row r="546" spans="4:4" x14ac:dyDescent="0.15">
      <c r="D546" s="91" t="s">
        <v>50</v>
      </c>
    </row>
    <row r="547" spans="4:4" x14ac:dyDescent="0.15">
      <c r="D547" s="91" t="s">
        <v>50</v>
      </c>
    </row>
    <row r="548" spans="4:4" x14ac:dyDescent="0.15">
      <c r="D548" s="91" t="s">
        <v>50</v>
      </c>
    </row>
    <row r="549" spans="4:4" x14ac:dyDescent="0.15">
      <c r="D549" s="91" t="s">
        <v>50</v>
      </c>
    </row>
    <row r="550" spans="4:4" x14ac:dyDescent="0.15">
      <c r="D550" s="91" t="s">
        <v>50</v>
      </c>
    </row>
    <row r="551" spans="4:4" x14ac:dyDescent="0.15">
      <c r="D551" s="91" t="s">
        <v>50</v>
      </c>
    </row>
    <row r="552" spans="4:4" x14ac:dyDescent="0.15">
      <c r="D552" s="91" t="s">
        <v>50</v>
      </c>
    </row>
    <row r="553" spans="4:4" x14ac:dyDescent="0.15">
      <c r="D553" s="91" t="s">
        <v>50</v>
      </c>
    </row>
    <row r="554" spans="4:4" x14ac:dyDescent="0.15">
      <c r="D554" s="91" t="s">
        <v>50</v>
      </c>
    </row>
    <row r="555" spans="4:4" x14ac:dyDescent="0.15">
      <c r="D555" s="91" t="s">
        <v>50</v>
      </c>
    </row>
    <row r="556" spans="4:4" x14ac:dyDescent="0.15">
      <c r="D556" s="91" t="s">
        <v>50</v>
      </c>
    </row>
    <row r="557" spans="4:4" x14ac:dyDescent="0.15">
      <c r="D557" s="91" t="s">
        <v>50</v>
      </c>
    </row>
    <row r="558" spans="4:4" x14ac:dyDescent="0.15">
      <c r="D558" s="91" t="s">
        <v>50</v>
      </c>
    </row>
    <row r="559" spans="4:4" x14ac:dyDescent="0.15">
      <c r="D559" s="91" t="s">
        <v>50</v>
      </c>
    </row>
    <row r="560" spans="4:4" x14ac:dyDescent="0.15">
      <c r="D560" s="91" t="s">
        <v>50</v>
      </c>
    </row>
    <row r="561" spans="4:4" x14ac:dyDescent="0.15">
      <c r="D561" s="91" t="s">
        <v>50</v>
      </c>
    </row>
    <row r="562" spans="4:4" x14ac:dyDescent="0.15">
      <c r="D562" s="91" t="s">
        <v>50</v>
      </c>
    </row>
    <row r="563" spans="4:4" x14ac:dyDescent="0.15">
      <c r="D563" s="91" t="s">
        <v>50</v>
      </c>
    </row>
    <row r="564" spans="4:4" x14ac:dyDescent="0.15">
      <c r="D564" s="91" t="s">
        <v>50</v>
      </c>
    </row>
    <row r="565" spans="4:4" x14ac:dyDescent="0.15">
      <c r="D565" s="91" t="s">
        <v>50</v>
      </c>
    </row>
    <row r="566" spans="4:4" x14ac:dyDescent="0.15">
      <c r="D566" s="91" t="s">
        <v>50</v>
      </c>
    </row>
    <row r="567" spans="4:4" x14ac:dyDescent="0.15">
      <c r="D567" s="91" t="s">
        <v>50</v>
      </c>
    </row>
    <row r="568" spans="4:4" x14ac:dyDescent="0.15">
      <c r="D568" s="91" t="s">
        <v>50</v>
      </c>
    </row>
    <row r="569" spans="4:4" x14ac:dyDescent="0.15">
      <c r="D569" s="91" t="s">
        <v>50</v>
      </c>
    </row>
    <row r="570" spans="4:4" x14ac:dyDescent="0.15">
      <c r="D570" s="91" t="s">
        <v>50</v>
      </c>
    </row>
    <row r="571" spans="4:4" x14ac:dyDescent="0.15">
      <c r="D571" s="91" t="s">
        <v>50</v>
      </c>
    </row>
    <row r="572" spans="4:4" x14ac:dyDescent="0.15">
      <c r="D572" s="91" t="s">
        <v>50</v>
      </c>
    </row>
    <row r="573" spans="4:4" x14ac:dyDescent="0.15">
      <c r="D573" s="91" t="s">
        <v>50</v>
      </c>
    </row>
    <row r="574" spans="4:4" x14ac:dyDescent="0.15">
      <c r="D574" s="91" t="s">
        <v>50</v>
      </c>
    </row>
    <row r="575" spans="4:4" x14ac:dyDescent="0.15">
      <c r="D575" s="91" t="s">
        <v>50</v>
      </c>
    </row>
    <row r="576" spans="4:4" x14ac:dyDescent="0.15">
      <c r="D576" s="91" t="s">
        <v>50</v>
      </c>
    </row>
    <row r="577" spans="4:4" x14ac:dyDescent="0.15">
      <c r="D577" s="91" t="s">
        <v>50</v>
      </c>
    </row>
    <row r="578" spans="4:4" x14ac:dyDescent="0.15">
      <c r="D578" s="91" t="s">
        <v>50</v>
      </c>
    </row>
    <row r="579" spans="4:4" x14ac:dyDescent="0.15">
      <c r="D579" s="91" t="s">
        <v>50</v>
      </c>
    </row>
    <row r="580" spans="4:4" x14ac:dyDescent="0.15">
      <c r="D580" s="91" t="s">
        <v>50</v>
      </c>
    </row>
    <row r="581" spans="4:4" x14ac:dyDescent="0.15">
      <c r="D581" s="91" t="s">
        <v>50</v>
      </c>
    </row>
    <row r="582" spans="4:4" x14ac:dyDescent="0.15">
      <c r="D582" s="91" t="s">
        <v>50</v>
      </c>
    </row>
    <row r="583" spans="4:4" x14ac:dyDescent="0.15">
      <c r="D583" s="91" t="s">
        <v>50</v>
      </c>
    </row>
    <row r="584" spans="4:4" x14ac:dyDescent="0.15">
      <c r="D584" s="91" t="s">
        <v>50</v>
      </c>
    </row>
    <row r="585" spans="4:4" x14ac:dyDescent="0.15">
      <c r="D585" s="91" t="s">
        <v>50</v>
      </c>
    </row>
    <row r="586" spans="4:4" x14ac:dyDescent="0.15">
      <c r="D586" s="91" t="s">
        <v>50</v>
      </c>
    </row>
    <row r="587" spans="4:4" x14ac:dyDescent="0.15">
      <c r="D587" s="91" t="s">
        <v>50</v>
      </c>
    </row>
    <row r="588" spans="4:4" x14ac:dyDescent="0.15">
      <c r="D588" s="91" t="s">
        <v>50</v>
      </c>
    </row>
    <row r="589" spans="4:4" x14ac:dyDescent="0.15">
      <c r="D589" s="91" t="s">
        <v>50</v>
      </c>
    </row>
    <row r="590" spans="4:4" x14ac:dyDescent="0.15">
      <c r="D590" s="91" t="s">
        <v>50</v>
      </c>
    </row>
    <row r="591" spans="4:4" x14ac:dyDescent="0.15">
      <c r="D591" s="91" t="s">
        <v>50</v>
      </c>
    </row>
    <row r="592" spans="4:4" x14ac:dyDescent="0.15">
      <c r="D592" s="91" t="s">
        <v>50</v>
      </c>
    </row>
    <row r="593" spans="4:4" x14ac:dyDescent="0.15">
      <c r="D593" s="91" t="s">
        <v>50</v>
      </c>
    </row>
    <row r="594" spans="4:4" x14ac:dyDescent="0.15">
      <c r="D594" s="91" t="s">
        <v>50</v>
      </c>
    </row>
    <row r="595" spans="4:4" x14ac:dyDescent="0.15">
      <c r="D595" s="91" t="s">
        <v>50</v>
      </c>
    </row>
    <row r="596" spans="4:4" x14ac:dyDescent="0.15">
      <c r="D596" s="91" t="s">
        <v>50</v>
      </c>
    </row>
    <row r="597" spans="4:4" x14ac:dyDescent="0.15">
      <c r="D597" s="91" t="s">
        <v>50</v>
      </c>
    </row>
    <row r="598" spans="4:4" x14ac:dyDescent="0.15">
      <c r="D598" s="91" t="s">
        <v>50</v>
      </c>
    </row>
    <row r="599" spans="4:4" x14ac:dyDescent="0.15">
      <c r="D599" s="91" t="s">
        <v>50</v>
      </c>
    </row>
    <row r="600" spans="4:4" x14ac:dyDescent="0.15">
      <c r="D600" s="91" t="s">
        <v>50</v>
      </c>
    </row>
    <row r="601" spans="4:4" x14ac:dyDescent="0.15">
      <c r="D601" s="91" t="s">
        <v>50</v>
      </c>
    </row>
    <row r="602" spans="4:4" x14ac:dyDescent="0.15">
      <c r="D602" s="91" t="s">
        <v>50</v>
      </c>
    </row>
    <row r="603" spans="4:4" x14ac:dyDescent="0.15">
      <c r="D603" s="91" t="s">
        <v>50</v>
      </c>
    </row>
    <row r="604" spans="4:4" x14ac:dyDescent="0.15">
      <c r="D604" s="91" t="s">
        <v>50</v>
      </c>
    </row>
    <row r="605" spans="4:4" x14ac:dyDescent="0.15">
      <c r="D605" s="91" t="s">
        <v>50</v>
      </c>
    </row>
    <row r="606" spans="4:4" x14ac:dyDescent="0.15">
      <c r="D606" s="91" t="s">
        <v>50</v>
      </c>
    </row>
    <row r="607" spans="4:4" x14ac:dyDescent="0.15">
      <c r="D607" s="91" t="s">
        <v>50</v>
      </c>
    </row>
    <row r="608" spans="4:4" x14ac:dyDescent="0.15">
      <c r="D608" s="91" t="s">
        <v>50</v>
      </c>
    </row>
    <row r="609" spans="4:4" x14ac:dyDescent="0.15">
      <c r="D609" s="91" t="s">
        <v>50</v>
      </c>
    </row>
    <row r="610" spans="4:4" x14ac:dyDescent="0.15">
      <c r="D610" s="91" t="s">
        <v>50</v>
      </c>
    </row>
    <row r="611" spans="4:4" x14ac:dyDescent="0.15">
      <c r="D611" s="91" t="s">
        <v>50</v>
      </c>
    </row>
    <row r="612" spans="4:4" x14ac:dyDescent="0.15">
      <c r="D612" s="91" t="s">
        <v>50</v>
      </c>
    </row>
    <row r="613" spans="4:4" x14ac:dyDescent="0.15">
      <c r="D613" s="91" t="s">
        <v>50</v>
      </c>
    </row>
    <row r="614" spans="4:4" x14ac:dyDescent="0.15">
      <c r="D614" s="91" t="s">
        <v>50</v>
      </c>
    </row>
    <row r="615" spans="4:4" x14ac:dyDescent="0.15">
      <c r="D615" s="91" t="s">
        <v>50</v>
      </c>
    </row>
    <row r="616" spans="4:4" x14ac:dyDescent="0.15">
      <c r="D616" s="91" t="s">
        <v>50</v>
      </c>
    </row>
    <row r="617" spans="4:4" x14ac:dyDescent="0.15">
      <c r="D617" s="91" t="s">
        <v>50</v>
      </c>
    </row>
    <row r="618" spans="4:4" x14ac:dyDescent="0.15">
      <c r="D618" s="91" t="s">
        <v>50</v>
      </c>
    </row>
    <row r="619" spans="4:4" x14ac:dyDescent="0.15">
      <c r="D619" s="91" t="s">
        <v>50</v>
      </c>
    </row>
    <row r="620" spans="4:4" x14ac:dyDescent="0.15">
      <c r="D620" s="91" t="s">
        <v>50</v>
      </c>
    </row>
    <row r="621" spans="4:4" x14ac:dyDescent="0.15">
      <c r="D621" s="91" t="s">
        <v>50</v>
      </c>
    </row>
    <row r="622" spans="4:4" x14ac:dyDescent="0.15">
      <c r="D622" s="91" t="s">
        <v>50</v>
      </c>
    </row>
    <row r="623" spans="4:4" x14ac:dyDescent="0.15">
      <c r="D623" s="91" t="s">
        <v>50</v>
      </c>
    </row>
    <row r="624" spans="4:4" x14ac:dyDescent="0.15">
      <c r="D624" s="91" t="s">
        <v>50</v>
      </c>
    </row>
    <row r="625" spans="4:4" x14ac:dyDescent="0.15">
      <c r="D625" s="91" t="s">
        <v>50</v>
      </c>
    </row>
    <row r="626" spans="4:4" x14ac:dyDescent="0.15">
      <c r="D626" s="91" t="s">
        <v>50</v>
      </c>
    </row>
    <row r="627" spans="4:4" x14ac:dyDescent="0.15">
      <c r="D627" s="91" t="s">
        <v>50</v>
      </c>
    </row>
    <row r="628" spans="4:4" x14ac:dyDescent="0.15">
      <c r="D628" s="91" t="s">
        <v>50</v>
      </c>
    </row>
    <row r="629" spans="4:4" x14ac:dyDescent="0.15">
      <c r="D629" s="91" t="s">
        <v>50</v>
      </c>
    </row>
    <row r="630" spans="4:4" x14ac:dyDescent="0.15">
      <c r="D630" s="91" t="s">
        <v>50</v>
      </c>
    </row>
    <row r="631" spans="4:4" x14ac:dyDescent="0.15">
      <c r="D631" s="91" t="s">
        <v>50</v>
      </c>
    </row>
    <row r="632" spans="4:4" x14ac:dyDescent="0.15">
      <c r="D632" s="91" t="s">
        <v>50</v>
      </c>
    </row>
    <row r="633" spans="4:4" x14ac:dyDescent="0.15">
      <c r="D633" s="91" t="s">
        <v>50</v>
      </c>
    </row>
    <row r="634" spans="4:4" x14ac:dyDescent="0.15">
      <c r="D634" s="91" t="s">
        <v>50</v>
      </c>
    </row>
    <row r="635" spans="4:4" x14ac:dyDescent="0.15">
      <c r="D635" s="91" t="s">
        <v>50</v>
      </c>
    </row>
    <row r="636" spans="4:4" x14ac:dyDescent="0.15">
      <c r="D636" s="91" t="s">
        <v>50</v>
      </c>
    </row>
    <row r="637" spans="4:4" x14ac:dyDescent="0.15">
      <c r="D637" s="91" t="s">
        <v>50</v>
      </c>
    </row>
    <row r="638" spans="4:4" x14ac:dyDescent="0.15">
      <c r="D638" s="91" t="s">
        <v>50</v>
      </c>
    </row>
    <row r="639" spans="4:4" x14ac:dyDescent="0.15">
      <c r="D639" s="91" t="s">
        <v>50</v>
      </c>
    </row>
    <row r="640" spans="4:4" x14ac:dyDescent="0.15">
      <c r="D640" s="91" t="s">
        <v>50</v>
      </c>
    </row>
    <row r="641" spans="4:4" x14ac:dyDescent="0.15">
      <c r="D641" s="91" t="s">
        <v>50</v>
      </c>
    </row>
    <row r="642" spans="4:4" x14ac:dyDescent="0.15">
      <c r="D642" s="91" t="s">
        <v>50</v>
      </c>
    </row>
    <row r="643" spans="4:4" x14ac:dyDescent="0.15">
      <c r="D643" s="91" t="s">
        <v>50</v>
      </c>
    </row>
    <row r="644" spans="4:4" x14ac:dyDescent="0.15">
      <c r="D644" s="91" t="s">
        <v>50</v>
      </c>
    </row>
    <row r="645" spans="4:4" x14ac:dyDescent="0.15">
      <c r="D645" s="91" t="s">
        <v>50</v>
      </c>
    </row>
    <row r="646" spans="4:4" x14ac:dyDescent="0.15">
      <c r="D646" s="91" t="s">
        <v>50</v>
      </c>
    </row>
    <row r="647" spans="4:4" x14ac:dyDescent="0.15">
      <c r="D647" s="91" t="s">
        <v>50</v>
      </c>
    </row>
    <row r="648" spans="4:4" x14ac:dyDescent="0.15">
      <c r="D648" s="91" t="s">
        <v>50</v>
      </c>
    </row>
    <row r="649" spans="4:4" x14ac:dyDescent="0.15">
      <c r="D649" s="91" t="s">
        <v>50</v>
      </c>
    </row>
    <row r="650" spans="4:4" x14ac:dyDescent="0.15">
      <c r="D650" s="91" t="s">
        <v>50</v>
      </c>
    </row>
    <row r="651" spans="4:4" x14ac:dyDescent="0.15">
      <c r="D651" s="91" t="s">
        <v>50</v>
      </c>
    </row>
    <row r="652" spans="4:4" x14ac:dyDescent="0.15">
      <c r="D652" s="91" t="s">
        <v>50</v>
      </c>
    </row>
    <row r="653" spans="4:4" x14ac:dyDescent="0.15">
      <c r="D653" s="91" t="s">
        <v>50</v>
      </c>
    </row>
    <row r="654" spans="4:4" x14ac:dyDescent="0.15">
      <c r="D654" s="91" t="s">
        <v>50</v>
      </c>
    </row>
    <row r="655" spans="4:4" x14ac:dyDescent="0.15">
      <c r="D655" s="91" t="s">
        <v>50</v>
      </c>
    </row>
    <row r="656" spans="4:4" x14ac:dyDescent="0.15">
      <c r="D656" s="91" t="s">
        <v>50</v>
      </c>
    </row>
    <row r="657" spans="4:4" x14ac:dyDescent="0.15">
      <c r="D657" s="91" t="s">
        <v>50</v>
      </c>
    </row>
    <row r="658" spans="4:4" x14ac:dyDescent="0.15">
      <c r="D658" s="91" t="s">
        <v>50</v>
      </c>
    </row>
    <row r="659" spans="4:4" x14ac:dyDescent="0.15">
      <c r="D659" s="91" t="s">
        <v>50</v>
      </c>
    </row>
    <row r="660" spans="4:4" x14ac:dyDescent="0.15">
      <c r="D660" s="91" t="s">
        <v>50</v>
      </c>
    </row>
    <row r="661" spans="4:4" x14ac:dyDescent="0.15">
      <c r="D661" s="91" t="s">
        <v>50</v>
      </c>
    </row>
    <row r="662" spans="4:4" x14ac:dyDescent="0.15">
      <c r="D662" s="91" t="s">
        <v>50</v>
      </c>
    </row>
    <row r="663" spans="4:4" x14ac:dyDescent="0.15">
      <c r="D663" s="91" t="s">
        <v>50</v>
      </c>
    </row>
    <row r="664" spans="4:4" x14ac:dyDescent="0.15">
      <c r="D664" s="91" t="s">
        <v>50</v>
      </c>
    </row>
    <row r="665" spans="4:4" x14ac:dyDescent="0.15">
      <c r="D665" s="91" t="s">
        <v>50</v>
      </c>
    </row>
    <row r="666" spans="4:4" x14ac:dyDescent="0.15">
      <c r="D666" s="91" t="s">
        <v>50</v>
      </c>
    </row>
    <row r="667" spans="4:4" x14ac:dyDescent="0.15">
      <c r="D667" s="91" t="s">
        <v>50</v>
      </c>
    </row>
    <row r="668" spans="4:4" x14ac:dyDescent="0.15">
      <c r="D668" s="91" t="s">
        <v>50</v>
      </c>
    </row>
    <row r="669" spans="4:4" x14ac:dyDescent="0.15">
      <c r="D669" s="91" t="s">
        <v>50</v>
      </c>
    </row>
    <row r="670" spans="4:4" x14ac:dyDescent="0.15">
      <c r="D670" s="91" t="s">
        <v>50</v>
      </c>
    </row>
    <row r="671" spans="4:4" x14ac:dyDescent="0.15">
      <c r="D671" s="91" t="s">
        <v>50</v>
      </c>
    </row>
    <row r="672" spans="4:4" x14ac:dyDescent="0.15">
      <c r="D672" s="91" t="s">
        <v>50</v>
      </c>
    </row>
    <row r="673" spans="4:4" x14ac:dyDescent="0.15">
      <c r="D673" s="91" t="s">
        <v>50</v>
      </c>
    </row>
    <row r="674" spans="4:4" x14ac:dyDescent="0.15">
      <c r="D674" s="91" t="s">
        <v>50</v>
      </c>
    </row>
    <row r="675" spans="4:4" x14ac:dyDescent="0.15">
      <c r="D675" s="91" t="s">
        <v>50</v>
      </c>
    </row>
    <row r="676" spans="4:4" x14ac:dyDescent="0.15">
      <c r="D676" s="91" t="s">
        <v>50</v>
      </c>
    </row>
    <row r="677" spans="4:4" x14ac:dyDescent="0.15">
      <c r="D677" s="91" t="s">
        <v>50</v>
      </c>
    </row>
    <row r="678" spans="4:4" x14ac:dyDescent="0.15">
      <c r="D678" s="91" t="s">
        <v>50</v>
      </c>
    </row>
    <row r="679" spans="4:4" x14ac:dyDescent="0.15">
      <c r="D679" s="91" t="s">
        <v>50</v>
      </c>
    </row>
    <row r="680" spans="4:4" x14ac:dyDescent="0.15">
      <c r="D680" s="91" t="s">
        <v>50</v>
      </c>
    </row>
    <row r="681" spans="4:4" x14ac:dyDescent="0.15">
      <c r="D681" s="91" t="s">
        <v>50</v>
      </c>
    </row>
    <row r="682" spans="4:4" x14ac:dyDescent="0.15">
      <c r="D682" s="91" t="s">
        <v>50</v>
      </c>
    </row>
    <row r="683" spans="4:4" x14ac:dyDescent="0.15">
      <c r="D683" s="91" t="s">
        <v>50</v>
      </c>
    </row>
    <row r="684" spans="4:4" x14ac:dyDescent="0.15">
      <c r="D684" s="91" t="s">
        <v>50</v>
      </c>
    </row>
    <row r="685" spans="4:4" x14ac:dyDescent="0.15">
      <c r="D685" s="91" t="s">
        <v>50</v>
      </c>
    </row>
    <row r="686" spans="4:4" x14ac:dyDescent="0.15">
      <c r="D686" s="91" t="s">
        <v>50</v>
      </c>
    </row>
    <row r="687" spans="4:4" x14ac:dyDescent="0.15">
      <c r="D687" s="91" t="s">
        <v>50</v>
      </c>
    </row>
    <row r="688" spans="4:4" x14ac:dyDescent="0.15">
      <c r="D688" s="91" t="s">
        <v>50</v>
      </c>
    </row>
    <row r="689" spans="4:4" x14ac:dyDescent="0.15">
      <c r="D689" s="91" t="s">
        <v>50</v>
      </c>
    </row>
    <row r="690" spans="4:4" x14ac:dyDescent="0.15">
      <c r="D690" s="91" t="s">
        <v>50</v>
      </c>
    </row>
    <row r="691" spans="4:4" x14ac:dyDescent="0.15">
      <c r="D691" s="91" t="s">
        <v>50</v>
      </c>
    </row>
    <row r="692" spans="4:4" x14ac:dyDescent="0.15">
      <c r="D692" s="91" t="s">
        <v>50</v>
      </c>
    </row>
    <row r="693" spans="4:4" x14ac:dyDescent="0.15">
      <c r="D693" s="91" t="s">
        <v>50</v>
      </c>
    </row>
    <row r="694" spans="4:4" x14ac:dyDescent="0.15">
      <c r="D694" s="91" t="s">
        <v>50</v>
      </c>
    </row>
    <row r="695" spans="4:4" x14ac:dyDescent="0.15">
      <c r="D695" s="91" t="s">
        <v>50</v>
      </c>
    </row>
    <row r="696" spans="4:4" x14ac:dyDescent="0.15">
      <c r="D696" s="91" t="s">
        <v>50</v>
      </c>
    </row>
    <row r="697" spans="4:4" x14ac:dyDescent="0.15">
      <c r="D697" s="91" t="s">
        <v>50</v>
      </c>
    </row>
    <row r="698" spans="4:4" x14ac:dyDescent="0.15">
      <c r="D698" s="91" t="s">
        <v>50</v>
      </c>
    </row>
    <row r="699" spans="4:4" x14ac:dyDescent="0.15">
      <c r="D699" s="91" t="s">
        <v>50</v>
      </c>
    </row>
    <row r="700" spans="4:4" x14ac:dyDescent="0.15">
      <c r="D700" s="91" t="s">
        <v>50</v>
      </c>
    </row>
    <row r="701" spans="4:4" x14ac:dyDescent="0.15">
      <c r="D701" s="91" t="s">
        <v>50</v>
      </c>
    </row>
    <row r="702" spans="4:4" x14ac:dyDescent="0.15">
      <c r="D702" s="91" t="s">
        <v>50</v>
      </c>
    </row>
    <row r="703" spans="4:4" x14ac:dyDescent="0.15">
      <c r="D703" s="91" t="s">
        <v>50</v>
      </c>
    </row>
    <row r="704" spans="4:4" x14ac:dyDescent="0.15">
      <c r="D704" s="91" t="s">
        <v>50</v>
      </c>
    </row>
    <row r="705" spans="4:4" x14ac:dyDescent="0.15">
      <c r="D705" s="91" t="s">
        <v>50</v>
      </c>
    </row>
    <row r="706" spans="4:4" x14ac:dyDescent="0.15">
      <c r="D706" s="91" t="s">
        <v>50</v>
      </c>
    </row>
    <row r="707" spans="4:4" x14ac:dyDescent="0.15">
      <c r="D707" s="91" t="s">
        <v>50</v>
      </c>
    </row>
    <row r="708" spans="4:4" x14ac:dyDescent="0.15">
      <c r="D708" s="91" t="s">
        <v>50</v>
      </c>
    </row>
    <row r="709" spans="4:4" x14ac:dyDescent="0.15">
      <c r="D709" s="91" t="s">
        <v>50</v>
      </c>
    </row>
    <row r="710" spans="4:4" x14ac:dyDescent="0.15">
      <c r="D710" s="91" t="s">
        <v>50</v>
      </c>
    </row>
    <row r="711" spans="4:4" x14ac:dyDescent="0.15">
      <c r="D711" s="91" t="s">
        <v>50</v>
      </c>
    </row>
    <row r="712" spans="4:4" x14ac:dyDescent="0.15">
      <c r="D712" s="91" t="s">
        <v>50</v>
      </c>
    </row>
    <row r="713" spans="4:4" x14ac:dyDescent="0.15">
      <c r="D713" s="91" t="s">
        <v>50</v>
      </c>
    </row>
    <row r="714" spans="4:4" x14ac:dyDescent="0.15">
      <c r="D714" s="91" t="s">
        <v>50</v>
      </c>
    </row>
    <row r="715" spans="4:4" x14ac:dyDescent="0.15">
      <c r="D715" s="91" t="s">
        <v>50</v>
      </c>
    </row>
    <row r="716" spans="4:4" x14ac:dyDescent="0.15">
      <c r="D716" s="91" t="s">
        <v>50</v>
      </c>
    </row>
    <row r="717" spans="4:4" x14ac:dyDescent="0.15">
      <c r="D717" s="91" t="s">
        <v>50</v>
      </c>
    </row>
    <row r="718" spans="4:4" x14ac:dyDescent="0.15">
      <c r="D718" s="91" t="s">
        <v>50</v>
      </c>
    </row>
    <row r="719" spans="4:4" x14ac:dyDescent="0.15">
      <c r="D719" s="91" t="s">
        <v>50</v>
      </c>
    </row>
    <row r="720" spans="4:4" x14ac:dyDescent="0.15">
      <c r="D720" s="91" t="s">
        <v>50</v>
      </c>
    </row>
    <row r="721" spans="4:4" x14ac:dyDescent="0.15">
      <c r="D721" s="91" t="s">
        <v>50</v>
      </c>
    </row>
    <row r="722" spans="4:4" x14ac:dyDescent="0.15">
      <c r="D722" s="91" t="s">
        <v>50</v>
      </c>
    </row>
    <row r="723" spans="4:4" x14ac:dyDescent="0.15">
      <c r="D723" s="91" t="s">
        <v>50</v>
      </c>
    </row>
    <row r="724" spans="4:4" x14ac:dyDescent="0.15">
      <c r="D724" s="91" t="s">
        <v>50</v>
      </c>
    </row>
    <row r="725" spans="4:4" x14ac:dyDescent="0.15">
      <c r="D725" s="91" t="s">
        <v>50</v>
      </c>
    </row>
    <row r="726" spans="4:4" x14ac:dyDescent="0.15">
      <c r="D726" s="91" t="s">
        <v>50</v>
      </c>
    </row>
    <row r="727" spans="4:4" x14ac:dyDescent="0.15">
      <c r="D727" s="91" t="s">
        <v>50</v>
      </c>
    </row>
    <row r="728" spans="4:4" x14ac:dyDescent="0.15">
      <c r="D728" s="91" t="s">
        <v>50</v>
      </c>
    </row>
    <row r="729" spans="4:4" x14ac:dyDescent="0.15">
      <c r="D729" s="91" t="s">
        <v>50</v>
      </c>
    </row>
    <row r="730" spans="4:4" x14ac:dyDescent="0.15">
      <c r="D730" s="91" t="s">
        <v>50</v>
      </c>
    </row>
    <row r="731" spans="4:4" x14ac:dyDescent="0.15">
      <c r="D731" s="91" t="s">
        <v>50</v>
      </c>
    </row>
    <row r="732" spans="4:4" x14ac:dyDescent="0.15">
      <c r="D732" s="91" t="s">
        <v>50</v>
      </c>
    </row>
    <row r="733" spans="4:4" x14ac:dyDescent="0.15">
      <c r="D733" s="91" t="s">
        <v>50</v>
      </c>
    </row>
    <row r="734" spans="4:4" x14ac:dyDescent="0.15">
      <c r="D734" s="91" t="s">
        <v>50</v>
      </c>
    </row>
    <row r="735" spans="4:4" x14ac:dyDescent="0.15">
      <c r="D735" s="91" t="s">
        <v>50</v>
      </c>
    </row>
    <row r="736" spans="4:4" x14ac:dyDescent="0.15">
      <c r="D736" s="91" t="s">
        <v>50</v>
      </c>
    </row>
    <row r="737" spans="4:4" x14ac:dyDescent="0.15">
      <c r="D737" s="91" t="s">
        <v>50</v>
      </c>
    </row>
    <row r="738" spans="4:4" x14ac:dyDescent="0.15">
      <c r="D738" s="91" t="s">
        <v>50</v>
      </c>
    </row>
    <row r="739" spans="4:4" x14ac:dyDescent="0.15">
      <c r="D739" s="91" t="s">
        <v>50</v>
      </c>
    </row>
    <row r="740" spans="4:4" x14ac:dyDescent="0.15">
      <c r="D740" s="91" t="s">
        <v>50</v>
      </c>
    </row>
    <row r="741" spans="4:4" x14ac:dyDescent="0.15">
      <c r="D741" s="91" t="s">
        <v>50</v>
      </c>
    </row>
    <row r="742" spans="4:4" x14ac:dyDescent="0.15">
      <c r="D742" s="91" t="s">
        <v>50</v>
      </c>
    </row>
    <row r="743" spans="4:4" x14ac:dyDescent="0.15">
      <c r="D743" s="91" t="s">
        <v>50</v>
      </c>
    </row>
    <row r="744" spans="4:4" x14ac:dyDescent="0.15">
      <c r="D744" s="91" t="s">
        <v>50</v>
      </c>
    </row>
    <row r="745" spans="4:4" x14ac:dyDescent="0.15">
      <c r="D745" s="91" t="s">
        <v>50</v>
      </c>
    </row>
    <row r="746" spans="4:4" x14ac:dyDescent="0.15">
      <c r="D746" s="91" t="s">
        <v>50</v>
      </c>
    </row>
    <row r="747" spans="4:4" x14ac:dyDescent="0.15">
      <c r="D747" s="91" t="s">
        <v>50</v>
      </c>
    </row>
    <row r="748" spans="4:4" x14ac:dyDescent="0.15">
      <c r="D748" s="91" t="s">
        <v>50</v>
      </c>
    </row>
    <row r="749" spans="4:4" x14ac:dyDescent="0.15">
      <c r="D749" s="91" t="s">
        <v>50</v>
      </c>
    </row>
    <row r="750" spans="4:4" x14ac:dyDescent="0.15">
      <c r="D750" s="91" t="s">
        <v>50</v>
      </c>
    </row>
    <row r="751" spans="4:4" x14ac:dyDescent="0.15">
      <c r="D751" s="91" t="s">
        <v>50</v>
      </c>
    </row>
    <row r="752" spans="4:4" x14ac:dyDescent="0.15">
      <c r="D752" s="91" t="s">
        <v>50</v>
      </c>
    </row>
    <row r="753" spans="4:4" x14ac:dyDescent="0.15">
      <c r="D753" s="91" t="s">
        <v>50</v>
      </c>
    </row>
    <row r="754" spans="4:4" x14ac:dyDescent="0.15">
      <c r="D754" s="91" t="s">
        <v>50</v>
      </c>
    </row>
    <row r="755" spans="4:4" x14ac:dyDescent="0.15">
      <c r="D755" s="91" t="s">
        <v>50</v>
      </c>
    </row>
    <row r="756" spans="4:4" x14ac:dyDescent="0.15">
      <c r="D756" s="91" t="s">
        <v>50</v>
      </c>
    </row>
    <row r="757" spans="4:4" x14ac:dyDescent="0.15">
      <c r="D757" s="91" t="s">
        <v>50</v>
      </c>
    </row>
    <row r="758" spans="4:4" x14ac:dyDescent="0.15">
      <c r="D758" s="91" t="s">
        <v>50</v>
      </c>
    </row>
    <row r="759" spans="4:4" x14ac:dyDescent="0.15">
      <c r="D759" s="91" t="s">
        <v>50</v>
      </c>
    </row>
    <row r="760" spans="4:4" x14ac:dyDescent="0.15">
      <c r="D760" s="91" t="s">
        <v>50</v>
      </c>
    </row>
    <row r="761" spans="4:4" x14ac:dyDescent="0.15">
      <c r="D761" s="91" t="s">
        <v>50</v>
      </c>
    </row>
    <row r="762" spans="4:4" x14ac:dyDescent="0.15">
      <c r="D762" s="91" t="s">
        <v>50</v>
      </c>
    </row>
    <row r="763" spans="4:4" x14ac:dyDescent="0.15">
      <c r="D763" s="91" t="s">
        <v>50</v>
      </c>
    </row>
    <row r="764" spans="4:4" x14ac:dyDescent="0.15">
      <c r="D764" s="91" t="s">
        <v>50</v>
      </c>
    </row>
    <row r="765" spans="4:4" x14ac:dyDescent="0.15">
      <c r="D765" s="91" t="s">
        <v>50</v>
      </c>
    </row>
    <row r="766" spans="4:4" x14ac:dyDescent="0.15">
      <c r="D766" s="91" t="s">
        <v>50</v>
      </c>
    </row>
    <row r="767" spans="4:4" x14ac:dyDescent="0.15">
      <c r="D767" s="91" t="s">
        <v>50</v>
      </c>
    </row>
    <row r="768" spans="4:4" x14ac:dyDescent="0.15">
      <c r="D768" s="91" t="s">
        <v>50</v>
      </c>
    </row>
    <row r="769" spans="4:4" x14ac:dyDescent="0.15">
      <c r="D769" s="91" t="s">
        <v>50</v>
      </c>
    </row>
    <row r="770" spans="4:4" x14ac:dyDescent="0.15">
      <c r="D770" s="91" t="s">
        <v>50</v>
      </c>
    </row>
    <row r="771" spans="4:4" x14ac:dyDescent="0.15">
      <c r="D771" s="91" t="s">
        <v>50</v>
      </c>
    </row>
    <row r="772" spans="4:4" x14ac:dyDescent="0.15">
      <c r="D772" s="91" t="s">
        <v>50</v>
      </c>
    </row>
    <row r="773" spans="4:4" x14ac:dyDescent="0.15">
      <c r="D773" s="91" t="s">
        <v>50</v>
      </c>
    </row>
    <row r="774" spans="4:4" x14ac:dyDescent="0.15">
      <c r="D774" s="91" t="s">
        <v>50</v>
      </c>
    </row>
    <row r="775" spans="4:4" x14ac:dyDescent="0.15">
      <c r="D775" s="91" t="s">
        <v>50</v>
      </c>
    </row>
    <row r="776" spans="4:4" x14ac:dyDescent="0.15">
      <c r="D776" s="91" t="s">
        <v>50</v>
      </c>
    </row>
    <row r="777" spans="4:4" x14ac:dyDescent="0.15">
      <c r="D777" s="91" t="s">
        <v>50</v>
      </c>
    </row>
    <row r="778" spans="4:4" x14ac:dyDescent="0.15">
      <c r="D778" s="91" t="s">
        <v>50</v>
      </c>
    </row>
    <row r="779" spans="4:4" x14ac:dyDescent="0.15">
      <c r="D779" s="91" t="s">
        <v>50</v>
      </c>
    </row>
    <row r="780" spans="4:4" x14ac:dyDescent="0.15">
      <c r="D780" s="91" t="s">
        <v>50</v>
      </c>
    </row>
    <row r="781" spans="4:4" x14ac:dyDescent="0.15">
      <c r="D781" s="91" t="s">
        <v>50</v>
      </c>
    </row>
    <row r="782" spans="4:4" x14ac:dyDescent="0.15">
      <c r="D782" s="91" t="s">
        <v>50</v>
      </c>
    </row>
    <row r="783" spans="4:4" x14ac:dyDescent="0.15">
      <c r="D783" s="91" t="s">
        <v>50</v>
      </c>
    </row>
    <row r="784" spans="4:4" x14ac:dyDescent="0.15">
      <c r="D784" s="91" t="s">
        <v>50</v>
      </c>
    </row>
    <row r="785" spans="4:4" x14ac:dyDescent="0.15">
      <c r="D785" s="91" t="s">
        <v>50</v>
      </c>
    </row>
    <row r="786" spans="4:4" x14ac:dyDescent="0.15">
      <c r="D786" s="91" t="s">
        <v>50</v>
      </c>
    </row>
    <row r="787" spans="4:4" x14ac:dyDescent="0.15">
      <c r="D787" s="91" t="s">
        <v>50</v>
      </c>
    </row>
    <row r="788" spans="4:4" x14ac:dyDescent="0.15">
      <c r="D788" s="91" t="s">
        <v>50</v>
      </c>
    </row>
    <row r="789" spans="4:4" x14ac:dyDescent="0.15">
      <c r="D789" s="91" t="s">
        <v>50</v>
      </c>
    </row>
    <row r="790" spans="4:4" x14ac:dyDescent="0.15">
      <c r="D790" s="91" t="s">
        <v>50</v>
      </c>
    </row>
    <row r="791" spans="4:4" x14ac:dyDescent="0.15">
      <c r="D791" s="91" t="s">
        <v>50</v>
      </c>
    </row>
    <row r="792" spans="4:4" x14ac:dyDescent="0.15">
      <c r="D792" s="91" t="s">
        <v>50</v>
      </c>
    </row>
    <row r="793" spans="4:4" x14ac:dyDescent="0.15">
      <c r="D793" s="91" t="s">
        <v>50</v>
      </c>
    </row>
    <row r="794" spans="4:4" x14ac:dyDescent="0.15">
      <c r="D794" s="91" t="s">
        <v>50</v>
      </c>
    </row>
    <row r="795" spans="4:4" x14ac:dyDescent="0.15">
      <c r="D795" s="91" t="s">
        <v>50</v>
      </c>
    </row>
    <row r="796" spans="4:4" x14ac:dyDescent="0.15">
      <c r="D796" s="91" t="s">
        <v>50</v>
      </c>
    </row>
    <row r="797" spans="4:4" x14ac:dyDescent="0.15">
      <c r="D797" s="91" t="s">
        <v>50</v>
      </c>
    </row>
    <row r="798" spans="4:4" x14ac:dyDescent="0.15">
      <c r="D798" s="91" t="s">
        <v>50</v>
      </c>
    </row>
    <row r="799" spans="4:4" x14ac:dyDescent="0.15">
      <c r="D799" s="91" t="s">
        <v>50</v>
      </c>
    </row>
    <row r="800" spans="4:4" x14ac:dyDescent="0.15">
      <c r="D800" s="91" t="s">
        <v>50</v>
      </c>
    </row>
    <row r="801" spans="4:4" x14ac:dyDescent="0.15">
      <c r="D801" s="91" t="s">
        <v>50</v>
      </c>
    </row>
    <row r="802" spans="4:4" x14ac:dyDescent="0.15">
      <c r="D802" s="91" t="s">
        <v>50</v>
      </c>
    </row>
    <row r="803" spans="4:4" x14ac:dyDescent="0.15">
      <c r="D803" s="91" t="s">
        <v>50</v>
      </c>
    </row>
    <row r="804" spans="4:4" x14ac:dyDescent="0.15">
      <c r="D804" s="91" t="s">
        <v>50</v>
      </c>
    </row>
    <row r="805" spans="4:4" x14ac:dyDescent="0.15">
      <c r="D805" s="91" t="s">
        <v>50</v>
      </c>
    </row>
    <row r="806" spans="4:4" x14ac:dyDescent="0.15">
      <c r="D806" s="91" t="s">
        <v>50</v>
      </c>
    </row>
    <row r="807" spans="4:4" x14ac:dyDescent="0.15">
      <c r="D807" s="91" t="s">
        <v>50</v>
      </c>
    </row>
    <row r="808" spans="4:4" x14ac:dyDescent="0.15">
      <c r="D808" s="91" t="s">
        <v>50</v>
      </c>
    </row>
    <row r="809" spans="4:4" x14ac:dyDescent="0.15">
      <c r="D809" s="91" t="s">
        <v>50</v>
      </c>
    </row>
    <row r="810" spans="4:4" x14ac:dyDescent="0.15">
      <c r="D810" s="91" t="s">
        <v>50</v>
      </c>
    </row>
    <row r="811" spans="4:4" x14ac:dyDescent="0.15">
      <c r="D811" s="91" t="s">
        <v>50</v>
      </c>
    </row>
    <row r="812" spans="4:4" x14ac:dyDescent="0.15">
      <c r="D812" s="91" t="s">
        <v>50</v>
      </c>
    </row>
    <row r="813" spans="4:4" x14ac:dyDescent="0.15">
      <c r="D813" s="91" t="s">
        <v>50</v>
      </c>
    </row>
    <row r="814" spans="4:4" x14ac:dyDescent="0.15">
      <c r="D814" s="91" t="s">
        <v>50</v>
      </c>
    </row>
    <row r="815" spans="4:4" x14ac:dyDescent="0.15">
      <c r="D815" s="91" t="s">
        <v>50</v>
      </c>
    </row>
    <row r="816" spans="4:4" x14ac:dyDescent="0.15">
      <c r="D816" s="91" t="s">
        <v>50</v>
      </c>
    </row>
    <row r="817" spans="4:4" x14ac:dyDescent="0.15">
      <c r="D817" s="91" t="s">
        <v>50</v>
      </c>
    </row>
    <row r="818" spans="4:4" x14ac:dyDescent="0.15">
      <c r="D818" s="91" t="s">
        <v>50</v>
      </c>
    </row>
    <row r="819" spans="4:4" x14ac:dyDescent="0.15">
      <c r="D819" s="91" t="s">
        <v>50</v>
      </c>
    </row>
    <row r="820" spans="4:4" x14ac:dyDescent="0.15">
      <c r="D820" s="91" t="s">
        <v>50</v>
      </c>
    </row>
    <row r="821" spans="4:4" x14ac:dyDescent="0.15">
      <c r="D821" s="91" t="s">
        <v>50</v>
      </c>
    </row>
    <row r="822" spans="4:4" x14ac:dyDescent="0.15">
      <c r="D822" s="91" t="s">
        <v>50</v>
      </c>
    </row>
    <row r="823" spans="4:4" x14ac:dyDescent="0.15">
      <c r="D823" s="91" t="s">
        <v>50</v>
      </c>
    </row>
    <row r="824" spans="4:4" x14ac:dyDescent="0.15">
      <c r="D824" s="91" t="s">
        <v>50</v>
      </c>
    </row>
    <row r="825" spans="4:4" x14ac:dyDescent="0.15">
      <c r="D825" s="91" t="s">
        <v>50</v>
      </c>
    </row>
    <row r="826" spans="4:4" x14ac:dyDescent="0.15">
      <c r="D826" s="91" t="s">
        <v>50</v>
      </c>
    </row>
    <row r="827" spans="4:4" x14ac:dyDescent="0.15">
      <c r="D827" s="91" t="s">
        <v>50</v>
      </c>
    </row>
    <row r="828" spans="4:4" x14ac:dyDescent="0.15">
      <c r="D828" s="91" t="s">
        <v>50</v>
      </c>
    </row>
    <row r="829" spans="4:4" x14ac:dyDescent="0.15">
      <c r="D829" s="91" t="s">
        <v>50</v>
      </c>
    </row>
    <row r="830" spans="4:4" x14ac:dyDescent="0.15">
      <c r="D830" s="91" t="s">
        <v>50</v>
      </c>
    </row>
    <row r="831" spans="4:4" x14ac:dyDescent="0.15">
      <c r="D831" s="91" t="s">
        <v>50</v>
      </c>
    </row>
    <row r="832" spans="4:4" x14ac:dyDescent="0.15">
      <c r="D832" s="91" t="s">
        <v>50</v>
      </c>
    </row>
    <row r="833" spans="4:4" x14ac:dyDescent="0.15">
      <c r="D833" s="91" t="s">
        <v>50</v>
      </c>
    </row>
    <row r="834" spans="4:4" x14ac:dyDescent="0.15">
      <c r="D834" s="91" t="s">
        <v>50</v>
      </c>
    </row>
    <row r="835" spans="4:4" x14ac:dyDescent="0.15">
      <c r="D835" s="91" t="s">
        <v>50</v>
      </c>
    </row>
    <row r="836" spans="4:4" x14ac:dyDescent="0.15">
      <c r="D836" s="91" t="s">
        <v>50</v>
      </c>
    </row>
    <row r="837" spans="4:4" x14ac:dyDescent="0.15">
      <c r="D837" s="91" t="s">
        <v>50</v>
      </c>
    </row>
    <row r="838" spans="4:4" x14ac:dyDescent="0.15">
      <c r="D838" s="91" t="s">
        <v>50</v>
      </c>
    </row>
    <row r="839" spans="4:4" x14ac:dyDescent="0.15">
      <c r="D839" s="91" t="s">
        <v>50</v>
      </c>
    </row>
    <row r="840" spans="4:4" x14ac:dyDescent="0.15">
      <c r="D840" s="91" t="s">
        <v>50</v>
      </c>
    </row>
    <row r="841" spans="4:4" x14ac:dyDescent="0.15">
      <c r="D841" s="91" t="s">
        <v>50</v>
      </c>
    </row>
    <row r="842" spans="4:4" x14ac:dyDescent="0.15">
      <c r="D842" s="91" t="s">
        <v>50</v>
      </c>
    </row>
    <row r="843" spans="4:4" x14ac:dyDescent="0.15">
      <c r="D843" s="91" t="s">
        <v>50</v>
      </c>
    </row>
    <row r="844" spans="4:4" x14ac:dyDescent="0.15">
      <c r="D844" s="91" t="s">
        <v>50</v>
      </c>
    </row>
    <row r="845" spans="4:4" x14ac:dyDescent="0.15">
      <c r="D845" s="91" t="s">
        <v>50</v>
      </c>
    </row>
    <row r="846" spans="4:4" x14ac:dyDescent="0.15">
      <c r="D846" s="91" t="s">
        <v>50</v>
      </c>
    </row>
    <row r="847" spans="4:4" x14ac:dyDescent="0.15">
      <c r="D847" s="91" t="s">
        <v>50</v>
      </c>
    </row>
    <row r="848" spans="4:4" x14ac:dyDescent="0.15">
      <c r="D848" s="91" t="s">
        <v>50</v>
      </c>
    </row>
    <row r="849" spans="4:4" x14ac:dyDescent="0.15">
      <c r="D849" s="91" t="s">
        <v>50</v>
      </c>
    </row>
    <row r="850" spans="4:4" x14ac:dyDescent="0.15">
      <c r="D850" s="91" t="s">
        <v>50</v>
      </c>
    </row>
    <row r="851" spans="4:4" x14ac:dyDescent="0.15">
      <c r="D851" s="91" t="s">
        <v>50</v>
      </c>
    </row>
    <row r="852" spans="4:4" x14ac:dyDescent="0.15">
      <c r="D852" s="91" t="s">
        <v>50</v>
      </c>
    </row>
    <row r="853" spans="4:4" x14ac:dyDescent="0.15">
      <c r="D853" s="91" t="s">
        <v>50</v>
      </c>
    </row>
    <row r="854" spans="4:4" x14ac:dyDescent="0.15">
      <c r="D854" s="91" t="s">
        <v>50</v>
      </c>
    </row>
    <row r="855" spans="4:4" x14ac:dyDescent="0.15">
      <c r="D855" s="91" t="s">
        <v>50</v>
      </c>
    </row>
    <row r="856" spans="4:4" x14ac:dyDescent="0.15">
      <c r="D856" s="91" t="s">
        <v>50</v>
      </c>
    </row>
    <row r="857" spans="4:4" x14ac:dyDescent="0.15">
      <c r="D857" s="91" t="s">
        <v>50</v>
      </c>
    </row>
    <row r="858" spans="4:4" x14ac:dyDescent="0.15">
      <c r="D858" s="91" t="s">
        <v>50</v>
      </c>
    </row>
    <row r="859" spans="4:4" x14ac:dyDescent="0.15">
      <c r="D859" s="91" t="s">
        <v>50</v>
      </c>
    </row>
    <row r="860" spans="4:4" x14ac:dyDescent="0.15">
      <c r="D860" s="91" t="s">
        <v>50</v>
      </c>
    </row>
    <row r="861" spans="4:4" x14ac:dyDescent="0.15">
      <c r="D861" s="91" t="s">
        <v>50</v>
      </c>
    </row>
    <row r="862" spans="4:4" x14ac:dyDescent="0.15">
      <c r="D862" s="91" t="s">
        <v>50</v>
      </c>
    </row>
    <row r="863" spans="4:4" x14ac:dyDescent="0.15">
      <c r="D863" s="91" t="s">
        <v>50</v>
      </c>
    </row>
    <row r="864" spans="4:4" x14ac:dyDescent="0.15">
      <c r="D864" s="91" t="s">
        <v>50</v>
      </c>
    </row>
    <row r="865" spans="4:4" x14ac:dyDescent="0.15">
      <c r="D865" s="91" t="s">
        <v>50</v>
      </c>
    </row>
    <row r="866" spans="4:4" x14ac:dyDescent="0.15">
      <c r="D866" s="91" t="s">
        <v>50</v>
      </c>
    </row>
    <row r="867" spans="4:4" x14ac:dyDescent="0.15">
      <c r="D867" s="91" t="s">
        <v>50</v>
      </c>
    </row>
    <row r="868" spans="4:4" x14ac:dyDescent="0.15">
      <c r="D868" s="91" t="s">
        <v>50</v>
      </c>
    </row>
    <row r="869" spans="4:4" x14ac:dyDescent="0.15">
      <c r="D869" s="91" t="s">
        <v>50</v>
      </c>
    </row>
    <row r="870" spans="4:4" x14ac:dyDescent="0.15">
      <c r="D870" s="91" t="s">
        <v>50</v>
      </c>
    </row>
    <row r="871" spans="4:4" x14ac:dyDescent="0.15">
      <c r="D871" s="91" t="s">
        <v>50</v>
      </c>
    </row>
    <row r="872" spans="4:4" x14ac:dyDescent="0.15">
      <c r="D872" s="91" t="s">
        <v>50</v>
      </c>
    </row>
    <row r="873" spans="4:4" x14ac:dyDescent="0.15">
      <c r="D873" s="91" t="s">
        <v>50</v>
      </c>
    </row>
    <row r="874" spans="4:4" x14ac:dyDescent="0.15">
      <c r="D874" s="91" t="s">
        <v>50</v>
      </c>
    </row>
    <row r="875" spans="4:4" x14ac:dyDescent="0.15">
      <c r="D875" s="91" t="s">
        <v>50</v>
      </c>
    </row>
    <row r="876" spans="4:4" x14ac:dyDescent="0.15">
      <c r="D876" s="91" t="s">
        <v>50</v>
      </c>
    </row>
    <row r="877" spans="4:4" x14ac:dyDescent="0.15">
      <c r="D877" s="91" t="s">
        <v>50</v>
      </c>
    </row>
    <row r="878" spans="4:4" x14ac:dyDescent="0.15">
      <c r="D878" s="91" t="s">
        <v>50</v>
      </c>
    </row>
    <row r="879" spans="4:4" x14ac:dyDescent="0.15">
      <c r="D879" s="91" t="s">
        <v>50</v>
      </c>
    </row>
    <row r="880" spans="4:4" x14ac:dyDescent="0.15">
      <c r="D880" s="91" t="s">
        <v>50</v>
      </c>
    </row>
    <row r="881" spans="4:4" x14ac:dyDescent="0.15">
      <c r="D881" s="91" t="s">
        <v>50</v>
      </c>
    </row>
    <row r="882" spans="4:4" x14ac:dyDescent="0.15">
      <c r="D882" s="91" t="s">
        <v>50</v>
      </c>
    </row>
    <row r="883" spans="4:4" x14ac:dyDescent="0.15">
      <c r="D883" s="91" t="s">
        <v>50</v>
      </c>
    </row>
    <row r="884" spans="4:4" x14ac:dyDescent="0.15">
      <c r="D884" s="91" t="s">
        <v>50</v>
      </c>
    </row>
    <row r="885" spans="4:4" x14ac:dyDescent="0.15">
      <c r="D885" s="91" t="s">
        <v>50</v>
      </c>
    </row>
    <row r="886" spans="4:4" x14ac:dyDescent="0.15">
      <c r="D886" s="91" t="s">
        <v>50</v>
      </c>
    </row>
    <row r="887" spans="4:4" x14ac:dyDescent="0.15">
      <c r="D887" s="91" t="s">
        <v>50</v>
      </c>
    </row>
    <row r="888" spans="4:4" x14ac:dyDescent="0.15">
      <c r="D888" s="91" t="s">
        <v>50</v>
      </c>
    </row>
    <row r="889" spans="4:4" x14ac:dyDescent="0.15">
      <c r="D889" s="91" t="s">
        <v>50</v>
      </c>
    </row>
    <row r="890" spans="4:4" x14ac:dyDescent="0.15">
      <c r="D890" s="91" t="s">
        <v>50</v>
      </c>
    </row>
    <row r="891" spans="4:4" x14ac:dyDescent="0.15">
      <c r="D891" s="91" t="s">
        <v>50</v>
      </c>
    </row>
    <row r="892" spans="4:4" x14ac:dyDescent="0.15">
      <c r="D892" s="91" t="s">
        <v>50</v>
      </c>
    </row>
    <row r="893" spans="4:4" x14ac:dyDescent="0.15">
      <c r="D893" s="91" t="s">
        <v>50</v>
      </c>
    </row>
    <row r="894" spans="4:4" x14ac:dyDescent="0.15">
      <c r="D894" s="91" t="s">
        <v>50</v>
      </c>
    </row>
    <row r="895" spans="4:4" x14ac:dyDescent="0.15">
      <c r="D895" s="91" t="s">
        <v>50</v>
      </c>
    </row>
    <row r="896" spans="4:4" x14ac:dyDescent="0.15">
      <c r="D896" s="91" t="s">
        <v>50</v>
      </c>
    </row>
    <row r="897" spans="4:4" x14ac:dyDescent="0.15">
      <c r="D897" s="91" t="s">
        <v>50</v>
      </c>
    </row>
    <row r="898" spans="4:4" x14ac:dyDescent="0.15">
      <c r="D898" s="91" t="s">
        <v>50</v>
      </c>
    </row>
    <row r="899" spans="4:4" x14ac:dyDescent="0.15">
      <c r="D899" s="91" t="s">
        <v>50</v>
      </c>
    </row>
    <row r="900" spans="4:4" x14ac:dyDescent="0.15">
      <c r="D900" s="91" t="s">
        <v>50</v>
      </c>
    </row>
    <row r="901" spans="4:4" x14ac:dyDescent="0.15">
      <c r="D901" s="91" t="s">
        <v>50</v>
      </c>
    </row>
    <row r="902" spans="4:4" x14ac:dyDescent="0.15">
      <c r="D902" s="91" t="s">
        <v>50</v>
      </c>
    </row>
    <row r="903" spans="4:4" x14ac:dyDescent="0.15">
      <c r="D903" s="91" t="s">
        <v>50</v>
      </c>
    </row>
    <row r="904" spans="4:4" x14ac:dyDescent="0.15">
      <c r="D904" s="91" t="s">
        <v>50</v>
      </c>
    </row>
    <row r="905" spans="4:4" x14ac:dyDescent="0.15">
      <c r="D905" s="91" t="s">
        <v>50</v>
      </c>
    </row>
    <row r="906" spans="4:4" x14ac:dyDescent="0.15">
      <c r="D906" s="91" t="s">
        <v>50</v>
      </c>
    </row>
    <row r="907" spans="4:4" x14ac:dyDescent="0.15">
      <c r="D907" s="91" t="s">
        <v>50</v>
      </c>
    </row>
    <row r="908" spans="4:4" x14ac:dyDescent="0.15">
      <c r="D908" s="91" t="s">
        <v>50</v>
      </c>
    </row>
    <row r="909" spans="4:4" x14ac:dyDescent="0.15">
      <c r="D909" s="91" t="s">
        <v>50</v>
      </c>
    </row>
    <row r="910" spans="4:4" x14ac:dyDescent="0.15">
      <c r="D910" s="91" t="s">
        <v>50</v>
      </c>
    </row>
    <row r="911" spans="4:4" x14ac:dyDescent="0.15">
      <c r="D911" s="91" t="s">
        <v>50</v>
      </c>
    </row>
    <row r="912" spans="4:4" x14ac:dyDescent="0.15">
      <c r="D912" s="91" t="s">
        <v>50</v>
      </c>
    </row>
    <row r="913" spans="4:4" x14ac:dyDescent="0.15">
      <c r="D913" s="91" t="s">
        <v>50</v>
      </c>
    </row>
    <row r="914" spans="4:4" x14ac:dyDescent="0.15">
      <c r="D914" s="91" t="s">
        <v>50</v>
      </c>
    </row>
    <row r="915" spans="4:4" x14ac:dyDescent="0.15">
      <c r="D915" s="91" t="s">
        <v>50</v>
      </c>
    </row>
    <row r="916" spans="4:4" x14ac:dyDescent="0.15">
      <c r="D916" s="91" t="s">
        <v>50</v>
      </c>
    </row>
    <row r="917" spans="4:4" x14ac:dyDescent="0.15">
      <c r="D917" s="91" t="s">
        <v>50</v>
      </c>
    </row>
    <row r="918" spans="4:4" x14ac:dyDescent="0.15">
      <c r="D918" s="91" t="s">
        <v>50</v>
      </c>
    </row>
    <row r="919" spans="4:4" x14ac:dyDescent="0.15">
      <c r="D919" s="91" t="s">
        <v>50</v>
      </c>
    </row>
    <row r="920" spans="4:4" x14ac:dyDescent="0.15">
      <c r="D920" s="91" t="s">
        <v>50</v>
      </c>
    </row>
    <row r="921" spans="4:4" x14ac:dyDescent="0.15">
      <c r="D921" s="91" t="s">
        <v>50</v>
      </c>
    </row>
    <row r="922" spans="4:4" x14ac:dyDescent="0.15">
      <c r="D922" s="91" t="s">
        <v>50</v>
      </c>
    </row>
    <row r="923" spans="4:4" x14ac:dyDescent="0.15">
      <c r="D923" s="91" t="s">
        <v>50</v>
      </c>
    </row>
    <row r="924" spans="4:4" x14ac:dyDescent="0.15">
      <c r="D924" s="91" t="s">
        <v>50</v>
      </c>
    </row>
    <row r="925" spans="4:4" x14ac:dyDescent="0.15">
      <c r="D925" s="91" t="s">
        <v>50</v>
      </c>
    </row>
    <row r="926" spans="4:4" x14ac:dyDescent="0.15">
      <c r="D926" s="91" t="s">
        <v>50</v>
      </c>
    </row>
    <row r="927" spans="4:4" x14ac:dyDescent="0.15">
      <c r="D927" s="91" t="s">
        <v>50</v>
      </c>
    </row>
    <row r="928" spans="4:4" x14ac:dyDescent="0.15">
      <c r="D928" s="91" t="s">
        <v>50</v>
      </c>
    </row>
    <row r="929" spans="4:4" x14ac:dyDescent="0.15">
      <c r="D929" s="91" t="s">
        <v>50</v>
      </c>
    </row>
    <row r="930" spans="4:4" x14ac:dyDescent="0.15">
      <c r="D930" s="91" t="s">
        <v>50</v>
      </c>
    </row>
    <row r="931" spans="4:4" x14ac:dyDescent="0.15">
      <c r="D931" s="91" t="s">
        <v>50</v>
      </c>
    </row>
    <row r="932" spans="4:4" x14ac:dyDescent="0.15">
      <c r="D932" s="91" t="s">
        <v>50</v>
      </c>
    </row>
    <row r="933" spans="4:4" x14ac:dyDescent="0.15">
      <c r="D933" s="91" t="s">
        <v>50</v>
      </c>
    </row>
    <row r="934" spans="4:4" x14ac:dyDescent="0.15">
      <c r="D934" s="91" t="s">
        <v>50</v>
      </c>
    </row>
    <row r="935" spans="4:4" x14ac:dyDescent="0.15">
      <c r="D935" s="91" t="s">
        <v>50</v>
      </c>
    </row>
    <row r="936" spans="4:4" x14ac:dyDescent="0.15">
      <c r="D936" s="91" t="s">
        <v>50</v>
      </c>
    </row>
    <row r="937" spans="4:4" x14ac:dyDescent="0.15">
      <c r="D937" s="91" t="s">
        <v>50</v>
      </c>
    </row>
    <row r="938" spans="4:4" x14ac:dyDescent="0.15">
      <c r="D938" s="91" t="s">
        <v>50</v>
      </c>
    </row>
    <row r="939" spans="4:4" x14ac:dyDescent="0.15">
      <c r="D939" s="91" t="s">
        <v>50</v>
      </c>
    </row>
    <row r="940" spans="4:4" x14ac:dyDescent="0.15">
      <c r="D940" s="91" t="s">
        <v>50</v>
      </c>
    </row>
    <row r="941" spans="4:4" x14ac:dyDescent="0.15">
      <c r="D941" s="91" t="s">
        <v>50</v>
      </c>
    </row>
    <row r="942" spans="4:4" x14ac:dyDescent="0.15">
      <c r="D942" s="91" t="s">
        <v>50</v>
      </c>
    </row>
    <row r="943" spans="4:4" x14ac:dyDescent="0.15">
      <c r="D943" s="91" t="s">
        <v>50</v>
      </c>
    </row>
    <row r="944" spans="4:4" x14ac:dyDescent="0.15">
      <c r="D944" s="91" t="s">
        <v>50</v>
      </c>
    </row>
    <row r="945" spans="4:4" x14ac:dyDescent="0.15">
      <c r="D945" s="91" t="s">
        <v>50</v>
      </c>
    </row>
    <row r="946" spans="4:4" x14ac:dyDescent="0.15">
      <c r="D946" s="91" t="s">
        <v>50</v>
      </c>
    </row>
    <row r="947" spans="4:4" x14ac:dyDescent="0.15">
      <c r="D947" s="91" t="s">
        <v>50</v>
      </c>
    </row>
    <row r="948" spans="4:4" x14ac:dyDescent="0.15">
      <c r="D948" s="91" t="s">
        <v>50</v>
      </c>
    </row>
    <row r="949" spans="4:4" x14ac:dyDescent="0.15">
      <c r="D949" s="91" t="s">
        <v>50</v>
      </c>
    </row>
    <row r="950" spans="4:4" x14ac:dyDescent="0.15">
      <c r="D950" s="91" t="s">
        <v>50</v>
      </c>
    </row>
    <row r="951" spans="4:4" x14ac:dyDescent="0.15">
      <c r="D951" s="91" t="s">
        <v>50</v>
      </c>
    </row>
    <row r="952" spans="4:4" x14ac:dyDescent="0.15">
      <c r="D952" s="91" t="s">
        <v>50</v>
      </c>
    </row>
    <row r="953" spans="4:4" x14ac:dyDescent="0.15">
      <c r="D953" s="91" t="s">
        <v>50</v>
      </c>
    </row>
    <row r="954" spans="4:4" x14ac:dyDescent="0.15">
      <c r="D954" s="91" t="s">
        <v>50</v>
      </c>
    </row>
    <row r="955" spans="4:4" x14ac:dyDescent="0.15">
      <c r="D955" s="91" t="s">
        <v>50</v>
      </c>
    </row>
    <row r="956" spans="4:4" x14ac:dyDescent="0.15">
      <c r="D956" s="91" t="s">
        <v>50</v>
      </c>
    </row>
    <row r="957" spans="4:4" x14ac:dyDescent="0.15">
      <c r="D957" s="91" t="s">
        <v>50</v>
      </c>
    </row>
    <row r="958" spans="4:4" x14ac:dyDescent="0.15">
      <c r="D958" s="91" t="s">
        <v>50</v>
      </c>
    </row>
    <row r="959" spans="4:4" x14ac:dyDescent="0.15">
      <c r="D959" s="91" t="s">
        <v>50</v>
      </c>
    </row>
    <row r="960" spans="4:4" x14ac:dyDescent="0.15">
      <c r="D960" s="91" t="s">
        <v>50</v>
      </c>
    </row>
    <row r="961" spans="4:4" x14ac:dyDescent="0.15">
      <c r="D961" s="91" t="s">
        <v>50</v>
      </c>
    </row>
    <row r="962" spans="4:4" x14ac:dyDescent="0.15">
      <c r="D962" s="91" t="s">
        <v>50</v>
      </c>
    </row>
    <row r="963" spans="4:4" x14ac:dyDescent="0.15">
      <c r="D963" s="91" t="s">
        <v>50</v>
      </c>
    </row>
    <row r="964" spans="4:4" x14ac:dyDescent="0.15">
      <c r="D964" s="91" t="s">
        <v>50</v>
      </c>
    </row>
    <row r="965" spans="4:4" x14ac:dyDescent="0.15">
      <c r="D965" s="91" t="s">
        <v>50</v>
      </c>
    </row>
    <row r="966" spans="4:4" x14ac:dyDescent="0.15">
      <c r="D966" s="91" t="s">
        <v>50</v>
      </c>
    </row>
    <row r="967" spans="4:4" x14ac:dyDescent="0.15">
      <c r="D967" s="91" t="s">
        <v>50</v>
      </c>
    </row>
    <row r="968" spans="4:4" x14ac:dyDescent="0.15">
      <c r="D968" s="91" t="s">
        <v>50</v>
      </c>
    </row>
    <row r="969" spans="4:4" x14ac:dyDescent="0.15">
      <c r="D969" s="91" t="s">
        <v>50</v>
      </c>
    </row>
    <row r="970" spans="4:4" x14ac:dyDescent="0.15">
      <c r="D970" s="91" t="s">
        <v>50</v>
      </c>
    </row>
    <row r="971" spans="4:4" x14ac:dyDescent="0.15">
      <c r="D971" s="91" t="s">
        <v>50</v>
      </c>
    </row>
    <row r="972" spans="4:4" x14ac:dyDescent="0.15">
      <c r="D972" s="91" t="s">
        <v>50</v>
      </c>
    </row>
    <row r="973" spans="4:4" x14ac:dyDescent="0.15">
      <c r="D973" s="91" t="s">
        <v>50</v>
      </c>
    </row>
    <row r="974" spans="4:4" x14ac:dyDescent="0.15">
      <c r="D974" s="91" t="s">
        <v>50</v>
      </c>
    </row>
    <row r="975" spans="4:4" x14ac:dyDescent="0.15">
      <c r="D975" s="91" t="s">
        <v>50</v>
      </c>
    </row>
    <row r="976" spans="4:4" x14ac:dyDescent="0.15">
      <c r="D976" s="91" t="s">
        <v>50</v>
      </c>
    </row>
    <row r="977" spans="4:4" x14ac:dyDescent="0.15">
      <c r="D977" s="91" t="s">
        <v>50</v>
      </c>
    </row>
    <row r="978" spans="4:4" x14ac:dyDescent="0.15">
      <c r="D978" s="91" t="s">
        <v>50</v>
      </c>
    </row>
    <row r="979" spans="4:4" x14ac:dyDescent="0.15">
      <c r="D979" s="91" t="s">
        <v>50</v>
      </c>
    </row>
    <row r="980" spans="4:4" x14ac:dyDescent="0.15">
      <c r="D980" s="91" t="s">
        <v>50</v>
      </c>
    </row>
    <row r="981" spans="4:4" x14ac:dyDescent="0.15">
      <c r="D981" s="91" t="s">
        <v>50</v>
      </c>
    </row>
    <row r="982" spans="4:4" x14ac:dyDescent="0.15">
      <c r="D982" s="91" t="s">
        <v>50</v>
      </c>
    </row>
    <row r="983" spans="4:4" x14ac:dyDescent="0.15">
      <c r="D983" s="91" t="s">
        <v>50</v>
      </c>
    </row>
    <row r="984" spans="4:4" x14ac:dyDescent="0.15">
      <c r="D984" s="91" t="s">
        <v>50</v>
      </c>
    </row>
    <row r="985" spans="4:4" x14ac:dyDescent="0.15">
      <c r="D985" s="91" t="s">
        <v>50</v>
      </c>
    </row>
    <row r="986" spans="4:4" x14ac:dyDescent="0.15">
      <c r="D986" s="91" t="s">
        <v>50</v>
      </c>
    </row>
    <row r="987" spans="4:4" x14ac:dyDescent="0.15">
      <c r="D987" s="91" t="s">
        <v>50</v>
      </c>
    </row>
    <row r="988" spans="4:4" x14ac:dyDescent="0.15">
      <c r="D988" s="91" t="s">
        <v>50</v>
      </c>
    </row>
    <row r="989" spans="4:4" x14ac:dyDescent="0.15">
      <c r="D989" s="91" t="s">
        <v>50</v>
      </c>
    </row>
    <row r="990" spans="4:4" x14ac:dyDescent="0.15">
      <c r="D990" s="91" t="s">
        <v>50</v>
      </c>
    </row>
    <row r="991" spans="4:4" x14ac:dyDescent="0.15">
      <c r="D991" s="91" t="s">
        <v>50</v>
      </c>
    </row>
    <row r="992" spans="4:4" x14ac:dyDescent="0.15">
      <c r="D992" s="91" t="s">
        <v>50</v>
      </c>
    </row>
    <row r="993" spans="4:4" x14ac:dyDescent="0.15">
      <c r="D993" s="91" t="s">
        <v>50</v>
      </c>
    </row>
    <row r="994" spans="4:4" x14ac:dyDescent="0.15">
      <c r="D994" s="91" t="s">
        <v>50</v>
      </c>
    </row>
    <row r="995" spans="4:4" x14ac:dyDescent="0.15">
      <c r="D995" s="91" t="s">
        <v>50</v>
      </c>
    </row>
    <row r="996" spans="4:4" x14ac:dyDescent="0.15">
      <c r="D996" s="91" t="s">
        <v>50</v>
      </c>
    </row>
    <row r="997" spans="4:4" x14ac:dyDescent="0.15">
      <c r="D997" s="91" t="s">
        <v>50</v>
      </c>
    </row>
    <row r="998" spans="4:4" x14ac:dyDescent="0.15">
      <c r="D998" s="91" t="s">
        <v>50</v>
      </c>
    </row>
    <row r="999" spans="4:4" x14ac:dyDescent="0.15">
      <c r="D999" s="91" t="s">
        <v>50</v>
      </c>
    </row>
    <row r="1000" spans="4:4" x14ac:dyDescent="0.15">
      <c r="D1000" s="91" t="s">
        <v>50</v>
      </c>
    </row>
    <row r="1001" spans="4:4" x14ac:dyDescent="0.15">
      <c r="D1001" s="91" t="s">
        <v>50</v>
      </c>
    </row>
    <row r="1002" spans="4:4" x14ac:dyDescent="0.15">
      <c r="D1002" s="91" t="s">
        <v>50</v>
      </c>
    </row>
    <row r="1003" spans="4:4" x14ac:dyDescent="0.15">
      <c r="D1003" s="91" t="s">
        <v>50</v>
      </c>
    </row>
    <row r="1004" spans="4:4" x14ac:dyDescent="0.15">
      <c r="D1004" s="91" t="s">
        <v>50</v>
      </c>
    </row>
    <row r="1005" spans="4:4" x14ac:dyDescent="0.15">
      <c r="D1005" s="91" t="s">
        <v>50</v>
      </c>
    </row>
    <row r="1006" spans="4:4" x14ac:dyDescent="0.15">
      <c r="D1006" s="159"/>
    </row>
    <row r="1007" spans="4:4" x14ac:dyDescent="0.15">
      <c r="D1007" s="81"/>
    </row>
  </sheetData>
  <phoneticPr fontId="33" type="noConversion"/>
  <conditionalFormatting sqref="L1:L1048576">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A2:B35"/>
  <sheetViews>
    <sheetView topLeftCell="A14" zoomScaleNormal="60" zoomScaleSheetLayoutView="100" workbookViewId="0">
      <selection activeCell="A2" sqref="A2:B35"/>
    </sheetView>
  </sheetViews>
  <sheetFormatPr defaultRowHeight="13.5" x14ac:dyDescent="0.15"/>
  <sheetData>
    <row r="2" spans="1:2" x14ac:dyDescent="0.15">
      <c r="B2">
        <v>6</v>
      </c>
    </row>
    <row r="3" spans="1:2" x14ac:dyDescent="0.15">
      <c r="A3">
        <v>12</v>
      </c>
      <c r="B3">
        <v>1</v>
      </c>
    </row>
    <row r="5" spans="1:2" x14ac:dyDescent="0.15">
      <c r="B5">
        <v>2</v>
      </c>
    </row>
    <row r="6" spans="1:2" x14ac:dyDescent="0.15">
      <c r="A6">
        <v>54</v>
      </c>
    </row>
    <row r="7" spans="1:2" x14ac:dyDescent="0.15">
      <c r="A7">
        <v>5</v>
      </c>
      <c r="B7">
        <v>5</v>
      </c>
    </row>
    <row r="8" spans="1:2" x14ac:dyDescent="0.15">
      <c r="A8">
        <v>14</v>
      </c>
      <c r="B8">
        <v>1</v>
      </c>
    </row>
    <row r="9" spans="1:2" x14ac:dyDescent="0.15">
      <c r="A9">
        <v>10</v>
      </c>
      <c r="B9">
        <v>1</v>
      </c>
    </row>
    <row r="10" spans="1:2" x14ac:dyDescent="0.15">
      <c r="A10">
        <v>14</v>
      </c>
      <c r="B10">
        <v>1</v>
      </c>
    </row>
    <row r="11" spans="1:2" x14ac:dyDescent="0.15">
      <c r="A11">
        <v>18</v>
      </c>
    </row>
    <row r="12" spans="1:2" x14ac:dyDescent="0.15">
      <c r="B12">
        <v>16</v>
      </c>
    </row>
    <row r="14" spans="1:2" x14ac:dyDescent="0.15">
      <c r="A14">
        <v>20</v>
      </c>
      <c r="B14">
        <v>1</v>
      </c>
    </row>
    <row r="15" spans="1:2" x14ac:dyDescent="0.15">
      <c r="A15">
        <v>65</v>
      </c>
      <c r="B15">
        <v>1</v>
      </c>
    </row>
    <row r="16" spans="1:2" x14ac:dyDescent="0.15">
      <c r="A16">
        <v>20</v>
      </c>
      <c r="B16">
        <v>1</v>
      </c>
    </row>
    <row r="17" spans="1:2" x14ac:dyDescent="0.15">
      <c r="A17">
        <v>22</v>
      </c>
      <c r="B17">
        <v>8</v>
      </c>
    </row>
    <row r="18" spans="1:2" x14ac:dyDescent="0.15">
      <c r="A18">
        <v>4</v>
      </c>
      <c r="B18">
        <v>6</v>
      </c>
    </row>
    <row r="20" spans="1:2" x14ac:dyDescent="0.15">
      <c r="A20">
        <v>44</v>
      </c>
      <c r="B20">
        <v>2</v>
      </c>
    </row>
    <row r="21" spans="1:2" x14ac:dyDescent="0.15">
      <c r="A21">
        <v>34</v>
      </c>
      <c r="B21">
        <v>2</v>
      </c>
    </row>
    <row r="24" spans="1:2" x14ac:dyDescent="0.15">
      <c r="A24">
        <v>18</v>
      </c>
      <c r="B24">
        <v>2</v>
      </c>
    </row>
    <row r="25" spans="1:2" x14ac:dyDescent="0.15">
      <c r="A25">
        <v>72</v>
      </c>
      <c r="B25">
        <v>1</v>
      </c>
    </row>
    <row r="26" spans="1:2" x14ac:dyDescent="0.15">
      <c r="A26">
        <v>4</v>
      </c>
      <c r="B26">
        <v>1</v>
      </c>
    </row>
    <row r="27" spans="1:2" x14ac:dyDescent="0.15">
      <c r="A27">
        <v>22</v>
      </c>
    </row>
    <row r="28" spans="1:2" x14ac:dyDescent="0.15">
      <c r="A28">
        <v>19</v>
      </c>
      <c r="B28">
        <v>6</v>
      </c>
    </row>
    <row r="29" spans="1:2" x14ac:dyDescent="0.15">
      <c r="A29">
        <v>9</v>
      </c>
    </row>
    <row r="32" spans="1:2" x14ac:dyDescent="0.15">
      <c r="A32">
        <v>9</v>
      </c>
      <c r="B32">
        <v>4</v>
      </c>
    </row>
    <row r="33" spans="1:2" x14ac:dyDescent="0.15">
      <c r="A33">
        <v>6</v>
      </c>
    </row>
    <row r="34" spans="1:2" x14ac:dyDescent="0.15">
      <c r="A34">
        <v>6</v>
      </c>
      <c r="B34">
        <v>3</v>
      </c>
    </row>
    <row r="35" spans="1:2" x14ac:dyDescent="0.15">
      <c r="A35">
        <v>20</v>
      </c>
      <c r="B35">
        <v>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topLeftCell="D5" workbookViewId="0">
      <selection activeCell="D9" sqref="D9"/>
    </sheetView>
  </sheetViews>
  <sheetFormatPr defaultColWidth="10.05078125" defaultRowHeight="13.5" x14ac:dyDescent="0.15"/>
  <cols>
    <col min="1" max="1" width="1.71484375" style="78" customWidth="1"/>
    <col min="2" max="2" width="3.4296875" style="79" customWidth="1"/>
    <col min="3" max="3" width="8.578125" style="92"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40</v>
      </c>
      <c r="E2" s="52" t="s">
        <v>41</v>
      </c>
      <c r="F2" s="52" t="s">
        <v>42</v>
      </c>
      <c r="G2" s="53" t="s">
        <v>43</v>
      </c>
      <c r="H2" s="94"/>
      <c r="I2" s="94"/>
      <c r="J2" s="94"/>
      <c r="K2" s="94"/>
    </row>
    <row r="3" spans="2:11" x14ac:dyDescent="0.15">
      <c r="B3" s="86" t="s">
        <v>44</v>
      </c>
      <c r="C3" s="95" t="s">
        <v>63</v>
      </c>
      <c r="D3" s="60" t="s">
        <v>11</v>
      </c>
      <c r="E3" s="60" t="s">
        <v>45</v>
      </c>
      <c r="F3" s="60" t="s">
        <v>12</v>
      </c>
      <c r="G3" s="84" t="s">
        <v>64</v>
      </c>
      <c r="H3" s="84" t="s">
        <v>15</v>
      </c>
      <c r="I3" s="84" t="s">
        <v>65</v>
      </c>
      <c r="J3" s="84" t="s">
        <v>66</v>
      </c>
      <c r="K3" s="86" t="s">
        <v>67</v>
      </c>
    </row>
    <row r="4" spans="2:11" x14ac:dyDescent="0.15">
      <c r="B4" s="87">
        <v>1</v>
      </c>
      <c r="C4" s="96">
        <v>45575</v>
      </c>
      <c r="D4" s="27" t="s">
        <v>29</v>
      </c>
      <c r="E4" s="27" t="str">
        <f>IFERROR(VLOOKUP($D4,烤漆色號編碼!$A:$C,3,FALSE),"-")</f>
        <v>白亮光</v>
      </c>
      <c r="F4" s="27" t="str">
        <f>IFERROR(VLOOKUP($D4,烤漆色號編碼!$A:$C,2,FALSE),"-")</f>
        <v>WE</v>
      </c>
      <c r="G4" s="64">
        <v>20</v>
      </c>
      <c r="H4" s="64"/>
      <c r="I4" s="27">
        <f>IFERROR(VLOOKUP($D4,烤漆色號編碼!$A:$D,4,FALSE)*G4+H4,"-")</f>
        <v>500</v>
      </c>
      <c r="J4" s="64">
        <v>2024</v>
      </c>
      <c r="K4" s="97">
        <v>12</v>
      </c>
    </row>
    <row r="5" spans="2:11" x14ac:dyDescent="0.15">
      <c r="B5" s="87">
        <v>2</v>
      </c>
      <c r="C5" s="96"/>
      <c r="D5" s="27" t="s">
        <v>29</v>
      </c>
      <c r="E5" s="27" t="str">
        <f>IFERROR(VLOOKUP($D5,烤漆色號編碼!$A:$C,3,FALSE),"-")</f>
        <v>白亮光</v>
      </c>
      <c r="F5" s="27" t="str">
        <f>IFERROR(VLOOKUP($D5,烤漆色號編碼!$A:$C,2,FALSE),"-")</f>
        <v>WE</v>
      </c>
      <c r="G5" s="64">
        <v>20</v>
      </c>
      <c r="H5" s="64"/>
      <c r="I5" s="27">
        <f>IFERROR(VLOOKUP($D5,烤漆色號編碼!$A:$D,4,FALSE)*G5+H5,"-")</f>
        <v>500</v>
      </c>
      <c r="J5" s="64">
        <v>2024</v>
      </c>
      <c r="K5" s="98">
        <v>12</v>
      </c>
    </row>
    <row r="6" spans="2:11" x14ac:dyDescent="0.15">
      <c r="B6" s="87">
        <v>3</v>
      </c>
      <c r="C6" s="96"/>
      <c r="D6" s="27" t="s">
        <v>37</v>
      </c>
      <c r="E6" s="27" t="str">
        <f>IFERROR(VLOOKUP($D6,烤漆色號編碼!$A:$C,3,FALSE),"-")</f>
        <v>新黑砂</v>
      </c>
      <c r="F6" s="27" t="str">
        <f>IFERROR(VLOOKUP($D6,烤漆色號編碼!$A:$C,2,FALSE),"-")</f>
        <v>BKS1</v>
      </c>
      <c r="G6" s="64">
        <v>20</v>
      </c>
      <c r="H6" s="64"/>
      <c r="I6" s="27">
        <f>IFERROR(VLOOKUP($D6,烤漆色號編碼!$A:$D,4,FALSE)*G6+H6,"-")</f>
        <v>500</v>
      </c>
      <c r="J6" s="64">
        <v>2024</v>
      </c>
      <c r="K6" s="97">
        <v>12</v>
      </c>
    </row>
    <row r="7" spans="2:11" x14ac:dyDescent="0.15">
      <c r="B7" s="87">
        <v>4</v>
      </c>
      <c r="C7" s="96">
        <v>45594</v>
      </c>
      <c r="D7" s="27" t="s">
        <v>39</v>
      </c>
      <c r="E7" s="27" t="str">
        <f>IFERROR(VLOOKUP($D7,烤漆色號編碼!$A:$C,3,FALSE),"-")</f>
        <v>黃亮光</v>
      </c>
      <c r="F7" s="27" t="str">
        <f>IFERROR(VLOOKUP($D7,烤漆色號編碼!$A:$C,2,FALSE),"-")</f>
        <v>YW1</v>
      </c>
      <c r="G7" s="64">
        <v>2</v>
      </c>
      <c r="H7" s="64"/>
      <c r="I7" s="27">
        <f>IFERROR(VLOOKUP($D7,烤漆色號編碼!$A:$D,4,FALSE)*G7+H7,"-")</f>
        <v>50</v>
      </c>
      <c r="J7" s="64">
        <v>2024</v>
      </c>
      <c r="K7" s="98">
        <v>12</v>
      </c>
    </row>
    <row r="8" spans="2:11" x14ac:dyDescent="0.15">
      <c r="B8" s="87">
        <v>5</v>
      </c>
      <c r="C8" s="96"/>
      <c r="D8" s="27" t="s">
        <v>39</v>
      </c>
      <c r="E8" s="27" t="str">
        <f>IFERROR(VLOOKUP($D8,烤漆色號編碼!$A:$C,3,FALSE),"-")</f>
        <v>黃亮光</v>
      </c>
      <c r="F8" s="27" t="str">
        <f>IFERROR(VLOOKUP($D8,烤漆色號編碼!$A:$C,2,FALSE),"-")</f>
        <v>YW1</v>
      </c>
      <c r="G8" s="64">
        <v>4</v>
      </c>
      <c r="H8" s="64"/>
      <c r="I8" s="27">
        <f>IFERROR(VLOOKUP($D8,烤漆色號編碼!$A:$D,4,FALSE)*G8+H8,"-")</f>
        <v>100</v>
      </c>
      <c r="J8" s="64">
        <v>2024</v>
      </c>
      <c r="K8" s="97">
        <v>12</v>
      </c>
    </row>
    <row r="9" spans="2:11" x14ac:dyDescent="0.15">
      <c r="B9" s="87">
        <v>6</v>
      </c>
      <c r="C9" s="96"/>
      <c r="D9" s="27" t="s">
        <v>33</v>
      </c>
      <c r="E9" s="27" t="str">
        <f>IFERROR(VLOOKUP($D9,烤漆色號編碼!$A:$C,3,FALSE),"-")</f>
        <v>消光黑</v>
      </c>
      <c r="F9" s="27" t="str">
        <f>IFERROR(VLOOKUP($D9,烤漆色號編碼!$A:$C,2,FALSE),"-")</f>
        <v>EBK</v>
      </c>
      <c r="G9" s="64">
        <v>2</v>
      </c>
      <c r="H9" s="64"/>
      <c r="I9" s="27">
        <f>IFERROR(VLOOKUP($D9,烤漆色號編碼!$A:$D,4,FALSE)*G9+H9,"-")</f>
        <v>50</v>
      </c>
      <c r="J9" s="64">
        <v>2024</v>
      </c>
      <c r="K9" s="98">
        <v>12</v>
      </c>
    </row>
    <row r="10" spans="2:11" x14ac:dyDescent="0.15">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2024</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2024</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2024</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2024</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2024</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2024</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2024</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2024</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2024</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2024</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2024</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2024</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2024</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2024</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2024</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2024</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2024</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2024</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2024</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2024</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2024</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2024</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2024</v>
      </c>
      <c r="K32" s="97">
        <v>12</v>
      </c>
    </row>
    <row r="33" spans="2:11" x14ac:dyDescent="0.15">
      <c r="B33" s="87">
        <v>30</v>
      </c>
      <c r="C33" s="96"/>
      <c r="D33" s="27"/>
      <c r="E33" s="27" t="str">
        <f>IFERROR(VLOOKUP($D33,烤漆色號編碼!$A:$C,3,FALSE),"-")</f>
        <v>-</v>
      </c>
      <c r="F33" s="27" t="str">
        <f>IFERROR(VLOOKUP($D33,烤漆色號編碼!$A:$C,2,FALSE),"-")</f>
        <v>-</v>
      </c>
      <c r="G33" s="64"/>
      <c r="H33" s="64"/>
      <c r="I33" s="27" t="str">
        <f>IFERROR(VLOOKUP($D33,烤漆色號編碼!$A:$D,4,FALSE)*G33+H33,"-")</f>
        <v>-</v>
      </c>
      <c r="J33" s="64">
        <v>2024</v>
      </c>
      <c r="K33" s="98">
        <v>12</v>
      </c>
    </row>
    <row r="34" spans="2:11" x14ac:dyDescent="0.15">
      <c r="B34" s="87">
        <v>31</v>
      </c>
      <c r="C34" s="96"/>
      <c r="D34" s="27"/>
      <c r="E34" s="27" t="str">
        <f>IFERROR(VLOOKUP($D34,烤漆色號編碼!$A:$C,3,FALSE),"-")</f>
        <v>-</v>
      </c>
      <c r="F34" s="27" t="str">
        <f>IFERROR(VLOOKUP($D34,烤漆色號編碼!$A:$C,2,FALSE),"-")</f>
        <v>-</v>
      </c>
      <c r="G34" s="64"/>
      <c r="H34" s="64"/>
      <c r="I34" s="27" t="str">
        <f>IFERROR(VLOOKUP($D34,烤漆色號編碼!$A:$D,4,FALSE)*G34+H34,"-")</f>
        <v>-</v>
      </c>
      <c r="J34" s="64">
        <v>2024</v>
      </c>
      <c r="K34" s="97">
        <v>12</v>
      </c>
    </row>
    <row r="35" spans="2:11" x14ac:dyDescent="0.15">
      <c r="B35" s="87">
        <v>32</v>
      </c>
      <c r="C35" s="96"/>
      <c r="D35" s="27"/>
      <c r="E35" s="27" t="str">
        <f>IFERROR(VLOOKUP($D35,烤漆色號編碼!$A:$C,3,FALSE),"-")</f>
        <v>-</v>
      </c>
      <c r="F35" s="27" t="str">
        <f>IFERROR(VLOOKUP($D35,烤漆色號編碼!$A:$C,2,FALSE),"-")</f>
        <v>-</v>
      </c>
      <c r="G35" s="64"/>
      <c r="H35" s="64"/>
      <c r="I35" s="27" t="str">
        <f>IFERROR(VLOOKUP($D35,烤漆色號編碼!$A:$D,4,FALSE)*G35+H35,"-")</f>
        <v>-</v>
      </c>
      <c r="J35" s="64">
        <v>2024</v>
      </c>
      <c r="K35" s="98">
        <v>12</v>
      </c>
    </row>
    <row r="36" spans="2:11" x14ac:dyDescent="0.15">
      <c r="B36" s="87">
        <v>33</v>
      </c>
      <c r="C36" s="96"/>
      <c r="D36" s="27"/>
      <c r="E36" s="27" t="str">
        <f>IFERROR(VLOOKUP($D36,烤漆色號編碼!$A:$C,3,FALSE),"-")</f>
        <v>-</v>
      </c>
      <c r="F36" s="27" t="str">
        <f>IFERROR(VLOOKUP($D36,烤漆色號編碼!$A:$C,2,FALSE),"-")</f>
        <v>-</v>
      </c>
      <c r="G36" s="64"/>
      <c r="H36" s="64"/>
      <c r="I36" s="27" t="str">
        <f>IFERROR(VLOOKUP($D36,烤漆色號編碼!$A:$D,4,FALSE)*G36+H36,"-")</f>
        <v>-</v>
      </c>
      <c r="J36" s="64">
        <v>2024</v>
      </c>
      <c r="K36" s="97">
        <v>12</v>
      </c>
    </row>
    <row r="37" spans="2:11" x14ac:dyDescent="0.15">
      <c r="B37" s="87">
        <v>34</v>
      </c>
      <c r="C37" s="96"/>
      <c r="D37" s="27"/>
      <c r="E37" s="27" t="str">
        <f>IFERROR(VLOOKUP($D37,烤漆色號編碼!$A:$C,3,FALSE),"-")</f>
        <v>-</v>
      </c>
      <c r="F37" s="27" t="str">
        <f>IFERROR(VLOOKUP($D37,烤漆色號編碼!$A:$C,2,FALSE),"-")</f>
        <v>-</v>
      </c>
      <c r="G37" s="64"/>
      <c r="H37" s="64"/>
      <c r="I37" s="27" t="str">
        <f>IFERROR(VLOOKUP($D37,烤漆色號編碼!$A:$D,4,FALSE)*G37+H37,"-")</f>
        <v>-</v>
      </c>
      <c r="J37" s="64">
        <v>2024</v>
      </c>
      <c r="K37" s="98">
        <v>12</v>
      </c>
    </row>
    <row r="38" spans="2:11" x14ac:dyDescent="0.15">
      <c r="B38" s="87">
        <v>35</v>
      </c>
      <c r="C38" s="96"/>
      <c r="D38" s="27"/>
      <c r="E38" s="27" t="str">
        <f>IFERROR(VLOOKUP($D38,烤漆色號編碼!$A:$C,3,FALSE),"-")</f>
        <v>-</v>
      </c>
      <c r="F38" s="27" t="str">
        <f>IFERROR(VLOOKUP($D38,烤漆色號編碼!$A:$C,2,FALSE),"-")</f>
        <v>-</v>
      </c>
      <c r="G38" s="64"/>
      <c r="H38" s="64"/>
      <c r="I38" s="27" t="str">
        <f>IFERROR(VLOOKUP($D38,烤漆色號編碼!$A:$D,4,FALSE)*G38+H38,"-")</f>
        <v>-</v>
      </c>
      <c r="J38" s="64">
        <v>1899</v>
      </c>
      <c r="K38" s="97">
        <v>12</v>
      </c>
    </row>
    <row r="39" spans="2:11" x14ac:dyDescent="0.15">
      <c r="B39" s="87">
        <v>36</v>
      </c>
      <c r="C39" s="96"/>
      <c r="D39" s="27"/>
      <c r="E39" s="27" t="str">
        <f>IFERROR(VLOOKUP($D39,烤漆色號編碼!$A:$C,3,FALSE),"-")</f>
        <v>-</v>
      </c>
      <c r="F39" s="27" t="str">
        <f>IFERROR(VLOOKUP($D39,烤漆色號編碼!$A:$C,2,FALSE),"-")</f>
        <v>-</v>
      </c>
      <c r="G39" s="64"/>
      <c r="H39" s="64"/>
      <c r="I39" s="27" t="str">
        <f>IFERROR(VLOOKUP($D39,烤漆色號編碼!$A:$D,4,FALSE)*G39+H39,"-")</f>
        <v>-</v>
      </c>
      <c r="J39" s="64">
        <v>1899</v>
      </c>
      <c r="K39" s="98">
        <v>12</v>
      </c>
    </row>
    <row r="40" spans="2:11" x14ac:dyDescent="0.15">
      <c r="B40" s="87">
        <v>37</v>
      </c>
      <c r="C40" s="96"/>
      <c r="D40" s="27"/>
      <c r="E40" s="27" t="str">
        <f>IFERROR(VLOOKUP($D40,烤漆色號編碼!$A:$C,3,FALSE),"-")</f>
        <v>-</v>
      </c>
      <c r="F40" s="27" t="str">
        <f>IFERROR(VLOOKUP($D40,烤漆色號編碼!$A:$C,2,FALSE),"-")</f>
        <v>-</v>
      </c>
      <c r="G40" s="64"/>
      <c r="H40" s="64"/>
      <c r="I40" s="27" t="str">
        <f>IFERROR(VLOOKUP($D40,烤漆色號編碼!$A:$D,4,FALSE)*G40+H40,"-")</f>
        <v>-</v>
      </c>
      <c r="J40" s="64">
        <v>1899</v>
      </c>
      <c r="K40" s="97">
        <v>12</v>
      </c>
    </row>
    <row r="41" spans="2:11" x14ac:dyDescent="0.15">
      <c r="B41" s="87">
        <v>38</v>
      </c>
      <c r="C41" s="96"/>
      <c r="D41" s="27"/>
      <c r="E41" s="27" t="str">
        <f>IFERROR(VLOOKUP($D41,烤漆色號編碼!$A:$C,3,FALSE),"-")</f>
        <v>-</v>
      </c>
      <c r="F41" s="27" t="str">
        <f>IFERROR(VLOOKUP($D41,烤漆色號編碼!$A:$C,2,FALSE),"-")</f>
        <v>-</v>
      </c>
      <c r="G41" s="64"/>
      <c r="H41" s="64"/>
      <c r="I41" s="27" t="str">
        <f>IFERROR(VLOOKUP($D41,烤漆色號編碼!$A:$D,4,FALSE)*G41+H41,"-")</f>
        <v>-</v>
      </c>
      <c r="J41" s="64">
        <v>1899</v>
      </c>
      <c r="K41" s="98">
        <v>12</v>
      </c>
    </row>
    <row r="42" spans="2:11" x14ac:dyDescent="0.15">
      <c r="B42" s="87">
        <v>39</v>
      </c>
      <c r="C42" s="96"/>
      <c r="D42" s="27"/>
      <c r="E42" s="27" t="str">
        <f>IFERROR(VLOOKUP($D42,烤漆色號編碼!$A:$C,3,FALSE),"-")</f>
        <v>-</v>
      </c>
      <c r="F42" s="27" t="str">
        <f>IFERROR(VLOOKUP($D42,烤漆色號編碼!$A:$C,2,FALSE),"-")</f>
        <v>-</v>
      </c>
      <c r="G42" s="64"/>
      <c r="H42" s="64"/>
      <c r="I42" s="27" t="str">
        <f>IFERROR(VLOOKUP($D42,烤漆色號編碼!$A:$D,4,FALSE)*G42+H42,"-")</f>
        <v>-</v>
      </c>
      <c r="J42" s="64">
        <v>1899</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1899</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1899</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1899</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1899</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1899</v>
      </c>
      <c r="K47" s="98">
        <v>12</v>
      </c>
    </row>
    <row r="48" spans="2:11" x14ac:dyDescent="0.15">
      <c r="B48" s="87">
        <v>45</v>
      </c>
      <c r="C48" s="96"/>
      <c r="D48" s="64"/>
      <c r="E48" s="64" t="s">
        <v>51</v>
      </c>
      <c r="F48" s="64" t="s">
        <v>50</v>
      </c>
      <c r="G48" s="64"/>
      <c r="H48" s="64"/>
      <c r="I48" s="27" t="str">
        <f>IFERROR(VLOOKUP($D48,烤漆色號編碼!$A:$D,4,FALSE)*G48+H48,"-")</f>
        <v>-</v>
      </c>
      <c r="J48" s="64">
        <v>1899</v>
      </c>
      <c r="K48" s="97">
        <v>12</v>
      </c>
    </row>
    <row r="49" spans="2:11" x14ac:dyDescent="0.15">
      <c r="B49" s="87">
        <v>46</v>
      </c>
      <c r="C49" s="96"/>
      <c r="D49" s="64"/>
      <c r="E49" s="64" t="s">
        <v>51</v>
      </c>
      <c r="F49" s="64" t="s">
        <v>50</v>
      </c>
      <c r="G49" s="64"/>
      <c r="H49" s="64"/>
      <c r="I49" s="27" t="str">
        <f>IFERROR(VLOOKUP($D49,烤漆色號編碼!$A:$D,4,FALSE)*G49+H49,"-")</f>
        <v>-</v>
      </c>
      <c r="J49" s="64">
        <v>1899</v>
      </c>
      <c r="K49" s="98">
        <v>12</v>
      </c>
    </row>
    <row r="50" spans="2:11" x14ac:dyDescent="0.15">
      <c r="B50" s="87">
        <v>47</v>
      </c>
      <c r="C50" s="96"/>
      <c r="D50" s="64"/>
      <c r="E50" s="64" t="s">
        <v>51</v>
      </c>
      <c r="F50" s="64" t="s">
        <v>50</v>
      </c>
      <c r="G50" s="64"/>
      <c r="H50" s="64"/>
      <c r="I50" s="27" t="str">
        <f>IFERROR(VLOOKUP($D50,烤漆色號編碼!$A:$D,4,FALSE)*G50+H50,"-")</f>
        <v>-</v>
      </c>
      <c r="J50" s="64">
        <v>1899</v>
      </c>
      <c r="K50" s="97">
        <v>12</v>
      </c>
    </row>
    <row r="51" spans="2:11" x14ac:dyDescent="0.15">
      <c r="B51" s="87">
        <v>48</v>
      </c>
      <c r="C51" s="96"/>
      <c r="D51" s="64"/>
      <c r="E51" s="64" t="s">
        <v>51</v>
      </c>
      <c r="F51" s="64" t="s">
        <v>50</v>
      </c>
      <c r="G51" s="64"/>
      <c r="H51" s="64"/>
      <c r="I51" s="27" t="str">
        <f>IFERROR(VLOOKUP($D51,烤漆色號編碼!$A:$D,4,FALSE)*G51+H51,"-")</f>
        <v>-</v>
      </c>
      <c r="J51" s="64">
        <v>1899</v>
      </c>
      <c r="K51" s="98">
        <v>12</v>
      </c>
    </row>
    <row r="52" spans="2:11" x14ac:dyDescent="0.15">
      <c r="B52" s="87">
        <v>49</v>
      </c>
      <c r="C52" s="96"/>
      <c r="D52" s="64"/>
      <c r="E52" s="64" t="s">
        <v>51</v>
      </c>
      <c r="F52" s="64" t="s">
        <v>50</v>
      </c>
      <c r="G52" s="64"/>
      <c r="H52" s="64"/>
      <c r="I52" s="27" t="str">
        <f>IFERROR(VLOOKUP($D52,烤漆色號編碼!$A:$D,4,FALSE)*G52+H52,"-")</f>
        <v>-</v>
      </c>
      <c r="J52" s="64">
        <v>1899</v>
      </c>
      <c r="K52" s="97">
        <v>12</v>
      </c>
    </row>
    <row r="53" spans="2:11" x14ac:dyDescent="0.15">
      <c r="B53" s="87">
        <v>50</v>
      </c>
      <c r="C53" s="96"/>
      <c r="D53" s="64"/>
      <c r="E53" s="64" t="s">
        <v>51</v>
      </c>
      <c r="F53" s="64" t="s">
        <v>50</v>
      </c>
      <c r="G53" s="64"/>
      <c r="H53" s="64"/>
      <c r="I53" s="27" t="str">
        <f>IFERROR(VLOOKUP($D53,烤漆色號編碼!$A:$D,4,FALSE)*G53+H53,"-")</f>
        <v>-</v>
      </c>
      <c r="J53" s="64">
        <v>1899</v>
      </c>
      <c r="K53" s="98">
        <v>12</v>
      </c>
    </row>
    <row r="54" spans="2:11" x14ac:dyDescent="0.15">
      <c r="B54" s="87">
        <v>51</v>
      </c>
      <c r="C54" s="96"/>
      <c r="D54" s="64"/>
      <c r="E54" s="64" t="s">
        <v>50</v>
      </c>
      <c r="F54" s="64" t="s">
        <v>50</v>
      </c>
      <c r="G54" s="64"/>
      <c r="H54" s="64"/>
      <c r="I54" s="27" t="str">
        <f>IFERROR(VLOOKUP($D54,烤漆色號編碼!$A:$D,4,FALSE)*G54+H54,"-")</f>
        <v>-</v>
      </c>
      <c r="J54" s="64">
        <v>1899</v>
      </c>
      <c r="K54" s="97">
        <v>12</v>
      </c>
    </row>
    <row r="55" spans="2:11" x14ac:dyDescent="0.15">
      <c r="B55" s="87">
        <v>52</v>
      </c>
      <c r="C55" s="96"/>
      <c r="D55" s="64"/>
      <c r="E55" s="64" t="s">
        <v>50</v>
      </c>
      <c r="F55" s="64" t="s">
        <v>50</v>
      </c>
      <c r="G55" s="64"/>
      <c r="H55" s="64"/>
      <c r="I55" s="27" t="str">
        <f>IFERROR(VLOOKUP($D55,烤漆色號編碼!$A:$D,4,FALSE)*G55+H55,"-")</f>
        <v>-</v>
      </c>
      <c r="J55" s="64">
        <v>1899</v>
      </c>
      <c r="K55" s="98">
        <v>12</v>
      </c>
    </row>
    <row r="56" spans="2:11" x14ac:dyDescent="0.15">
      <c r="B56" s="87">
        <v>53</v>
      </c>
      <c r="C56" s="96"/>
      <c r="D56" s="64"/>
      <c r="E56" s="64" t="s">
        <v>50</v>
      </c>
      <c r="F56" s="64" t="s">
        <v>50</v>
      </c>
      <c r="G56" s="64"/>
      <c r="H56" s="64"/>
      <c r="I56" s="27" t="str">
        <f>IFERROR(VLOOKUP($D56,烤漆色號編碼!$A:$D,4,FALSE)*G56+H56,"-")</f>
        <v>-</v>
      </c>
      <c r="J56" s="64">
        <v>1899</v>
      </c>
      <c r="K56" s="97">
        <v>12</v>
      </c>
    </row>
    <row r="57" spans="2:11" x14ac:dyDescent="0.15">
      <c r="B57" s="87">
        <v>54</v>
      </c>
      <c r="C57" s="96"/>
      <c r="D57" s="64"/>
      <c r="E57" s="64" t="s">
        <v>50</v>
      </c>
      <c r="F57" s="64" t="s">
        <v>50</v>
      </c>
      <c r="G57" s="64"/>
      <c r="H57" s="64"/>
      <c r="I57" s="27" t="str">
        <f>IFERROR(VLOOKUP($D57,烤漆色號編碼!$A:$D,4,FALSE)*G57+H57,"-")</f>
        <v>-</v>
      </c>
      <c r="J57" s="64">
        <v>1899</v>
      </c>
      <c r="K57" s="98">
        <v>12</v>
      </c>
    </row>
    <row r="58" spans="2:11" x14ac:dyDescent="0.15">
      <c r="B58" s="87">
        <v>55</v>
      </c>
      <c r="C58" s="96"/>
      <c r="D58" s="64"/>
      <c r="E58" s="64" t="s">
        <v>50</v>
      </c>
      <c r="F58" s="64" t="s">
        <v>50</v>
      </c>
      <c r="G58" s="64"/>
      <c r="H58" s="64"/>
      <c r="I58" s="27" t="str">
        <f>IFERROR(VLOOKUP($D58,烤漆色號編碼!$A:$D,4,FALSE)*G58+H58,"-")</f>
        <v>-</v>
      </c>
      <c r="J58" s="64">
        <v>1899</v>
      </c>
      <c r="K58" s="97">
        <v>12</v>
      </c>
    </row>
    <row r="59" spans="2:11" x14ac:dyDescent="0.15">
      <c r="B59" s="87">
        <v>56</v>
      </c>
      <c r="C59" s="96"/>
      <c r="D59" s="64"/>
      <c r="E59" s="64" t="s">
        <v>50</v>
      </c>
      <c r="F59" s="64" t="s">
        <v>50</v>
      </c>
      <c r="G59" s="64"/>
      <c r="H59" s="64"/>
      <c r="I59" s="27" t="str">
        <f>IFERROR(VLOOKUP($D59,烤漆色號編碼!$A:$D,4,FALSE)*G59+H59,"-")</f>
        <v>-</v>
      </c>
      <c r="J59" s="64">
        <v>1899</v>
      </c>
      <c r="K59" s="98">
        <v>12</v>
      </c>
    </row>
    <row r="60" spans="2:11" x14ac:dyDescent="0.15">
      <c r="B60" s="87">
        <v>57</v>
      </c>
      <c r="C60" s="96"/>
      <c r="D60" s="64"/>
      <c r="E60" s="64" t="s">
        <v>50</v>
      </c>
      <c r="F60" s="64" t="s">
        <v>50</v>
      </c>
      <c r="G60" s="64"/>
      <c r="H60" s="64"/>
      <c r="I60" s="27" t="str">
        <f>IFERROR(VLOOKUP($D60,烤漆色號編碼!$A:$D,4,FALSE)*G60+H60,"-")</f>
        <v>-</v>
      </c>
      <c r="J60" s="64">
        <v>1899</v>
      </c>
      <c r="K60" s="97">
        <v>12</v>
      </c>
    </row>
    <row r="61" spans="2:11" x14ac:dyDescent="0.15">
      <c r="B61" s="87">
        <v>58</v>
      </c>
      <c r="C61" s="96"/>
      <c r="D61" s="64"/>
      <c r="E61" s="64" t="s">
        <v>50</v>
      </c>
      <c r="F61" s="64" t="s">
        <v>50</v>
      </c>
      <c r="G61" s="64"/>
      <c r="H61" s="64"/>
      <c r="I61" s="27" t="str">
        <f>IFERROR(VLOOKUP($D61,烤漆色號編碼!$A:$D,4,FALSE)*G61+H61,"-")</f>
        <v>-</v>
      </c>
      <c r="J61" s="64">
        <v>1899</v>
      </c>
      <c r="K61" s="98">
        <v>12</v>
      </c>
    </row>
    <row r="62" spans="2:11" x14ac:dyDescent="0.15">
      <c r="B62" s="87">
        <v>59</v>
      </c>
      <c r="C62" s="96"/>
      <c r="D62" s="64"/>
      <c r="E62" s="64" t="s">
        <v>50</v>
      </c>
      <c r="F62" s="64" t="s">
        <v>50</v>
      </c>
      <c r="G62" s="64"/>
      <c r="H62" s="64"/>
      <c r="I62" s="27" t="str">
        <f>IFERROR(VLOOKUP($D62,烤漆色號編碼!$A:$D,4,FALSE)*G62+H62,"-")</f>
        <v>-</v>
      </c>
      <c r="J62" s="64">
        <v>1899</v>
      </c>
      <c r="K62" s="97">
        <v>12</v>
      </c>
    </row>
    <row r="63" spans="2:11" x14ac:dyDescent="0.15">
      <c r="B63" s="87">
        <v>60</v>
      </c>
      <c r="C63" s="96"/>
      <c r="D63" s="64"/>
      <c r="E63" s="64" t="s">
        <v>50</v>
      </c>
      <c r="F63" s="64" t="s">
        <v>50</v>
      </c>
      <c r="G63" s="64"/>
      <c r="H63" s="64"/>
      <c r="I63" s="27" t="str">
        <f>IFERROR(VLOOKUP($D63,烤漆色號編碼!$A:$D,4,FALSE)*G63+H63,"-")</f>
        <v>-</v>
      </c>
      <c r="J63" s="64">
        <v>1899</v>
      </c>
      <c r="K63" s="98">
        <v>12</v>
      </c>
    </row>
    <row r="64" spans="2:11" x14ac:dyDescent="0.15">
      <c r="B64" s="87">
        <v>61</v>
      </c>
      <c r="C64" s="96"/>
      <c r="D64" s="64"/>
      <c r="E64" s="64" t="s">
        <v>50</v>
      </c>
      <c r="F64" s="64" t="s">
        <v>50</v>
      </c>
      <c r="G64" s="64"/>
      <c r="H64" s="64"/>
      <c r="I64" s="27" t="str">
        <f>IFERROR(VLOOKUP($D64,烤漆色號編碼!$A:$D,4,FALSE)*G64+H64,"-")</f>
        <v>-</v>
      </c>
      <c r="J64" s="64">
        <v>1899</v>
      </c>
      <c r="K64" s="97">
        <v>12</v>
      </c>
    </row>
    <row r="65" spans="2:11" x14ac:dyDescent="0.15">
      <c r="B65" s="87">
        <v>62</v>
      </c>
      <c r="C65" s="96"/>
      <c r="D65" s="64"/>
      <c r="E65" s="64" t="s">
        <v>50</v>
      </c>
      <c r="F65" s="64" t="s">
        <v>50</v>
      </c>
      <c r="G65" s="64"/>
      <c r="H65" s="64"/>
      <c r="I65" s="27" t="str">
        <f>IFERROR(VLOOKUP($D65,烤漆色號編碼!$A:$D,4,FALSE)*G65+H65,"-")</f>
        <v>-</v>
      </c>
      <c r="J65" s="64">
        <v>1899</v>
      </c>
      <c r="K65" s="98">
        <v>12</v>
      </c>
    </row>
    <row r="66" spans="2:11" x14ac:dyDescent="0.15">
      <c r="B66" s="87">
        <v>63</v>
      </c>
      <c r="C66" s="96"/>
      <c r="D66" s="64"/>
      <c r="E66" s="64" t="s">
        <v>50</v>
      </c>
      <c r="F66" s="64" t="s">
        <v>50</v>
      </c>
      <c r="G66" s="64"/>
      <c r="H66" s="64"/>
      <c r="I66" s="27" t="str">
        <f>IFERROR(VLOOKUP($D66,烤漆色號編碼!$A:$D,4,FALSE)*G66+H66,"-")</f>
        <v>-</v>
      </c>
      <c r="J66" s="64">
        <v>1899</v>
      </c>
      <c r="K66" s="97">
        <v>12</v>
      </c>
    </row>
    <row r="67" spans="2:11" x14ac:dyDescent="0.15">
      <c r="B67" s="87">
        <v>64</v>
      </c>
      <c r="C67" s="96"/>
      <c r="D67" s="64"/>
      <c r="E67" s="64" t="s">
        <v>50</v>
      </c>
      <c r="F67" s="64" t="s">
        <v>50</v>
      </c>
      <c r="G67" s="64"/>
      <c r="H67" s="64"/>
      <c r="I67" s="27" t="str">
        <f>IFERROR(VLOOKUP($D67,烤漆色號編碼!$A:$D,4,FALSE)*G67+H67,"-")</f>
        <v>-</v>
      </c>
      <c r="J67" s="64">
        <v>1899</v>
      </c>
      <c r="K67" s="98">
        <v>12</v>
      </c>
    </row>
    <row r="68" spans="2:11" x14ac:dyDescent="0.15">
      <c r="B68" s="87">
        <v>65</v>
      </c>
      <c r="C68" s="96"/>
      <c r="D68" s="64"/>
      <c r="E68" s="64" t="s">
        <v>50</v>
      </c>
      <c r="F68" s="64" t="s">
        <v>50</v>
      </c>
      <c r="G68" s="64"/>
      <c r="H68" s="64"/>
      <c r="I68" s="27" t="str">
        <f>IFERROR(VLOOKUP($D68,烤漆色號編碼!$A:$D,4,FALSE)*G68+H68,"-")</f>
        <v>-</v>
      </c>
      <c r="J68" s="64">
        <v>1899</v>
      </c>
      <c r="K68" s="97">
        <v>12</v>
      </c>
    </row>
    <row r="69" spans="2:11" x14ac:dyDescent="0.15">
      <c r="B69" s="87">
        <v>66</v>
      </c>
      <c r="C69" s="96"/>
      <c r="D69" s="64"/>
      <c r="E69" s="64" t="s">
        <v>50</v>
      </c>
      <c r="F69" s="64" t="s">
        <v>50</v>
      </c>
      <c r="G69" s="64"/>
      <c r="H69" s="64"/>
      <c r="I69" s="27" t="str">
        <f>IFERROR(VLOOKUP($D69,烤漆色號編碼!$A:$D,4,FALSE)*G69+H69,"-")</f>
        <v>-</v>
      </c>
      <c r="J69" s="64">
        <v>1899</v>
      </c>
      <c r="K69" s="98">
        <v>12</v>
      </c>
    </row>
    <row r="70" spans="2:11" x14ac:dyDescent="0.15">
      <c r="B70" s="87">
        <v>67</v>
      </c>
      <c r="C70" s="96"/>
      <c r="D70" s="64"/>
      <c r="E70" s="64" t="s">
        <v>50</v>
      </c>
      <c r="F70" s="64" t="s">
        <v>50</v>
      </c>
      <c r="G70" s="64"/>
      <c r="H70" s="64"/>
      <c r="I70" s="27" t="str">
        <f>IFERROR(VLOOKUP($D70,烤漆色號編碼!$A:$D,4,FALSE)*G70+H70,"-")</f>
        <v>-</v>
      </c>
      <c r="J70" s="64">
        <v>1899</v>
      </c>
      <c r="K70" s="97">
        <v>12</v>
      </c>
    </row>
    <row r="71" spans="2:11" x14ac:dyDescent="0.15">
      <c r="B71" s="87">
        <v>68</v>
      </c>
      <c r="C71" s="96"/>
      <c r="D71" s="64"/>
      <c r="E71" s="64" t="s">
        <v>50</v>
      </c>
      <c r="F71" s="64" t="s">
        <v>50</v>
      </c>
      <c r="G71" s="64"/>
      <c r="H71" s="64"/>
      <c r="I71" s="27" t="str">
        <f>IFERROR(VLOOKUP($D71,烤漆色號編碼!$A:$D,4,FALSE)*G71+H71,"-")</f>
        <v>-</v>
      </c>
      <c r="J71" s="64">
        <v>1899</v>
      </c>
      <c r="K71" s="98">
        <v>12</v>
      </c>
    </row>
    <row r="72" spans="2:11" x14ac:dyDescent="0.15">
      <c r="B72" s="87">
        <v>69</v>
      </c>
      <c r="C72" s="96"/>
      <c r="D72" s="64"/>
      <c r="E72" s="64" t="s">
        <v>50</v>
      </c>
      <c r="F72" s="64" t="s">
        <v>50</v>
      </c>
      <c r="G72" s="64"/>
      <c r="H72" s="64"/>
      <c r="I72" s="27" t="str">
        <f>IFERROR(VLOOKUP($D72,烤漆色號編碼!$A:$D,4,FALSE)*G72+H72,"-")</f>
        <v>-</v>
      </c>
      <c r="J72" s="64">
        <v>1899</v>
      </c>
      <c r="K72" s="97">
        <v>12</v>
      </c>
    </row>
    <row r="73" spans="2:11" x14ac:dyDescent="0.15">
      <c r="B73" s="87">
        <v>70</v>
      </c>
      <c r="C73" s="96"/>
      <c r="D73" s="64"/>
      <c r="E73" s="64" t="s">
        <v>50</v>
      </c>
      <c r="F73" s="64" t="s">
        <v>50</v>
      </c>
      <c r="G73" s="64"/>
      <c r="H73" s="64"/>
      <c r="I73" s="27" t="str">
        <f>IFERROR(VLOOKUP($D73,烤漆色號編碼!$A:$D,4,FALSE)*G73+H73,"-")</f>
        <v>-</v>
      </c>
      <c r="J73" s="64">
        <v>1899</v>
      </c>
      <c r="K73" s="98">
        <v>12</v>
      </c>
    </row>
    <row r="74" spans="2:11" x14ac:dyDescent="0.15">
      <c r="B74" s="87">
        <v>71</v>
      </c>
      <c r="C74" s="96"/>
      <c r="D74" s="64"/>
      <c r="E74" s="64" t="s">
        <v>50</v>
      </c>
      <c r="F74" s="64" t="s">
        <v>50</v>
      </c>
      <c r="G74" s="64"/>
      <c r="H74" s="64"/>
      <c r="I74" s="27" t="str">
        <f>IFERROR(VLOOKUP($D74,烤漆色號編碼!$A:$D,4,FALSE)*G74+H74,"-")</f>
        <v>-</v>
      </c>
      <c r="J74" s="64">
        <v>1899</v>
      </c>
      <c r="K74" s="97">
        <v>12</v>
      </c>
    </row>
    <row r="75" spans="2:11" x14ac:dyDescent="0.15">
      <c r="B75" s="87">
        <v>72</v>
      </c>
      <c r="C75" s="96"/>
      <c r="D75" s="64"/>
      <c r="E75" s="64" t="s">
        <v>50</v>
      </c>
      <c r="F75" s="64" t="s">
        <v>50</v>
      </c>
      <c r="G75" s="64"/>
      <c r="H75" s="64"/>
      <c r="I75" s="27" t="str">
        <f>IFERROR(VLOOKUP($D75,烤漆色號編碼!$A:$D,4,FALSE)*G75+H75,"-")</f>
        <v>-</v>
      </c>
      <c r="J75" s="64">
        <v>1899</v>
      </c>
      <c r="K75" s="98">
        <v>12</v>
      </c>
    </row>
    <row r="76" spans="2:11" x14ac:dyDescent="0.15">
      <c r="B76" s="87">
        <v>73</v>
      </c>
      <c r="C76" s="96"/>
      <c r="D76" s="64"/>
      <c r="E76" s="64" t="s">
        <v>50</v>
      </c>
      <c r="F76" s="64" t="s">
        <v>50</v>
      </c>
      <c r="G76" s="64"/>
      <c r="H76" s="64"/>
      <c r="I76" s="27" t="str">
        <f>IFERROR(VLOOKUP($D76,烤漆色號編碼!$A:$D,4,FALSE)*G76+H76,"-")</f>
        <v>-</v>
      </c>
      <c r="J76" s="64">
        <v>1899</v>
      </c>
      <c r="K76" s="97">
        <v>12</v>
      </c>
    </row>
    <row r="77" spans="2:11" x14ac:dyDescent="0.15">
      <c r="B77" s="87">
        <v>74</v>
      </c>
      <c r="C77" s="96"/>
      <c r="D77" s="64"/>
      <c r="E77" s="64" t="s">
        <v>50</v>
      </c>
      <c r="F77" s="64" t="s">
        <v>50</v>
      </c>
      <c r="G77" s="64"/>
      <c r="H77" s="64"/>
      <c r="I77" s="27" t="str">
        <f>IFERROR(VLOOKUP($D77,烤漆色號編碼!$A:$D,4,FALSE)*G77+H77,"-")</f>
        <v>-</v>
      </c>
      <c r="J77" s="64">
        <v>1899</v>
      </c>
      <c r="K77" s="98">
        <v>12</v>
      </c>
    </row>
    <row r="78" spans="2:11" x14ac:dyDescent="0.15">
      <c r="B78" s="87">
        <v>75</v>
      </c>
      <c r="C78" s="96"/>
      <c r="D78" s="64"/>
      <c r="E78" s="64" t="s">
        <v>50</v>
      </c>
      <c r="F78" s="64" t="s">
        <v>50</v>
      </c>
      <c r="G78" s="64"/>
      <c r="H78" s="64"/>
      <c r="I78" s="27" t="str">
        <f>IFERROR(VLOOKUP($D78,烤漆色號編碼!$A:$D,4,FALSE)*G78+H78,"-")</f>
        <v>-</v>
      </c>
      <c r="J78" s="64">
        <v>1899</v>
      </c>
      <c r="K78" s="97">
        <v>12</v>
      </c>
    </row>
    <row r="79" spans="2:11" x14ac:dyDescent="0.15">
      <c r="B79" s="87">
        <v>76</v>
      </c>
      <c r="C79" s="96"/>
      <c r="D79" s="64"/>
      <c r="E79" s="64" t="s">
        <v>50</v>
      </c>
      <c r="F79" s="64" t="s">
        <v>50</v>
      </c>
      <c r="G79" s="64"/>
      <c r="H79" s="64"/>
      <c r="I79" s="27" t="str">
        <f>IFERROR(VLOOKUP($D79,烤漆色號編碼!$A:$D,4,FALSE)*G79+H79,"-")</f>
        <v>-</v>
      </c>
      <c r="J79" s="64">
        <v>1899</v>
      </c>
      <c r="K79" s="98">
        <v>12</v>
      </c>
    </row>
    <row r="80" spans="2:11" x14ac:dyDescent="0.15">
      <c r="B80" s="87">
        <v>77</v>
      </c>
      <c r="C80" s="96"/>
      <c r="D80" s="64"/>
      <c r="E80" s="64" t="s">
        <v>50</v>
      </c>
      <c r="F80" s="64" t="s">
        <v>50</v>
      </c>
      <c r="G80" s="64"/>
      <c r="H80" s="64"/>
      <c r="I80" s="27" t="str">
        <f>IFERROR(VLOOKUP($D80,烤漆色號編碼!$A:$D,4,FALSE)*G80+H80,"-")</f>
        <v>-</v>
      </c>
      <c r="J80" s="64">
        <v>1899</v>
      </c>
      <c r="K80" s="97">
        <v>12</v>
      </c>
    </row>
    <row r="81" spans="2:11" x14ac:dyDescent="0.15">
      <c r="B81" s="87">
        <v>78</v>
      </c>
      <c r="C81" s="96"/>
      <c r="D81" s="64"/>
      <c r="E81" s="64" t="s">
        <v>50</v>
      </c>
      <c r="F81" s="64" t="s">
        <v>50</v>
      </c>
      <c r="G81" s="64"/>
      <c r="H81" s="64"/>
      <c r="I81" s="27" t="str">
        <f>IFERROR(VLOOKUP($D81,烤漆色號編碼!$A:$D,4,FALSE)*G81+H81,"-")</f>
        <v>-</v>
      </c>
      <c r="J81" s="64">
        <v>1899</v>
      </c>
      <c r="K81" s="98">
        <v>12</v>
      </c>
    </row>
    <row r="82" spans="2:11" x14ac:dyDescent="0.15">
      <c r="B82" s="87">
        <v>79</v>
      </c>
      <c r="C82" s="96"/>
      <c r="D82" s="64"/>
      <c r="E82" s="64" t="s">
        <v>50</v>
      </c>
      <c r="F82" s="64" t="s">
        <v>50</v>
      </c>
      <c r="G82" s="64"/>
      <c r="H82" s="64"/>
      <c r="I82" s="27" t="str">
        <f>IFERROR(VLOOKUP($D82,烤漆色號編碼!$A:$D,4,FALSE)*G82+H82,"-")</f>
        <v>-</v>
      </c>
      <c r="J82" s="64">
        <v>1899</v>
      </c>
      <c r="K82" s="97">
        <v>12</v>
      </c>
    </row>
    <row r="83" spans="2:11" x14ac:dyDescent="0.15">
      <c r="B83" s="87">
        <v>80</v>
      </c>
      <c r="C83" s="96"/>
      <c r="D83" s="64"/>
      <c r="E83" s="64" t="s">
        <v>50</v>
      </c>
      <c r="F83" s="64" t="s">
        <v>50</v>
      </c>
      <c r="G83" s="64"/>
      <c r="H83" s="64"/>
      <c r="I83" s="27" t="str">
        <f>IFERROR(VLOOKUP($D83,烤漆色號編碼!$A:$D,4,FALSE)*G83+H83,"-")</f>
        <v>-</v>
      </c>
      <c r="J83" s="64">
        <v>1899</v>
      </c>
      <c r="K83" s="98">
        <v>12</v>
      </c>
    </row>
    <row r="84" spans="2:11" x14ac:dyDescent="0.15">
      <c r="B84" s="87">
        <v>81</v>
      </c>
      <c r="C84" s="96"/>
      <c r="D84" s="64"/>
      <c r="E84" s="64" t="s">
        <v>50</v>
      </c>
      <c r="F84" s="64" t="s">
        <v>50</v>
      </c>
      <c r="G84" s="64"/>
      <c r="H84" s="64"/>
      <c r="I84" s="27" t="str">
        <f>IFERROR(VLOOKUP($D84,烤漆色號編碼!$A:$D,4,FALSE)*G84+H84,"-")</f>
        <v>-</v>
      </c>
      <c r="J84" s="64">
        <v>1899</v>
      </c>
      <c r="K84" s="97">
        <v>12</v>
      </c>
    </row>
    <row r="85" spans="2:11" x14ac:dyDescent="0.15">
      <c r="B85" s="87">
        <v>82</v>
      </c>
      <c r="C85" s="96"/>
      <c r="D85" s="64"/>
      <c r="E85" s="64" t="s">
        <v>50</v>
      </c>
      <c r="F85" s="64" t="s">
        <v>50</v>
      </c>
      <c r="G85" s="64"/>
      <c r="H85" s="64"/>
      <c r="I85" s="27" t="str">
        <f>IFERROR(VLOOKUP($D85,烤漆色號編碼!$A:$D,4,FALSE)*G85+H85,"-")</f>
        <v>-</v>
      </c>
      <c r="J85" s="64">
        <v>1899</v>
      </c>
      <c r="K85" s="98">
        <v>12</v>
      </c>
    </row>
    <row r="86" spans="2:11" x14ac:dyDescent="0.15">
      <c r="B86" s="87">
        <v>83</v>
      </c>
      <c r="C86" s="96"/>
      <c r="D86" s="64"/>
      <c r="E86" s="64" t="s">
        <v>50</v>
      </c>
      <c r="F86" s="64" t="s">
        <v>50</v>
      </c>
      <c r="G86" s="64"/>
      <c r="H86" s="64"/>
      <c r="I86" s="27" t="str">
        <f>IFERROR(VLOOKUP($D86,烤漆色號編碼!$A:$D,4,FALSE)*G86+H86,"-")</f>
        <v>-</v>
      </c>
      <c r="J86" s="64">
        <v>1899</v>
      </c>
      <c r="K86" s="97">
        <v>12</v>
      </c>
    </row>
    <row r="87" spans="2:11" x14ac:dyDescent="0.15">
      <c r="B87" s="87">
        <v>84</v>
      </c>
      <c r="C87" s="96"/>
      <c r="D87" s="64"/>
      <c r="E87" s="64" t="s">
        <v>50</v>
      </c>
      <c r="F87" s="64" t="s">
        <v>50</v>
      </c>
      <c r="G87" s="64"/>
      <c r="H87" s="64"/>
      <c r="I87" s="27" t="str">
        <f>IFERROR(VLOOKUP($D87,烤漆色號編碼!$A:$D,4,FALSE)*G87+H87,"-")</f>
        <v>-</v>
      </c>
      <c r="J87" s="64">
        <v>1899</v>
      </c>
      <c r="K87" s="98">
        <v>12</v>
      </c>
    </row>
    <row r="88" spans="2:11" x14ac:dyDescent="0.15">
      <c r="B88" s="87">
        <v>85</v>
      </c>
      <c r="C88" s="96"/>
      <c r="D88" s="64"/>
      <c r="E88" s="64" t="s">
        <v>50</v>
      </c>
      <c r="F88" s="64" t="s">
        <v>50</v>
      </c>
      <c r="G88" s="64"/>
      <c r="H88" s="64"/>
      <c r="I88" s="27" t="str">
        <f>IFERROR(VLOOKUP($D88,烤漆色號編碼!$A:$D,4,FALSE)*G88+H88,"-")</f>
        <v>-</v>
      </c>
      <c r="J88" s="64">
        <v>1899</v>
      </c>
      <c r="K88" s="97">
        <v>12</v>
      </c>
    </row>
    <row r="89" spans="2:11" x14ac:dyDescent="0.15">
      <c r="B89" s="87">
        <v>86</v>
      </c>
      <c r="C89" s="96"/>
      <c r="D89" s="64"/>
      <c r="E89" s="64" t="s">
        <v>50</v>
      </c>
      <c r="F89" s="64" t="s">
        <v>50</v>
      </c>
      <c r="G89" s="64"/>
      <c r="H89" s="64"/>
      <c r="I89" s="27" t="str">
        <f>IFERROR(VLOOKUP($D89,烤漆色號編碼!$A:$D,4,FALSE)*G89+H89,"-")</f>
        <v>-</v>
      </c>
      <c r="J89" s="64">
        <v>1899</v>
      </c>
      <c r="K89" s="98">
        <v>12</v>
      </c>
    </row>
    <row r="90" spans="2:11" x14ac:dyDescent="0.15">
      <c r="B90" s="87">
        <v>87</v>
      </c>
      <c r="C90" s="96"/>
      <c r="D90" s="64"/>
      <c r="E90" s="64" t="s">
        <v>50</v>
      </c>
      <c r="F90" s="64" t="s">
        <v>50</v>
      </c>
      <c r="G90" s="64"/>
      <c r="H90" s="64"/>
      <c r="I90" s="27" t="str">
        <f>IFERROR(VLOOKUP($D90,烤漆色號編碼!$A:$D,4,FALSE)*G90+H90,"-")</f>
        <v>-</v>
      </c>
      <c r="J90" s="64">
        <v>1899</v>
      </c>
      <c r="K90" s="97">
        <v>12</v>
      </c>
    </row>
    <row r="91" spans="2:11" x14ac:dyDescent="0.15">
      <c r="B91" s="87">
        <v>88</v>
      </c>
      <c r="C91" s="96"/>
      <c r="D91" s="64"/>
      <c r="E91" s="64" t="s">
        <v>50</v>
      </c>
      <c r="F91" s="64" t="s">
        <v>50</v>
      </c>
      <c r="G91" s="64"/>
      <c r="H91" s="64"/>
      <c r="I91" s="27" t="str">
        <f>IFERROR(VLOOKUP($D91,烤漆色號編碼!$A:$D,4,FALSE)*G91+H91,"-")</f>
        <v>-</v>
      </c>
      <c r="J91" s="64">
        <v>1899</v>
      </c>
      <c r="K91" s="98">
        <v>12</v>
      </c>
    </row>
    <row r="92" spans="2:11" x14ac:dyDescent="0.15">
      <c r="B92" s="87">
        <v>89</v>
      </c>
      <c r="C92" s="96"/>
      <c r="D92" s="64"/>
      <c r="E92" s="64" t="s">
        <v>50</v>
      </c>
      <c r="F92" s="64" t="s">
        <v>50</v>
      </c>
      <c r="G92" s="64"/>
      <c r="H92" s="64"/>
      <c r="I92" s="27" t="str">
        <f>IFERROR(VLOOKUP($D92,烤漆色號編碼!$A:$D,4,FALSE)*G92+H92,"-")</f>
        <v>-</v>
      </c>
      <c r="J92" s="64">
        <v>1899</v>
      </c>
      <c r="K92" s="97">
        <v>12</v>
      </c>
    </row>
    <row r="93" spans="2:11" x14ac:dyDescent="0.15">
      <c r="B93" s="87">
        <v>90</v>
      </c>
      <c r="C93" s="96"/>
      <c r="D93" s="64"/>
      <c r="E93" s="64" t="s">
        <v>50</v>
      </c>
      <c r="F93" s="64" t="s">
        <v>50</v>
      </c>
      <c r="G93" s="64"/>
      <c r="H93" s="64"/>
      <c r="I93" s="27" t="str">
        <f>IFERROR(VLOOKUP($D93,烤漆色號編碼!$A:$D,4,FALSE)*G93+H93,"-")</f>
        <v>-</v>
      </c>
      <c r="J93" s="64">
        <v>1899</v>
      </c>
      <c r="K93" s="98">
        <v>12</v>
      </c>
    </row>
    <row r="94" spans="2:11" x14ac:dyDescent="0.15">
      <c r="B94" s="87">
        <v>91</v>
      </c>
      <c r="C94" s="96"/>
      <c r="D94" s="64"/>
      <c r="E94" s="64" t="s">
        <v>50</v>
      </c>
      <c r="F94" s="64" t="s">
        <v>50</v>
      </c>
      <c r="G94" s="64"/>
      <c r="H94" s="64"/>
      <c r="I94" s="27" t="str">
        <f>IFERROR(VLOOKUP($D94,烤漆色號編碼!$A:$D,4,FALSE)*G94+H94,"-")</f>
        <v>-</v>
      </c>
      <c r="J94" s="64">
        <v>1899</v>
      </c>
      <c r="K94" s="97">
        <v>12</v>
      </c>
    </row>
    <row r="95" spans="2:11" x14ac:dyDescent="0.15">
      <c r="B95" s="87">
        <v>92</v>
      </c>
      <c r="C95" s="96"/>
      <c r="D95" s="64"/>
      <c r="E95" s="64" t="s">
        <v>50</v>
      </c>
      <c r="F95" s="64" t="s">
        <v>50</v>
      </c>
      <c r="G95" s="64"/>
      <c r="H95" s="64"/>
      <c r="I95" s="27" t="str">
        <f>IFERROR(VLOOKUP($D95,烤漆色號編碼!$A:$D,4,FALSE)*G95+H95,"-")</f>
        <v>-</v>
      </c>
      <c r="J95" s="64">
        <v>1899</v>
      </c>
      <c r="K95" s="98">
        <v>12</v>
      </c>
    </row>
    <row r="96" spans="2:11" x14ac:dyDescent="0.15">
      <c r="B96" s="87">
        <v>93</v>
      </c>
      <c r="C96" s="96"/>
      <c r="D96" s="64"/>
      <c r="E96" s="64" t="s">
        <v>50</v>
      </c>
      <c r="F96" s="64" t="s">
        <v>50</v>
      </c>
      <c r="G96" s="64"/>
      <c r="H96" s="64"/>
      <c r="I96" s="27" t="str">
        <f>IFERROR(VLOOKUP($D96,烤漆色號編碼!$A:$D,4,FALSE)*G96+H96,"-")</f>
        <v>-</v>
      </c>
      <c r="J96" s="64">
        <v>1899</v>
      </c>
      <c r="K96" s="97">
        <v>12</v>
      </c>
    </row>
    <row r="97" spans="2:11" x14ac:dyDescent="0.15">
      <c r="B97" s="87">
        <v>94</v>
      </c>
      <c r="C97" s="96"/>
      <c r="D97" s="64"/>
      <c r="E97" s="64" t="s">
        <v>50</v>
      </c>
      <c r="F97" s="64" t="s">
        <v>50</v>
      </c>
      <c r="G97" s="64"/>
      <c r="H97" s="64"/>
      <c r="I97" s="27" t="str">
        <f>IFERROR(VLOOKUP($D97,烤漆色號編碼!$A:$D,4,FALSE)*G97+H97,"-")</f>
        <v>-</v>
      </c>
      <c r="J97" s="64">
        <v>1899</v>
      </c>
      <c r="K97" s="98">
        <v>12</v>
      </c>
    </row>
    <row r="98" spans="2:11" x14ac:dyDescent="0.15">
      <c r="B98" s="87">
        <v>95</v>
      </c>
      <c r="C98" s="96"/>
      <c r="D98" s="64"/>
      <c r="E98" s="64" t="s">
        <v>50</v>
      </c>
      <c r="F98" s="64" t="s">
        <v>50</v>
      </c>
      <c r="G98" s="64"/>
      <c r="H98" s="64"/>
      <c r="I98" s="27" t="str">
        <f>IFERROR(VLOOKUP($D98,烤漆色號編碼!$A:$D,4,FALSE)*G98+H98,"-")</f>
        <v>-</v>
      </c>
      <c r="J98" s="64">
        <v>1899</v>
      </c>
      <c r="K98" s="97">
        <v>12</v>
      </c>
    </row>
    <row r="99" spans="2:11" x14ac:dyDescent="0.15">
      <c r="B99" s="87">
        <v>96</v>
      </c>
      <c r="C99" s="96"/>
      <c r="D99" s="64"/>
      <c r="E99" s="64" t="s">
        <v>50</v>
      </c>
      <c r="F99" s="64" t="s">
        <v>50</v>
      </c>
      <c r="G99" s="64"/>
      <c r="H99" s="64"/>
      <c r="I99" s="27" t="str">
        <f>IFERROR(VLOOKUP($D99,烤漆色號編碼!$A:$D,4,FALSE)*G99+H99,"-")</f>
        <v>-</v>
      </c>
      <c r="J99" s="64">
        <v>1899</v>
      </c>
      <c r="K99" s="98">
        <v>12</v>
      </c>
    </row>
    <row r="100" spans="2:11" x14ac:dyDescent="0.15">
      <c r="B100" s="87">
        <v>97</v>
      </c>
      <c r="C100" s="96"/>
      <c r="D100" s="64"/>
      <c r="E100" s="64" t="s">
        <v>50</v>
      </c>
      <c r="F100" s="64" t="s">
        <v>50</v>
      </c>
      <c r="G100" s="64"/>
      <c r="H100" s="64"/>
      <c r="I100" s="27" t="str">
        <f>IFERROR(VLOOKUP($D100,烤漆色號編碼!$A:$D,4,FALSE)*G100+H100,"-")</f>
        <v>-</v>
      </c>
      <c r="J100" s="64">
        <v>1899</v>
      </c>
      <c r="K100" s="97">
        <v>12</v>
      </c>
    </row>
    <row r="101" spans="2:11" x14ac:dyDescent="0.15">
      <c r="B101" s="87">
        <v>98</v>
      </c>
      <c r="C101" s="96"/>
      <c r="D101" s="64"/>
      <c r="E101" s="64" t="s">
        <v>50</v>
      </c>
      <c r="F101" s="64" t="s">
        <v>50</v>
      </c>
      <c r="G101" s="64"/>
      <c r="H101" s="64"/>
      <c r="I101" s="27" t="str">
        <f>IFERROR(VLOOKUP($D101,烤漆色號編碼!$A:$D,4,FALSE)*G101+H101,"-")</f>
        <v>-</v>
      </c>
      <c r="J101" s="64">
        <v>1899</v>
      </c>
      <c r="K101" s="98">
        <v>12</v>
      </c>
    </row>
    <row r="102" spans="2:11" x14ac:dyDescent="0.15">
      <c r="B102" s="87">
        <v>99</v>
      </c>
      <c r="C102" s="96"/>
      <c r="D102" s="64"/>
      <c r="E102" s="64" t="s">
        <v>50</v>
      </c>
      <c r="F102" s="64" t="s">
        <v>50</v>
      </c>
      <c r="G102" s="64"/>
      <c r="H102" s="64"/>
      <c r="I102" s="27" t="str">
        <f>IFERROR(VLOOKUP($D102,烤漆色號編碼!$A:$D,4,FALSE)*G102+H102,"-")</f>
        <v>-</v>
      </c>
      <c r="J102" s="64">
        <v>1899</v>
      </c>
      <c r="K102" s="97">
        <v>12</v>
      </c>
    </row>
    <row r="103" spans="2:11" x14ac:dyDescent="0.15">
      <c r="B103" s="87">
        <v>100</v>
      </c>
      <c r="C103" s="96"/>
      <c r="D103" s="64"/>
      <c r="E103" s="64" t="s">
        <v>50</v>
      </c>
      <c r="F103" s="64" t="s">
        <v>50</v>
      </c>
      <c r="G103" s="64"/>
      <c r="H103" s="64"/>
      <c r="I103" s="27" t="str">
        <f>IFERROR(VLOOKUP($D103,烤漆色號編碼!$A:$D,4,FALSE)*G103+H103,"-")</f>
        <v>-</v>
      </c>
      <c r="J103" s="64">
        <v>1899</v>
      </c>
      <c r="K103" s="98">
        <v>12</v>
      </c>
    </row>
    <row r="104" spans="2:11" x14ac:dyDescent="0.15">
      <c r="B104" s="87">
        <v>101</v>
      </c>
      <c r="C104" s="96"/>
      <c r="D104" s="64"/>
      <c r="E104" s="64" t="s">
        <v>50</v>
      </c>
      <c r="F104" s="64" t="s">
        <v>50</v>
      </c>
      <c r="G104" s="64"/>
      <c r="H104" s="64"/>
      <c r="I104" s="27" t="str">
        <f>IFERROR(VLOOKUP($D104,烤漆色號編碼!$A:$D,4,FALSE)*G104+H104,"-")</f>
        <v>-</v>
      </c>
      <c r="J104" s="64">
        <v>1899</v>
      </c>
      <c r="K104" s="97">
        <v>12</v>
      </c>
    </row>
    <row r="105" spans="2:11" x14ac:dyDescent="0.15">
      <c r="B105" s="87">
        <v>102</v>
      </c>
      <c r="C105" s="96"/>
      <c r="D105" s="64"/>
      <c r="E105" s="64" t="s">
        <v>50</v>
      </c>
      <c r="F105" s="64" t="s">
        <v>50</v>
      </c>
      <c r="G105" s="64"/>
      <c r="H105" s="64"/>
      <c r="I105" s="27" t="str">
        <f>IFERROR(VLOOKUP($D105,烤漆色號編碼!$A:$D,4,FALSE)*G105+H105,"-")</f>
        <v>-</v>
      </c>
      <c r="J105" s="64">
        <v>1899</v>
      </c>
      <c r="K105" s="98">
        <v>12</v>
      </c>
    </row>
    <row r="106" spans="2:11" x14ac:dyDescent="0.15">
      <c r="B106" s="87">
        <v>103</v>
      </c>
      <c r="C106" s="96"/>
      <c r="D106" s="64"/>
      <c r="E106" s="64" t="s">
        <v>50</v>
      </c>
      <c r="F106" s="64" t="s">
        <v>50</v>
      </c>
      <c r="G106" s="64"/>
      <c r="H106" s="64"/>
      <c r="I106" s="27" t="str">
        <f>IFERROR(VLOOKUP($D106,烤漆色號編碼!$A:$D,4,FALSE)*G106+H106,"-")</f>
        <v>-</v>
      </c>
      <c r="J106" s="64">
        <v>1899</v>
      </c>
      <c r="K106" s="97">
        <v>12</v>
      </c>
    </row>
    <row r="107" spans="2:11" x14ac:dyDescent="0.15">
      <c r="B107" s="87">
        <v>104</v>
      </c>
      <c r="C107" s="96"/>
      <c r="D107" s="64"/>
      <c r="E107" s="64" t="s">
        <v>50</v>
      </c>
      <c r="F107" s="64" t="s">
        <v>50</v>
      </c>
      <c r="G107" s="64"/>
      <c r="H107" s="64"/>
      <c r="I107" s="27" t="str">
        <f>IFERROR(VLOOKUP($D107,烤漆色號編碼!$A:$D,4,FALSE)*G107+H107,"-")</f>
        <v>-</v>
      </c>
      <c r="J107" s="64">
        <v>1899</v>
      </c>
      <c r="K107" s="98">
        <v>12</v>
      </c>
    </row>
    <row r="108" spans="2:11" x14ac:dyDescent="0.15">
      <c r="B108" s="87">
        <v>105</v>
      </c>
      <c r="C108" s="96"/>
      <c r="D108" s="64"/>
      <c r="E108" s="64" t="s">
        <v>50</v>
      </c>
      <c r="F108" s="64" t="s">
        <v>50</v>
      </c>
      <c r="G108" s="64"/>
      <c r="H108" s="64"/>
      <c r="I108" s="27" t="str">
        <f>IFERROR(VLOOKUP($D108,烤漆色號編碼!$A:$D,4,FALSE)*G108+H108,"-")</f>
        <v>-</v>
      </c>
      <c r="J108" s="64">
        <v>1899</v>
      </c>
      <c r="K108" s="97">
        <v>12</v>
      </c>
    </row>
    <row r="109" spans="2:11" x14ac:dyDescent="0.15">
      <c r="B109" s="87">
        <v>106</v>
      </c>
      <c r="C109" s="96"/>
      <c r="D109" s="64"/>
      <c r="E109" s="64" t="s">
        <v>50</v>
      </c>
      <c r="F109" s="64" t="s">
        <v>50</v>
      </c>
      <c r="G109" s="64"/>
      <c r="H109" s="64"/>
      <c r="I109" s="27" t="str">
        <f>IFERROR(VLOOKUP($D109,烤漆色號編碼!$A:$D,4,FALSE)*G109+H109,"-")</f>
        <v>-</v>
      </c>
      <c r="J109" s="64">
        <v>1899</v>
      </c>
      <c r="K109" s="98">
        <v>12</v>
      </c>
    </row>
    <row r="110" spans="2:11" x14ac:dyDescent="0.15">
      <c r="B110" s="87">
        <v>107</v>
      </c>
      <c r="C110" s="96"/>
      <c r="D110" s="64"/>
      <c r="E110" s="64" t="s">
        <v>50</v>
      </c>
      <c r="F110" s="64" t="s">
        <v>50</v>
      </c>
      <c r="G110" s="64"/>
      <c r="H110" s="64"/>
      <c r="I110" s="27" t="str">
        <f>IFERROR(VLOOKUP($D110,烤漆色號編碼!$A:$D,4,FALSE)*G110+H110,"-")</f>
        <v>-</v>
      </c>
      <c r="J110" s="64">
        <v>1899</v>
      </c>
      <c r="K110" s="97">
        <v>12</v>
      </c>
    </row>
    <row r="111" spans="2:11" x14ac:dyDescent="0.15">
      <c r="B111" s="87">
        <v>108</v>
      </c>
      <c r="C111" s="96"/>
      <c r="D111" s="64"/>
      <c r="E111" s="64" t="s">
        <v>50</v>
      </c>
      <c r="F111" s="64" t="s">
        <v>50</v>
      </c>
      <c r="G111" s="64"/>
      <c r="H111" s="64"/>
      <c r="I111" s="27" t="str">
        <f>IFERROR(VLOOKUP($D111,烤漆色號編碼!$A:$D,4,FALSE)*G111+H111,"-")</f>
        <v>-</v>
      </c>
      <c r="J111" s="64">
        <v>1899</v>
      </c>
      <c r="K111" s="98">
        <v>12</v>
      </c>
    </row>
    <row r="112" spans="2:11" x14ac:dyDescent="0.15">
      <c r="B112" s="87">
        <v>109</v>
      </c>
      <c r="C112" s="96"/>
      <c r="D112" s="64"/>
      <c r="E112" s="64" t="s">
        <v>50</v>
      </c>
      <c r="F112" s="64" t="s">
        <v>50</v>
      </c>
      <c r="G112" s="64"/>
      <c r="H112" s="64"/>
      <c r="I112" s="27" t="str">
        <f>IFERROR(VLOOKUP($D112,烤漆色號編碼!$A:$D,4,FALSE)*G112+H112,"-")</f>
        <v>-</v>
      </c>
      <c r="J112" s="64">
        <v>1899</v>
      </c>
      <c r="K112" s="97">
        <v>12</v>
      </c>
    </row>
    <row r="113" spans="2:11" x14ac:dyDescent="0.15">
      <c r="B113" s="87">
        <v>110</v>
      </c>
      <c r="C113" s="96"/>
      <c r="D113" s="64"/>
      <c r="E113" s="64" t="s">
        <v>50</v>
      </c>
      <c r="F113" s="64" t="s">
        <v>50</v>
      </c>
      <c r="G113" s="64"/>
      <c r="H113" s="64"/>
      <c r="I113" s="27" t="str">
        <f>IFERROR(VLOOKUP($D113,烤漆色號編碼!$A:$D,4,FALSE)*G113+H113,"-")</f>
        <v>-</v>
      </c>
      <c r="J113" s="64">
        <v>1899</v>
      </c>
      <c r="K113" s="98">
        <v>12</v>
      </c>
    </row>
    <row r="114" spans="2:11" x14ac:dyDescent="0.15">
      <c r="B114" s="87">
        <v>111</v>
      </c>
      <c r="C114" s="96"/>
      <c r="D114" s="64"/>
      <c r="E114" s="64" t="s">
        <v>50</v>
      </c>
      <c r="F114" s="64" t="s">
        <v>50</v>
      </c>
      <c r="G114" s="64"/>
      <c r="H114" s="64"/>
      <c r="I114" s="27" t="str">
        <f>IFERROR(VLOOKUP($D114,烤漆色號編碼!$A:$D,4,FALSE)*G114+H114,"-")</f>
        <v>-</v>
      </c>
      <c r="J114" s="64">
        <v>1899</v>
      </c>
      <c r="K114" s="97">
        <v>12</v>
      </c>
    </row>
    <row r="115" spans="2:11" x14ac:dyDescent="0.15">
      <c r="B115" s="87">
        <v>112</v>
      </c>
      <c r="C115" s="96"/>
      <c r="D115" s="64"/>
      <c r="E115" s="64" t="s">
        <v>50</v>
      </c>
      <c r="F115" s="64" t="s">
        <v>50</v>
      </c>
      <c r="G115" s="64"/>
      <c r="H115" s="64"/>
      <c r="I115" s="27" t="str">
        <f>IFERROR(VLOOKUP($D115,烤漆色號編碼!$A:$D,4,FALSE)*G115+H115,"-")</f>
        <v>-</v>
      </c>
      <c r="J115" s="64">
        <v>1899</v>
      </c>
      <c r="K115" s="98">
        <v>12</v>
      </c>
    </row>
    <row r="116" spans="2:11" x14ac:dyDescent="0.15">
      <c r="B116" s="87">
        <v>113</v>
      </c>
      <c r="C116" s="96"/>
      <c r="D116" s="64"/>
      <c r="E116" s="64" t="s">
        <v>50</v>
      </c>
      <c r="F116" s="64" t="s">
        <v>50</v>
      </c>
      <c r="G116" s="64"/>
      <c r="H116" s="64"/>
      <c r="I116" s="27" t="str">
        <f>IFERROR(VLOOKUP($D116,烤漆色號編碼!$A:$D,4,FALSE)*G116+H116,"-")</f>
        <v>-</v>
      </c>
      <c r="J116" s="64">
        <v>1899</v>
      </c>
      <c r="K116" s="97">
        <v>12</v>
      </c>
    </row>
    <row r="117" spans="2:11" x14ac:dyDescent="0.15">
      <c r="B117" s="87">
        <v>114</v>
      </c>
      <c r="C117" s="96"/>
      <c r="D117" s="64"/>
      <c r="E117" s="64" t="s">
        <v>50</v>
      </c>
      <c r="F117" s="64" t="s">
        <v>50</v>
      </c>
      <c r="G117" s="64"/>
      <c r="H117" s="64"/>
      <c r="I117" s="27" t="str">
        <f>IFERROR(VLOOKUP($D117,烤漆色號編碼!$A:$D,4,FALSE)*G117+H117,"-")</f>
        <v>-</v>
      </c>
      <c r="J117" s="64">
        <v>1899</v>
      </c>
      <c r="K117" s="98">
        <v>12</v>
      </c>
    </row>
    <row r="118" spans="2:11" x14ac:dyDescent="0.15">
      <c r="B118" s="87">
        <v>115</v>
      </c>
      <c r="C118" s="96"/>
      <c r="D118" s="64"/>
      <c r="E118" s="64" t="s">
        <v>50</v>
      </c>
      <c r="F118" s="64" t="s">
        <v>50</v>
      </c>
      <c r="G118" s="64"/>
      <c r="H118" s="64"/>
      <c r="I118" s="27" t="str">
        <f>IFERROR(VLOOKUP($D118,烤漆色號編碼!$A:$D,4,FALSE)*G118+H118,"-")</f>
        <v>-</v>
      </c>
      <c r="J118" s="64">
        <v>1899</v>
      </c>
      <c r="K118" s="97">
        <v>12</v>
      </c>
    </row>
    <row r="119" spans="2:11" x14ac:dyDescent="0.15">
      <c r="B119" s="87">
        <v>116</v>
      </c>
      <c r="C119" s="96"/>
      <c r="D119" s="64"/>
      <c r="E119" s="64" t="s">
        <v>50</v>
      </c>
      <c r="F119" s="64" t="s">
        <v>50</v>
      </c>
      <c r="G119" s="64"/>
      <c r="H119" s="64"/>
      <c r="I119" s="27" t="str">
        <f>IFERROR(VLOOKUP($D119,烤漆色號編碼!$A:$D,4,FALSE)*G119+H119,"-")</f>
        <v>-</v>
      </c>
      <c r="J119" s="64">
        <v>1899</v>
      </c>
      <c r="K119" s="98">
        <v>12</v>
      </c>
    </row>
    <row r="120" spans="2:11" x14ac:dyDescent="0.15">
      <c r="B120" s="87">
        <v>117</v>
      </c>
      <c r="C120" s="96"/>
      <c r="D120" s="64"/>
      <c r="E120" s="64" t="s">
        <v>50</v>
      </c>
      <c r="F120" s="64" t="s">
        <v>50</v>
      </c>
      <c r="G120" s="64"/>
      <c r="H120" s="64"/>
      <c r="I120" s="27" t="str">
        <f>IFERROR(VLOOKUP($D120,烤漆色號編碼!$A:$D,4,FALSE)*G120+H120,"-")</f>
        <v>-</v>
      </c>
      <c r="J120" s="64">
        <v>1899</v>
      </c>
      <c r="K120" s="97">
        <v>12</v>
      </c>
    </row>
    <row r="121" spans="2:11" x14ac:dyDescent="0.15">
      <c r="B121" s="87">
        <v>118</v>
      </c>
      <c r="C121" s="96"/>
      <c r="D121" s="64"/>
      <c r="E121" s="64" t="s">
        <v>50</v>
      </c>
      <c r="F121" s="64" t="s">
        <v>50</v>
      </c>
      <c r="G121" s="64"/>
      <c r="H121" s="64"/>
      <c r="I121" s="27" t="str">
        <f>IFERROR(VLOOKUP($D121,烤漆色號編碼!$A:$D,4,FALSE)*G121+H121,"-")</f>
        <v>-</v>
      </c>
      <c r="J121" s="64">
        <v>1899</v>
      </c>
      <c r="K121" s="98">
        <v>12</v>
      </c>
    </row>
    <row r="122" spans="2:11" x14ac:dyDescent="0.15">
      <c r="B122" s="87">
        <v>119</v>
      </c>
      <c r="C122" s="96"/>
      <c r="D122" s="64"/>
      <c r="E122" s="64" t="s">
        <v>50</v>
      </c>
      <c r="F122" s="64" t="s">
        <v>50</v>
      </c>
      <c r="G122" s="64"/>
      <c r="H122" s="64"/>
      <c r="I122" s="27" t="str">
        <f>IFERROR(VLOOKUP($D122,烤漆色號編碼!$A:$D,4,FALSE)*G122+H122,"-")</f>
        <v>-</v>
      </c>
      <c r="J122" s="64">
        <v>1899</v>
      </c>
      <c r="K122" s="97">
        <v>12</v>
      </c>
    </row>
    <row r="123" spans="2:11" x14ac:dyDescent="0.15">
      <c r="B123" s="87">
        <v>120</v>
      </c>
      <c r="C123" s="96"/>
      <c r="D123" s="64"/>
      <c r="E123" s="64" t="s">
        <v>50</v>
      </c>
      <c r="F123" s="64" t="s">
        <v>50</v>
      </c>
      <c r="G123" s="64"/>
      <c r="H123" s="64"/>
      <c r="I123" s="27" t="str">
        <f>IFERROR(VLOOKUP($D123,烤漆色號編碼!$A:$D,4,FALSE)*G123+H123,"-")</f>
        <v>-</v>
      </c>
      <c r="J123" s="64">
        <v>1899</v>
      </c>
      <c r="K123" s="98">
        <v>12</v>
      </c>
    </row>
    <row r="124" spans="2:11" x14ac:dyDescent="0.15">
      <c r="B124" s="87">
        <v>121</v>
      </c>
      <c r="C124" s="96"/>
      <c r="D124" s="64"/>
      <c r="E124" s="64" t="s">
        <v>50</v>
      </c>
      <c r="F124" s="64" t="s">
        <v>50</v>
      </c>
      <c r="G124" s="64"/>
      <c r="H124" s="64"/>
      <c r="I124" s="27" t="str">
        <f>IFERROR(VLOOKUP($D124,烤漆色號編碼!$A:$D,4,FALSE)*G124+H124,"-")</f>
        <v>-</v>
      </c>
      <c r="J124" s="64">
        <v>1899</v>
      </c>
      <c r="K124" s="97">
        <v>12</v>
      </c>
    </row>
    <row r="125" spans="2:11" x14ac:dyDescent="0.15">
      <c r="B125" s="87">
        <v>122</v>
      </c>
      <c r="C125" s="96"/>
      <c r="D125" s="64"/>
      <c r="E125" s="64" t="s">
        <v>50</v>
      </c>
      <c r="F125" s="64" t="s">
        <v>50</v>
      </c>
      <c r="G125" s="64"/>
      <c r="H125" s="64"/>
      <c r="I125" s="27" t="str">
        <f>IFERROR(VLOOKUP($D125,烤漆色號編碼!$A:$D,4,FALSE)*G125+H125,"-")</f>
        <v>-</v>
      </c>
      <c r="J125" s="64">
        <v>1899</v>
      </c>
      <c r="K125" s="98">
        <v>12</v>
      </c>
    </row>
    <row r="126" spans="2:11" x14ac:dyDescent="0.15">
      <c r="B126" s="87">
        <v>123</v>
      </c>
      <c r="C126" s="96"/>
      <c r="D126" s="64"/>
      <c r="E126" s="64" t="s">
        <v>50</v>
      </c>
      <c r="F126" s="64" t="s">
        <v>50</v>
      </c>
      <c r="G126" s="64"/>
      <c r="H126" s="64"/>
      <c r="I126" s="27" t="str">
        <f>IFERROR(VLOOKUP($D126,烤漆色號編碼!$A:$D,4,FALSE)*G126+H126,"-")</f>
        <v>-</v>
      </c>
      <c r="J126" s="64">
        <v>1899</v>
      </c>
      <c r="K126" s="97">
        <v>12</v>
      </c>
    </row>
    <row r="127" spans="2:11" x14ac:dyDescent="0.15">
      <c r="B127" s="87">
        <v>124</v>
      </c>
      <c r="C127" s="96"/>
      <c r="D127" s="64"/>
      <c r="E127" s="64" t="s">
        <v>50</v>
      </c>
      <c r="F127" s="64" t="s">
        <v>50</v>
      </c>
      <c r="G127" s="64"/>
      <c r="H127" s="64"/>
      <c r="I127" s="27" t="str">
        <f>IFERROR(VLOOKUP($D127,烤漆色號編碼!$A:$D,4,FALSE)*G127+H127,"-")</f>
        <v>-</v>
      </c>
      <c r="J127" s="64">
        <v>1899</v>
      </c>
      <c r="K127" s="98">
        <v>12</v>
      </c>
    </row>
    <row r="128" spans="2:11" x14ac:dyDescent="0.15">
      <c r="B128" s="87">
        <v>125</v>
      </c>
      <c r="C128" s="96"/>
      <c r="D128" s="64"/>
      <c r="E128" s="64" t="s">
        <v>50</v>
      </c>
      <c r="F128" s="64" t="s">
        <v>50</v>
      </c>
      <c r="G128" s="64"/>
      <c r="H128" s="64"/>
      <c r="I128" s="27" t="str">
        <f>IFERROR(VLOOKUP($D128,烤漆色號編碼!$A:$D,4,FALSE)*G128+H128,"-")</f>
        <v>-</v>
      </c>
      <c r="J128" s="64">
        <v>1899</v>
      </c>
      <c r="K128" s="97">
        <v>12</v>
      </c>
    </row>
    <row r="129" spans="2:11" x14ac:dyDescent="0.15">
      <c r="B129" s="87">
        <v>126</v>
      </c>
      <c r="C129" s="96"/>
      <c r="D129" s="64"/>
      <c r="E129" s="64" t="s">
        <v>50</v>
      </c>
      <c r="F129" s="64" t="s">
        <v>50</v>
      </c>
      <c r="G129" s="64"/>
      <c r="H129" s="64"/>
      <c r="I129" s="27" t="str">
        <f>IFERROR(VLOOKUP($D129,烤漆色號編碼!$A:$D,4,FALSE)*G129+H129,"-")</f>
        <v>-</v>
      </c>
      <c r="J129" s="64">
        <v>1899</v>
      </c>
      <c r="K129" s="98">
        <v>12</v>
      </c>
    </row>
    <row r="130" spans="2:11" x14ac:dyDescent="0.15">
      <c r="B130" s="87">
        <v>127</v>
      </c>
      <c r="C130" s="96"/>
      <c r="D130" s="64"/>
      <c r="E130" s="64" t="s">
        <v>50</v>
      </c>
      <c r="F130" s="64" t="s">
        <v>50</v>
      </c>
      <c r="G130" s="64"/>
      <c r="H130" s="64"/>
      <c r="I130" s="27" t="str">
        <f>IFERROR(VLOOKUP($D130,烤漆色號編碼!$A:$D,4,FALSE)*G130+H130,"-")</f>
        <v>-</v>
      </c>
      <c r="J130" s="64">
        <v>1899</v>
      </c>
      <c r="K130" s="97">
        <v>12</v>
      </c>
    </row>
    <row r="131" spans="2:11" x14ac:dyDescent="0.15">
      <c r="B131" s="86">
        <v>128</v>
      </c>
      <c r="C131" s="130"/>
      <c r="D131" s="131"/>
      <c r="E131" s="131" t="s">
        <v>50</v>
      </c>
      <c r="F131" s="131" t="s">
        <v>50</v>
      </c>
      <c r="G131" s="131"/>
      <c r="H131" s="131"/>
      <c r="I131" s="131"/>
      <c r="J131" s="131">
        <v>1899</v>
      </c>
      <c r="K131" s="90">
        <v>12</v>
      </c>
    </row>
    <row r="132" spans="2:11" x14ac:dyDescent="0.15">
      <c r="B132" s="86">
        <v>129</v>
      </c>
      <c r="C132" s="99"/>
      <c r="D132" s="89"/>
      <c r="E132" s="89" t="s">
        <v>50</v>
      </c>
      <c r="F132" s="89" t="s">
        <v>50</v>
      </c>
      <c r="G132" s="89"/>
      <c r="H132" s="89"/>
      <c r="I132" s="89"/>
      <c r="J132" s="89">
        <v>1899</v>
      </c>
      <c r="K132" s="89">
        <v>12</v>
      </c>
    </row>
    <row r="133" spans="2:11" x14ac:dyDescent="0.15">
      <c r="B133" s="86">
        <v>130</v>
      </c>
      <c r="C133" s="100"/>
      <c r="D133" s="90"/>
      <c r="E133" s="90" t="s">
        <v>50</v>
      </c>
      <c r="F133" s="90" t="s">
        <v>50</v>
      </c>
      <c r="G133" s="90"/>
      <c r="H133" s="90"/>
      <c r="I133" s="90"/>
      <c r="J133" s="90">
        <v>1899</v>
      </c>
      <c r="K133" s="90">
        <v>12</v>
      </c>
    </row>
    <row r="134" spans="2:11" x14ac:dyDescent="0.15">
      <c r="B134" s="86">
        <v>131</v>
      </c>
      <c r="C134" s="99"/>
      <c r="D134" s="89"/>
      <c r="E134" s="89" t="s">
        <v>50</v>
      </c>
      <c r="F134" s="89" t="s">
        <v>50</v>
      </c>
      <c r="G134" s="89"/>
      <c r="H134" s="89"/>
      <c r="I134" s="89"/>
      <c r="J134" s="89">
        <v>1899</v>
      </c>
      <c r="K134" s="89">
        <v>12</v>
      </c>
    </row>
    <row r="135" spans="2:11" x14ac:dyDescent="0.15">
      <c r="B135" s="86">
        <v>132</v>
      </c>
      <c r="C135" s="100"/>
      <c r="D135" s="90"/>
      <c r="E135" s="90" t="s">
        <v>50</v>
      </c>
      <c r="F135" s="90" t="s">
        <v>50</v>
      </c>
      <c r="G135" s="90"/>
      <c r="H135" s="90"/>
      <c r="I135" s="90"/>
      <c r="J135" s="90">
        <v>1899</v>
      </c>
      <c r="K135" s="90">
        <v>12</v>
      </c>
    </row>
    <row r="136" spans="2:11" x14ac:dyDescent="0.15">
      <c r="B136" s="86">
        <v>133</v>
      </c>
      <c r="C136" s="99"/>
      <c r="D136" s="89"/>
      <c r="E136" s="89" t="s">
        <v>50</v>
      </c>
      <c r="F136" s="89" t="s">
        <v>50</v>
      </c>
      <c r="G136" s="89"/>
      <c r="H136" s="89"/>
      <c r="I136" s="89"/>
      <c r="J136" s="89">
        <v>1899</v>
      </c>
      <c r="K136" s="89">
        <v>12</v>
      </c>
    </row>
    <row r="137" spans="2:11" x14ac:dyDescent="0.15">
      <c r="B137" s="86">
        <v>134</v>
      </c>
      <c r="C137" s="100"/>
      <c r="D137" s="90"/>
      <c r="E137" s="90" t="s">
        <v>50</v>
      </c>
      <c r="F137" s="90" t="s">
        <v>50</v>
      </c>
      <c r="G137" s="90"/>
      <c r="H137" s="90"/>
      <c r="I137" s="90"/>
      <c r="J137" s="90">
        <v>1899</v>
      </c>
      <c r="K137" s="90">
        <v>12</v>
      </c>
    </row>
    <row r="138" spans="2:11" x14ac:dyDescent="0.15">
      <c r="B138" s="86">
        <v>135</v>
      </c>
      <c r="C138" s="99"/>
      <c r="D138" s="89"/>
      <c r="E138" s="89" t="s">
        <v>50</v>
      </c>
      <c r="F138" s="89" t="s">
        <v>50</v>
      </c>
      <c r="G138" s="89"/>
      <c r="H138" s="89"/>
      <c r="I138" s="89"/>
      <c r="J138" s="89">
        <v>1899</v>
      </c>
      <c r="K138" s="89">
        <v>12</v>
      </c>
    </row>
    <row r="139" spans="2:11" x14ac:dyDescent="0.15">
      <c r="B139" s="86">
        <v>136</v>
      </c>
      <c r="C139" s="100"/>
      <c r="D139" s="90"/>
      <c r="E139" s="90" t="s">
        <v>50</v>
      </c>
      <c r="F139" s="90" t="s">
        <v>50</v>
      </c>
      <c r="G139" s="90"/>
      <c r="H139" s="90"/>
      <c r="I139" s="90"/>
      <c r="J139" s="90">
        <v>1899</v>
      </c>
      <c r="K139" s="90">
        <v>12</v>
      </c>
    </row>
    <row r="140" spans="2:11" x14ac:dyDescent="0.15">
      <c r="B140" s="86">
        <v>137</v>
      </c>
      <c r="C140" s="99"/>
      <c r="D140" s="89"/>
      <c r="E140" s="89" t="s">
        <v>50</v>
      </c>
      <c r="F140" s="89" t="s">
        <v>50</v>
      </c>
      <c r="G140" s="89"/>
      <c r="H140" s="89"/>
      <c r="I140" s="89"/>
      <c r="J140" s="89">
        <v>1899</v>
      </c>
      <c r="K140" s="89">
        <v>12</v>
      </c>
    </row>
    <row r="141" spans="2:11" x14ac:dyDescent="0.15">
      <c r="B141" s="86">
        <v>138</v>
      </c>
      <c r="C141" s="100"/>
      <c r="D141" s="90"/>
      <c r="E141" s="90" t="s">
        <v>50</v>
      </c>
      <c r="F141" s="90" t="s">
        <v>50</v>
      </c>
      <c r="G141" s="90"/>
      <c r="H141" s="90"/>
      <c r="I141" s="90"/>
      <c r="J141" s="90">
        <v>1899</v>
      </c>
      <c r="K141" s="90">
        <v>12</v>
      </c>
    </row>
    <row r="142" spans="2:11" x14ac:dyDescent="0.15">
      <c r="B142" s="86">
        <v>139</v>
      </c>
      <c r="C142" s="99"/>
      <c r="D142" s="89"/>
      <c r="E142" s="89" t="s">
        <v>50</v>
      </c>
      <c r="F142" s="89" t="s">
        <v>50</v>
      </c>
      <c r="G142" s="89"/>
      <c r="H142" s="89"/>
      <c r="I142" s="89"/>
      <c r="J142" s="89">
        <v>1899</v>
      </c>
      <c r="K142" s="89">
        <v>12</v>
      </c>
    </row>
    <row r="143" spans="2:11" x14ac:dyDescent="0.15">
      <c r="B143" s="86">
        <v>140</v>
      </c>
      <c r="C143" s="100"/>
      <c r="D143" s="90"/>
      <c r="E143" s="90" t="s">
        <v>50</v>
      </c>
      <c r="F143" s="90" t="s">
        <v>50</v>
      </c>
      <c r="G143" s="90"/>
      <c r="H143" s="90"/>
      <c r="I143" s="90"/>
      <c r="J143" s="90">
        <v>1899</v>
      </c>
      <c r="K143" s="90">
        <v>12</v>
      </c>
    </row>
    <row r="144" spans="2:11" x14ac:dyDescent="0.15">
      <c r="B144" s="86">
        <v>141</v>
      </c>
      <c r="C144" s="99"/>
      <c r="D144" s="89"/>
      <c r="E144" s="89" t="s">
        <v>50</v>
      </c>
      <c r="F144" s="89" t="s">
        <v>50</v>
      </c>
      <c r="G144" s="89"/>
      <c r="H144" s="89"/>
      <c r="I144" s="89"/>
      <c r="J144" s="89">
        <v>1899</v>
      </c>
      <c r="K144" s="89">
        <v>12</v>
      </c>
    </row>
    <row r="145" spans="2:11" x14ac:dyDescent="0.15">
      <c r="B145" s="86">
        <v>142</v>
      </c>
      <c r="C145" s="100"/>
      <c r="D145" s="90"/>
      <c r="E145" s="90" t="s">
        <v>50</v>
      </c>
      <c r="F145" s="90" t="s">
        <v>50</v>
      </c>
      <c r="G145" s="90"/>
      <c r="H145" s="90"/>
      <c r="I145" s="90"/>
      <c r="J145" s="90">
        <v>1899</v>
      </c>
      <c r="K145" s="90">
        <v>12</v>
      </c>
    </row>
    <row r="146" spans="2:11" x14ac:dyDescent="0.15">
      <c r="B146" s="86">
        <v>143</v>
      </c>
      <c r="C146" s="99"/>
      <c r="D146" s="89"/>
      <c r="E146" s="89" t="s">
        <v>50</v>
      </c>
      <c r="F146" s="89" t="s">
        <v>50</v>
      </c>
      <c r="G146" s="89"/>
      <c r="H146" s="89"/>
      <c r="I146" s="89"/>
      <c r="J146" s="89">
        <v>1899</v>
      </c>
      <c r="K146" s="89">
        <v>12</v>
      </c>
    </row>
    <row r="147" spans="2:11" x14ac:dyDescent="0.15">
      <c r="B147" s="86">
        <v>144</v>
      </c>
      <c r="C147" s="100"/>
      <c r="D147" s="90"/>
      <c r="E147" s="90" t="s">
        <v>50</v>
      </c>
      <c r="F147" s="90" t="s">
        <v>50</v>
      </c>
      <c r="G147" s="90"/>
      <c r="H147" s="90"/>
      <c r="I147" s="90"/>
      <c r="J147" s="90">
        <v>1899</v>
      </c>
      <c r="K147" s="90">
        <v>12</v>
      </c>
    </row>
    <row r="148" spans="2:11" x14ac:dyDescent="0.15">
      <c r="B148" s="86">
        <v>145</v>
      </c>
      <c r="C148" s="99"/>
      <c r="D148" s="89"/>
      <c r="E148" s="89" t="s">
        <v>50</v>
      </c>
      <c r="F148" s="89" t="s">
        <v>50</v>
      </c>
      <c r="G148" s="89"/>
      <c r="H148" s="89"/>
      <c r="I148" s="89"/>
      <c r="J148" s="89">
        <v>1899</v>
      </c>
      <c r="K148" s="89">
        <v>12</v>
      </c>
    </row>
    <row r="149" spans="2:11" x14ac:dyDescent="0.15">
      <c r="B149" s="86">
        <v>146</v>
      </c>
      <c r="C149" s="100"/>
      <c r="D149" s="90"/>
      <c r="E149" s="90" t="s">
        <v>50</v>
      </c>
      <c r="F149" s="90" t="s">
        <v>50</v>
      </c>
      <c r="G149" s="90"/>
      <c r="H149" s="90"/>
      <c r="I149" s="90"/>
      <c r="J149" s="90">
        <v>1899</v>
      </c>
      <c r="K149" s="90">
        <v>12</v>
      </c>
    </row>
    <row r="150" spans="2:11" x14ac:dyDescent="0.15">
      <c r="B150" s="86">
        <v>147</v>
      </c>
      <c r="C150" s="99"/>
      <c r="D150" s="89"/>
      <c r="E150" s="89" t="s">
        <v>50</v>
      </c>
      <c r="F150" s="89" t="s">
        <v>50</v>
      </c>
      <c r="G150" s="89"/>
      <c r="H150" s="89"/>
      <c r="I150" s="89"/>
      <c r="J150" s="89">
        <v>1899</v>
      </c>
      <c r="K150" s="89">
        <v>12</v>
      </c>
    </row>
    <row r="151" spans="2:11" x14ac:dyDescent="0.15">
      <c r="B151" s="86">
        <v>148</v>
      </c>
      <c r="C151" s="100"/>
      <c r="D151" s="90"/>
      <c r="E151" s="90" t="s">
        <v>50</v>
      </c>
      <c r="F151" s="90" t="s">
        <v>50</v>
      </c>
      <c r="G151" s="90"/>
      <c r="H151" s="90"/>
      <c r="I151" s="90"/>
      <c r="J151" s="90">
        <v>1899</v>
      </c>
      <c r="K151" s="90">
        <v>12</v>
      </c>
    </row>
    <row r="152" spans="2:11" x14ac:dyDescent="0.15">
      <c r="B152" s="86">
        <v>149</v>
      </c>
      <c r="C152" s="99"/>
      <c r="D152" s="89"/>
      <c r="E152" s="89" t="s">
        <v>50</v>
      </c>
      <c r="F152" s="89" t="s">
        <v>50</v>
      </c>
      <c r="G152" s="89"/>
      <c r="H152" s="89"/>
      <c r="I152" s="89"/>
      <c r="J152" s="89">
        <v>1899</v>
      </c>
      <c r="K152" s="89">
        <v>12</v>
      </c>
    </row>
    <row r="153" spans="2:11" x14ac:dyDescent="0.15">
      <c r="B153" s="86">
        <v>150</v>
      </c>
      <c r="C153" s="100"/>
      <c r="D153" s="90"/>
      <c r="E153" s="90" t="s">
        <v>50</v>
      </c>
      <c r="F153" s="90" t="s">
        <v>50</v>
      </c>
      <c r="G153" s="90"/>
      <c r="H153" s="90"/>
      <c r="I153" s="90"/>
      <c r="J153" s="90">
        <v>1899</v>
      </c>
      <c r="K153" s="90">
        <v>12</v>
      </c>
    </row>
    <row r="154" spans="2:11" x14ac:dyDescent="0.15">
      <c r="B154" s="86">
        <v>151</v>
      </c>
      <c r="C154" s="99"/>
      <c r="D154" s="89"/>
      <c r="E154" s="89" t="s">
        <v>50</v>
      </c>
      <c r="F154" s="89" t="s">
        <v>50</v>
      </c>
      <c r="G154" s="89"/>
      <c r="H154" s="89"/>
      <c r="I154" s="89"/>
      <c r="J154" s="89">
        <v>1899</v>
      </c>
      <c r="K154" s="89">
        <v>12</v>
      </c>
    </row>
    <row r="155" spans="2:11" x14ac:dyDescent="0.15">
      <c r="B155" s="86">
        <v>152</v>
      </c>
      <c r="C155" s="100"/>
      <c r="D155" s="90"/>
      <c r="E155" s="90" t="s">
        <v>50</v>
      </c>
      <c r="F155" s="90" t="s">
        <v>50</v>
      </c>
      <c r="G155" s="90"/>
      <c r="H155" s="90"/>
      <c r="I155" s="90"/>
      <c r="J155" s="90">
        <v>1899</v>
      </c>
      <c r="K155" s="90">
        <v>12</v>
      </c>
    </row>
    <row r="156" spans="2:11" x14ac:dyDescent="0.15">
      <c r="B156" s="86">
        <v>153</v>
      </c>
      <c r="C156" s="99"/>
      <c r="D156" s="89"/>
      <c r="E156" s="89" t="s">
        <v>50</v>
      </c>
      <c r="F156" s="89" t="s">
        <v>50</v>
      </c>
      <c r="G156" s="89"/>
      <c r="H156" s="89"/>
      <c r="I156" s="89"/>
      <c r="J156" s="89">
        <v>1899</v>
      </c>
      <c r="K156" s="89">
        <v>12</v>
      </c>
    </row>
    <row r="157" spans="2:11" x14ac:dyDescent="0.15">
      <c r="B157" s="86">
        <v>154</v>
      </c>
      <c r="C157" s="100"/>
      <c r="D157" s="90"/>
      <c r="E157" s="90" t="s">
        <v>50</v>
      </c>
      <c r="F157" s="90" t="s">
        <v>50</v>
      </c>
      <c r="G157" s="90"/>
      <c r="H157" s="90"/>
      <c r="I157" s="90"/>
      <c r="J157" s="90">
        <v>1899</v>
      </c>
      <c r="K157" s="90">
        <v>12</v>
      </c>
    </row>
    <row r="158" spans="2:11" x14ac:dyDescent="0.15">
      <c r="B158" s="86">
        <v>155</v>
      </c>
      <c r="C158" s="99"/>
      <c r="D158" s="89"/>
      <c r="E158" s="89" t="s">
        <v>50</v>
      </c>
      <c r="F158" s="89" t="s">
        <v>50</v>
      </c>
      <c r="G158" s="89"/>
      <c r="H158" s="89"/>
      <c r="I158" s="89"/>
      <c r="J158" s="89">
        <v>1899</v>
      </c>
      <c r="K158" s="89">
        <v>12</v>
      </c>
    </row>
    <row r="159" spans="2:11" x14ac:dyDescent="0.15">
      <c r="B159" s="86">
        <v>156</v>
      </c>
      <c r="C159" s="100"/>
      <c r="D159" s="90"/>
      <c r="E159" s="90" t="s">
        <v>50</v>
      </c>
      <c r="F159" s="90" t="s">
        <v>50</v>
      </c>
      <c r="G159" s="90"/>
      <c r="H159" s="90"/>
      <c r="I159" s="90"/>
      <c r="J159" s="90">
        <v>1899</v>
      </c>
      <c r="K159" s="90">
        <v>12</v>
      </c>
    </row>
    <row r="160" spans="2:11" x14ac:dyDescent="0.15">
      <c r="B160" s="86">
        <v>157</v>
      </c>
      <c r="C160" s="99"/>
      <c r="D160" s="89"/>
      <c r="E160" s="89" t="s">
        <v>50</v>
      </c>
      <c r="F160" s="89" t="s">
        <v>50</v>
      </c>
      <c r="G160" s="89"/>
      <c r="H160" s="89"/>
      <c r="I160" s="89"/>
      <c r="J160" s="89">
        <v>1899</v>
      </c>
      <c r="K160" s="89">
        <v>12</v>
      </c>
    </row>
    <row r="161" spans="2:11" x14ac:dyDescent="0.15">
      <c r="B161" s="86">
        <v>158</v>
      </c>
      <c r="C161" s="100"/>
      <c r="D161" s="90"/>
      <c r="E161" s="90" t="s">
        <v>50</v>
      </c>
      <c r="F161" s="90" t="s">
        <v>50</v>
      </c>
      <c r="G161" s="90"/>
      <c r="H161" s="90"/>
      <c r="I161" s="90"/>
      <c r="J161" s="90">
        <v>1899</v>
      </c>
      <c r="K161" s="90">
        <v>12</v>
      </c>
    </row>
    <row r="162" spans="2:11" x14ac:dyDescent="0.15">
      <c r="B162" s="86">
        <v>159</v>
      </c>
      <c r="C162" s="99"/>
      <c r="D162" s="89"/>
      <c r="E162" s="89" t="s">
        <v>50</v>
      </c>
      <c r="F162" s="89" t="s">
        <v>50</v>
      </c>
      <c r="G162" s="89"/>
      <c r="H162" s="89"/>
      <c r="I162" s="89"/>
      <c r="J162" s="89">
        <v>1899</v>
      </c>
      <c r="K162" s="89">
        <v>12</v>
      </c>
    </row>
    <row r="163" spans="2:11" x14ac:dyDescent="0.15">
      <c r="B163" s="86">
        <v>160</v>
      </c>
      <c r="C163" s="100"/>
      <c r="D163" s="90"/>
      <c r="E163" s="90" t="s">
        <v>50</v>
      </c>
      <c r="F163" s="90" t="s">
        <v>50</v>
      </c>
      <c r="G163" s="90"/>
      <c r="H163" s="90"/>
      <c r="I163" s="90"/>
      <c r="J163" s="90">
        <v>1899</v>
      </c>
      <c r="K163" s="90">
        <v>12</v>
      </c>
    </row>
    <row r="164" spans="2:11" x14ac:dyDescent="0.15">
      <c r="B164" s="86">
        <v>161</v>
      </c>
      <c r="C164" s="99"/>
      <c r="D164" s="89"/>
      <c r="E164" s="89" t="s">
        <v>50</v>
      </c>
      <c r="F164" s="89" t="s">
        <v>50</v>
      </c>
      <c r="G164" s="89"/>
      <c r="H164" s="89"/>
      <c r="I164" s="89"/>
      <c r="J164" s="89">
        <v>1899</v>
      </c>
      <c r="K164" s="89">
        <v>12</v>
      </c>
    </row>
    <row r="165" spans="2:11" x14ac:dyDescent="0.15">
      <c r="B165" s="86">
        <v>162</v>
      </c>
      <c r="C165" s="100"/>
      <c r="D165" s="90"/>
      <c r="E165" s="90" t="s">
        <v>50</v>
      </c>
      <c r="F165" s="90" t="s">
        <v>50</v>
      </c>
      <c r="G165" s="90"/>
      <c r="H165" s="90"/>
      <c r="I165" s="90"/>
      <c r="J165" s="90">
        <v>1899</v>
      </c>
      <c r="K165" s="90">
        <v>12</v>
      </c>
    </row>
    <row r="166" spans="2:11" x14ac:dyDescent="0.15">
      <c r="B166" s="86">
        <v>163</v>
      </c>
      <c r="C166" s="99"/>
      <c r="D166" s="89"/>
      <c r="E166" s="89" t="s">
        <v>50</v>
      </c>
      <c r="F166" s="89" t="s">
        <v>50</v>
      </c>
      <c r="G166" s="89"/>
      <c r="H166" s="89"/>
      <c r="I166" s="89"/>
      <c r="J166" s="89">
        <v>1899</v>
      </c>
      <c r="K166" s="89">
        <v>12</v>
      </c>
    </row>
    <row r="167" spans="2:11" x14ac:dyDescent="0.15">
      <c r="B167" s="86">
        <v>164</v>
      </c>
      <c r="C167" s="100"/>
      <c r="D167" s="90"/>
      <c r="E167" s="90" t="s">
        <v>50</v>
      </c>
      <c r="F167" s="90" t="s">
        <v>50</v>
      </c>
      <c r="G167" s="90"/>
      <c r="H167" s="90"/>
      <c r="I167" s="90"/>
      <c r="J167" s="90">
        <v>1899</v>
      </c>
      <c r="K167" s="90">
        <v>12</v>
      </c>
    </row>
    <row r="168" spans="2:11" x14ac:dyDescent="0.15">
      <c r="B168" s="86">
        <v>165</v>
      </c>
      <c r="C168" s="99"/>
      <c r="D168" s="89"/>
      <c r="E168" s="89" t="s">
        <v>50</v>
      </c>
      <c r="F168" s="89" t="s">
        <v>50</v>
      </c>
      <c r="G168" s="89"/>
      <c r="H168" s="89"/>
      <c r="I168" s="89"/>
      <c r="J168" s="89">
        <v>1899</v>
      </c>
      <c r="K168" s="89">
        <v>12</v>
      </c>
    </row>
    <row r="169" spans="2:11" x14ac:dyDescent="0.15">
      <c r="B169" s="86">
        <v>166</v>
      </c>
      <c r="C169" s="100"/>
      <c r="D169" s="90"/>
      <c r="E169" s="90" t="s">
        <v>50</v>
      </c>
      <c r="F169" s="90" t="s">
        <v>50</v>
      </c>
      <c r="G169" s="90"/>
      <c r="H169" s="90"/>
      <c r="I169" s="90"/>
      <c r="J169" s="90">
        <v>1899</v>
      </c>
      <c r="K169" s="90">
        <v>12</v>
      </c>
    </row>
    <row r="170" spans="2:11" x14ac:dyDescent="0.15">
      <c r="B170" s="86">
        <v>167</v>
      </c>
      <c r="C170" s="99"/>
      <c r="D170" s="89"/>
      <c r="E170" s="89" t="s">
        <v>50</v>
      </c>
      <c r="F170" s="89" t="s">
        <v>50</v>
      </c>
      <c r="G170" s="89"/>
      <c r="H170" s="89"/>
      <c r="I170" s="89"/>
      <c r="J170" s="89">
        <v>1899</v>
      </c>
      <c r="K170" s="89">
        <v>12</v>
      </c>
    </row>
    <row r="171" spans="2:11" x14ac:dyDescent="0.15">
      <c r="B171" s="86">
        <v>168</v>
      </c>
      <c r="C171" s="100"/>
      <c r="D171" s="90"/>
      <c r="E171" s="90" t="s">
        <v>50</v>
      </c>
      <c r="F171" s="90" t="s">
        <v>50</v>
      </c>
      <c r="G171" s="90"/>
      <c r="H171" s="90"/>
      <c r="I171" s="90"/>
      <c r="J171" s="90">
        <v>1899</v>
      </c>
      <c r="K171" s="90">
        <v>12</v>
      </c>
    </row>
    <row r="172" spans="2:11" x14ac:dyDescent="0.15">
      <c r="B172" s="86">
        <v>169</v>
      </c>
      <c r="C172" s="99"/>
      <c r="D172" s="89"/>
      <c r="E172" s="89" t="s">
        <v>50</v>
      </c>
      <c r="F172" s="89" t="s">
        <v>50</v>
      </c>
      <c r="G172" s="89"/>
      <c r="H172" s="89"/>
      <c r="I172" s="89"/>
      <c r="J172" s="89">
        <v>1899</v>
      </c>
      <c r="K172" s="89">
        <v>12</v>
      </c>
    </row>
    <row r="173" spans="2:11" x14ac:dyDescent="0.15">
      <c r="B173" s="86">
        <v>170</v>
      </c>
      <c r="C173" s="100"/>
      <c r="D173" s="90"/>
      <c r="E173" s="90" t="s">
        <v>50</v>
      </c>
      <c r="F173" s="90" t="s">
        <v>50</v>
      </c>
      <c r="G173" s="90"/>
      <c r="H173" s="90"/>
      <c r="I173" s="90"/>
      <c r="J173" s="90">
        <v>1899</v>
      </c>
      <c r="K173" s="90">
        <v>12</v>
      </c>
    </row>
    <row r="174" spans="2:11" x14ac:dyDescent="0.15">
      <c r="B174" s="86">
        <v>171</v>
      </c>
      <c r="C174" s="99"/>
      <c r="D174" s="89"/>
      <c r="E174" s="89" t="s">
        <v>50</v>
      </c>
      <c r="F174" s="89" t="s">
        <v>50</v>
      </c>
      <c r="G174" s="89"/>
      <c r="H174" s="89"/>
      <c r="I174" s="89"/>
      <c r="J174" s="89">
        <v>1899</v>
      </c>
      <c r="K174" s="89">
        <v>12</v>
      </c>
    </row>
    <row r="175" spans="2:11" x14ac:dyDescent="0.15">
      <c r="B175" s="86">
        <v>172</v>
      </c>
      <c r="C175" s="100"/>
      <c r="D175" s="90"/>
      <c r="E175" s="90" t="s">
        <v>50</v>
      </c>
      <c r="F175" s="90" t="s">
        <v>50</v>
      </c>
      <c r="G175" s="90"/>
      <c r="H175" s="90"/>
      <c r="I175" s="90"/>
      <c r="J175" s="90">
        <v>1899</v>
      </c>
      <c r="K175" s="90">
        <v>12</v>
      </c>
    </row>
    <row r="176" spans="2:11" x14ac:dyDescent="0.15">
      <c r="B176" s="86">
        <v>173</v>
      </c>
      <c r="C176" s="99"/>
      <c r="D176" s="89"/>
      <c r="E176" s="89" t="s">
        <v>50</v>
      </c>
      <c r="F176" s="89" t="s">
        <v>50</v>
      </c>
      <c r="G176" s="89"/>
      <c r="H176" s="89"/>
      <c r="I176" s="89"/>
      <c r="J176" s="89">
        <v>1899</v>
      </c>
      <c r="K176" s="89">
        <v>12</v>
      </c>
    </row>
    <row r="177" spans="2:11" x14ac:dyDescent="0.15">
      <c r="B177" s="86">
        <v>174</v>
      </c>
      <c r="C177" s="100"/>
      <c r="D177" s="90"/>
      <c r="E177" s="90" t="s">
        <v>50</v>
      </c>
      <c r="F177" s="90" t="s">
        <v>50</v>
      </c>
      <c r="G177" s="90"/>
      <c r="H177" s="90"/>
      <c r="I177" s="90"/>
      <c r="J177" s="90">
        <v>1899</v>
      </c>
      <c r="K177" s="90">
        <v>12</v>
      </c>
    </row>
    <row r="178" spans="2:11" x14ac:dyDescent="0.15">
      <c r="B178" s="86">
        <v>175</v>
      </c>
      <c r="C178" s="99"/>
      <c r="D178" s="89"/>
      <c r="E178" s="89" t="s">
        <v>50</v>
      </c>
      <c r="F178" s="89" t="s">
        <v>50</v>
      </c>
      <c r="G178" s="89"/>
      <c r="H178" s="89"/>
      <c r="I178" s="89"/>
      <c r="J178" s="89">
        <v>1899</v>
      </c>
      <c r="K178" s="89">
        <v>12</v>
      </c>
    </row>
    <row r="179" spans="2:11" x14ac:dyDescent="0.15">
      <c r="B179" s="86">
        <v>176</v>
      </c>
      <c r="C179" s="100"/>
      <c r="D179" s="90"/>
      <c r="E179" s="90" t="s">
        <v>50</v>
      </c>
      <c r="F179" s="90" t="s">
        <v>50</v>
      </c>
      <c r="G179" s="90"/>
      <c r="H179" s="90"/>
      <c r="I179" s="90"/>
      <c r="J179" s="90">
        <v>1899</v>
      </c>
      <c r="K179" s="90">
        <v>12</v>
      </c>
    </row>
    <row r="180" spans="2:11" x14ac:dyDescent="0.15">
      <c r="B180" s="86">
        <v>177</v>
      </c>
      <c r="C180" s="99"/>
      <c r="D180" s="89"/>
      <c r="E180" s="89" t="s">
        <v>50</v>
      </c>
      <c r="F180" s="89" t="s">
        <v>50</v>
      </c>
      <c r="G180" s="89"/>
      <c r="H180" s="89"/>
      <c r="I180" s="89"/>
      <c r="J180" s="89">
        <v>1899</v>
      </c>
      <c r="K180" s="89">
        <v>12</v>
      </c>
    </row>
    <row r="181" spans="2:11" x14ac:dyDescent="0.15">
      <c r="B181" s="86">
        <v>178</v>
      </c>
      <c r="C181" s="100"/>
      <c r="D181" s="90"/>
      <c r="E181" s="90" t="s">
        <v>50</v>
      </c>
      <c r="F181" s="90" t="s">
        <v>50</v>
      </c>
      <c r="G181" s="90"/>
      <c r="H181" s="90"/>
      <c r="I181" s="90"/>
      <c r="J181" s="90">
        <v>1899</v>
      </c>
      <c r="K181" s="90">
        <v>12</v>
      </c>
    </row>
    <row r="182" spans="2:11" x14ac:dyDescent="0.15">
      <c r="B182" s="86">
        <v>179</v>
      </c>
      <c r="C182" s="99"/>
      <c r="D182" s="89"/>
      <c r="E182" s="89" t="s">
        <v>50</v>
      </c>
      <c r="F182" s="89" t="s">
        <v>50</v>
      </c>
      <c r="G182" s="89"/>
      <c r="H182" s="89"/>
      <c r="I182" s="89"/>
      <c r="J182" s="89">
        <v>1899</v>
      </c>
      <c r="K182" s="89">
        <v>12</v>
      </c>
    </row>
    <row r="183" spans="2:11" x14ac:dyDescent="0.15">
      <c r="B183" s="86">
        <v>180</v>
      </c>
      <c r="C183" s="100"/>
      <c r="D183" s="90"/>
      <c r="E183" s="90" t="s">
        <v>50</v>
      </c>
      <c r="F183" s="90" t="s">
        <v>50</v>
      </c>
      <c r="G183" s="90"/>
      <c r="H183" s="90"/>
      <c r="I183" s="90"/>
      <c r="J183" s="90">
        <v>1899</v>
      </c>
      <c r="K183" s="90">
        <v>12</v>
      </c>
    </row>
    <row r="184" spans="2:11" x14ac:dyDescent="0.15">
      <c r="B184" s="86">
        <v>181</v>
      </c>
      <c r="C184" s="99"/>
      <c r="D184" s="89"/>
      <c r="E184" s="89" t="s">
        <v>50</v>
      </c>
      <c r="F184" s="89" t="s">
        <v>50</v>
      </c>
      <c r="G184" s="89"/>
      <c r="H184" s="89"/>
      <c r="I184" s="89"/>
      <c r="J184" s="89">
        <v>1899</v>
      </c>
      <c r="K184" s="89">
        <v>12</v>
      </c>
    </row>
    <row r="185" spans="2:11" x14ac:dyDescent="0.15">
      <c r="B185" s="86">
        <v>182</v>
      </c>
      <c r="C185" s="100"/>
      <c r="D185" s="90"/>
      <c r="E185" s="90" t="s">
        <v>50</v>
      </c>
      <c r="F185" s="90" t="s">
        <v>50</v>
      </c>
      <c r="G185" s="90"/>
      <c r="H185" s="90"/>
      <c r="I185" s="90"/>
      <c r="J185" s="90">
        <v>1899</v>
      </c>
      <c r="K185" s="90">
        <v>12</v>
      </c>
    </row>
    <row r="186" spans="2:11" x14ac:dyDescent="0.15">
      <c r="B186" s="86">
        <v>183</v>
      </c>
      <c r="C186" s="99"/>
      <c r="D186" s="89"/>
      <c r="E186" s="89" t="s">
        <v>50</v>
      </c>
      <c r="F186" s="89" t="s">
        <v>50</v>
      </c>
      <c r="G186" s="89"/>
      <c r="H186" s="89"/>
      <c r="I186" s="89"/>
      <c r="J186" s="89">
        <v>1899</v>
      </c>
      <c r="K186" s="89">
        <v>12</v>
      </c>
    </row>
    <row r="187" spans="2:11" x14ac:dyDescent="0.15">
      <c r="B187" s="86">
        <v>184</v>
      </c>
      <c r="C187" s="100"/>
      <c r="D187" s="90"/>
      <c r="E187" s="90" t="s">
        <v>50</v>
      </c>
      <c r="F187" s="90" t="s">
        <v>50</v>
      </c>
      <c r="G187" s="90"/>
      <c r="H187" s="90"/>
      <c r="I187" s="90"/>
      <c r="J187" s="90">
        <v>1899</v>
      </c>
      <c r="K187" s="90">
        <v>12</v>
      </c>
    </row>
    <row r="188" spans="2:11" x14ac:dyDescent="0.15">
      <c r="B188" s="86">
        <v>185</v>
      </c>
      <c r="C188" s="99"/>
      <c r="D188" s="89"/>
      <c r="E188" s="89" t="s">
        <v>50</v>
      </c>
      <c r="F188" s="89" t="s">
        <v>50</v>
      </c>
      <c r="G188" s="89"/>
      <c r="H188" s="89"/>
      <c r="I188" s="89"/>
      <c r="J188" s="89">
        <v>1899</v>
      </c>
      <c r="K188" s="89">
        <v>12</v>
      </c>
    </row>
    <row r="189" spans="2:11" x14ac:dyDescent="0.15">
      <c r="B189" s="86">
        <v>186</v>
      </c>
      <c r="C189" s="100"/>
      <c r="D189" s="90"/>
      <c r="E189" s="90" t="s">
        <v>50</v>
      </c>
      <c r="F189" s="90" t="s">
        <v>50</v>
      </c>
      <c r="G189" s="90"/>
      <c r="H189" s="90"/>
      <c r="I189" s="90"/>
      <c r="J189" s="90">
        <v>1899</v>
      </c>
      <c r="K189" s="90">
        <v>12</v>
      </c>
    </row>
    <row r="190" spans="2:11" x14ac:dyDescent="0.15">
      <c r="B190" s="86">
        <v>187</v>
      </c>
      <c r="C190" s="99"/>
      <c r="D190" s="89"/>
      <c r="E190" s="89" t="s">
        <v>50</v>
      </c>
      <c r="F190" s="89" t="s">
        <v>50</v>
      </c>
      <c r="G190" s="89"/>
      <c r="H190" s="89"/>
      <c r="I190" s="89"/>
      <c r="J190" s="89">
        <v>1899</v>
      </c>
      <c r="K190" s="89">
        <v>12</v>
      </c>
    </row>
    <row r="191" spans="2:11" x14ac:dyDescent="0.15">
      <c r="B191" s="86">
        <v>188</v>
      </c>
      <c r="C191" s="100"/>
      <c r="D191" s="90"/>
      <c r="E191" s="90" t="s">
        <v>50</v>
      </c>
      <c r="F191" s="90" t="s">
        <v>50</v>
      </c>
      <c r="G191" s="90"/>
      <c r="H191" s="90"/>
      <c r="I191" s="90"/>
      <c r="J191" s="90">
        <v>1899</v>
      </c>
      <c r="K191" s="90">
        <v>12</v>
      </c>
    </row>
    <row r="192" spans="2:11" x14ac:dyDescent="0.15">
      <c r="B192" s="86">
        <v>189</v>
      </c>
      <c r="C192" s="99"/>
      <c r="D192" s="89"/>
      <c r="E192" s="89" t="s">
        <v>50</v>
      </c>
      <c r="F192" s="89" t="s">
        <v>50</v>
      </c>
      <c r="G192" s="89"/>
      <c r="H192" s="89"/>
      <c r="I192" s="89"/>
      <c r="J192" s="89">
        <v>1899</v>
      </c>
      <c r="K192" s="89">
        <v>12</v>
      </c>
    </row>
    <row r="193" spans="2:11" x14ac:dyDescent="0.15">
      <c r="B193" s="86">
        <v>190</v>
      </c>
      <c r="C193" s="100"/>
      <c r="D193" s="90"/>
      <c r="E193" s="90" t="s">
        <v>50</v>
      </c>
      <c r="F193" s="90" t="s">
        <v>50</v>
      </c>
      <c r="G193" s="90"/>
      <c r="H193" s="90"/>
      <c r="I193" s="90"/>
      <c r="J193" s="90">
        <v>1899</v>
      </c>
      <c r="K193" s="90">
        <v>12</v>
      </c>
    </row>
    <row r="194" spans="2:11" x14ac:dyDescent="0.15">
      <c r="B194" s="86">
        <v>191</v>
      </c>
      <c r="C194" s="99"/>
      <c r="D194" s="89"/>
      <c r="E194" s="89" t="s">
        <v>50</v>
      </c>
      <c r="F194" s="89" t="s">
        <v>50</v>
      </c>
      <c r="G194" s="89"/>
      <c r="H194" s="89"/>
      <c r="I194" s="89"/>
      <c r="J194" s="89">
        <v>1899</v>
      </c>
      <c r="K194" s="89">
        <v>12</v>
      </c>
    </row>
    <row r="195" spans="2:11" x14ac:dyDescent="0.15">
      <c r="B195" s="86">
        <v>192</v>
      </c>
      <c r="C195" s="100"/>
      <c r="D195" s="90"/>
      <c r="E195" s="90" t="s">
        <v>50</v>
      </c>
      <c r="F195" s="90" t="s">
        <v>50</v>
      </c>
      <c r="G195" s="90"/>
      <c r="H195" s="90"/>
      <c r="I195" s="90"/>
      <c r="J195" s="90">
        <v>1899</v>
      </c>
      <c r="K195" s="90">
        <v>12</v>
      </c>
    </row>
    <row r="196" spans="2:11" x14ac:dyDescent="0.15">
      <c r="B196" s="86">
        <v>193</v>
      </c>
      <c r="C196" s="99"/>
      <c r="D196" s="89"/>
      <c r="E196" s="89" t="s">
        <v>50</v>
      </c>
      <c r="F196" s="89" t="s">
        <v>50</v>
      </c>
      <c r="G196" s="89"/>
      <c r="H196" s="89"/>
      <c r="I196" s="89"/>
      <c r="J196" s="89">
        <v>1899</v>
      </c>
      <c r="K196" s="89">
        <v>12</v>
      </c>
    </row>
    <row r="197" spans="2:11" x14ac:dyDescent="0.15">
      <c r="B197" s="86">
        <v>194</v>
      </c>
      <c r="C197" s="100"/>
      <c r="D197" s="90"/>
      <c r="E197" s="90" t="s">
        <v>50</v>
      </c>
      <c r="F197" s="90" t="s">
        <v>50</v>
      </c>
      <c r="G197" s="90"/>
      <c r="H197" s="90"/>
      <c r="I197" s="90"/>
      <c r="J197" s="90">
        <v>1899</v>
      </c>
      <c r="K197" s="90">
        <v>12</v>
      </c>
    </row>
    <row r="198" spans="2:11" x14ac:dyDescent="0.15">
      <c r="B198" s="86">
        <v>195</v>
      </c>
      <c r="C198" s="99"/>
      <c r="D198" s="89"/>
      <c r="E198" s="89" t="s">
        <v>50</v>
      </c>
      <c r="F198" s="89" t="s">
        <v>50</v>
      </c>
      <c r="G198" s="89"/>
      <c r="H198" s="89"/>
      <c r="I198" s="89"/>
      <c r="J198" s="89">
        <v>1899</v>
      </c>
      <c r="K198" s="89">
        <v>12</v>
      </c>
    </row>
    <row r="199" spans="2:11" x14ac:dyDescent="0.15">
      <c r="B199" s="86">
        <v>196</v>
      </c>
      <c r="C199" s="100"/>
      <c r="D199" s="90"/>
      <c r="E199" s="90" t="s">
        <v>50</v>
      </c>
      <c r="F199" s="90" t="s">
        <v>50</v>
      </c>
      <c r="G199" s="90"/>
      <c r="H199" s="90"/>
      <c r="I199" s="90"/>
      <c r="J199" s="90">
        <v>1899</v>
      </c>
      <c r="K199" s="90">
        <v>12</v>
      </c>
    </row>
    <row r="200" spans="2:11" x14ac:dyDescent="0.15">
      <c r="B200" s="86">
        <v>197</v>
      </c>
      <c r="C200" s="99"/>
      <c r="D200" s="89"/>
      <c r="E200" s="89" t="s">
        <v>50</v>
      </c>
      <c r="F200" s="89" t="s">
        <v>50</v>
      </c>
      <c r="G200" s="89"/>
      <c r="H200" s="89"/>
      <c r="I200" s="89"/>
      <c r="J200" s="89">
        <v>1899</v>
      </c>
      <c r="K200" s="89">
        <v>12</v>
      </c>
    </row>
    <row r="201" spans="2:11" x14ac:dyDescent="0.15">
      <c r="B201" s="86">
        <v>198</v>
      </c>
      <c r="C201" s="100"/>
      <c r="D201" s="90"/>
      <c r="E201" s="90" t="s">
        <v>50</v>
      </c>
      <c r="F201" s="90" t="s">
        <v>50</v>
      </c>
      <c r="G201" s="90"/>
      <c r="H201" s="90"/>
      <c r="I201" s="90"/>
      <c r="J201" s="90">
        <v>1899</v>
      </c>
      <c r="K201" s="90">
        <v>12</v>
      </c>
    </row>
    <row r="202" spans="2:11" x14ac:dyDescent="0.15">
      <c r="B202" s="86">
        <v>199</v>
      </c>
      <c r="C202" s="99"/>
      <c r="D202" s="89"/>
      <c r="E202" s="89" t="s">
        <v>50</v>
      </c>
      <c r="F202" s="89" t="s">
        <v>50</v>
      </c>
      <c r="G202" s="89"/>
      <c r="H202" s="89"/>
      <c r="I202" s="89"/>
      <c r="J202" s="89">
        <v>1899</v>
      </c>
      <c r="K202" s="89">
        <v>12</v>
      </c>
    </row>
    <row r="203" spans="2:11" x14ac:dyDescent="0.15">
      <c r="B203" s="86">
        <v>200</v>
      </c>
      <c r="C203" s="100"/>
      <c r="D203" s="90"/>
      <c r="E203" s="90" t="s">
        <v>50</v>
      </c>
      <c r="F203" s="90" t="s">
        <v>50</v>
      </c>
      <c r="G203" s="90"/>
      <c r="H203" s="90"/>
      <c r="I203" s="90"/>
      <c r="J203" s="90">
        <v>1899</v>
      </c>
      <c r="K203" s="90">
        <v>12</v>
      </c>
    </row>
    <row r="204" spans="2:11" x14ac:dyDescent="0.15">
      <c r="B204" s="86">
        <v>201</v>
      </c>
      <c r="C204" s="99"/>
      <c r="D204" s="89"/>
      <c r="E204" s="89" t="s">
        <v>50</v>
      </c>
      <c r="F204" s="89" t="s">
        <v>50</v>
      </c>
      <c r="G204" s="89"/>
      <c r="H204" s="89"/>
      <c r="I204" s="89"/>
      <c r="J204" s="89">
        <v>1899</v>
      </c>
      <c r="K204" s="89">
        <v>12</v>
      </c>
    </row>
    <row r="205" spans="2:11" x14ac:dyDescent="0.15">
      <c r="B205" s="86">
        <v>202</v>
      </c>
      <c r="C205" s="100"/>
      <c r="D205" s="90"/>
      <c r="E205" s="90" t="s">
        <v>50</v>
      </c>
      <c r="F205" s="90" t="s">
        <v>50</v>
      </c>
      <c r="G205" s="90"/>
      <c r="H205" s="90"/>
      <c r="I205" s="90"/>
      <c r="J205" s="90">
        <v>1899</v>
      </c>
      <c r="K205" s="90">
        <v>12</v>
      </c>
    </row>
    <row r="206" spans="2:11" x14ac:dyDescent="0.15">
      <c r="B206" s="86">
        <v>203</v>
      </c>
      <c r="C206" s="99"/>
      <c r="D206" s="89"/>
      <c r="E206" s="89" t="s">
        <v>50</v>
      </c>
      <c r="F206" s="89" t="s">
        <v>50</v>
      </c>
      <c r="G206" s="89"/>
      <c r="H206" s="89"/>
      <c r="I206" s="89"/>
      <c r="J206" s="89">
        <v>1899</v>
      </c>
      <c r="K206" s="89">
        <v>12</v>
      </c>
    </row>
    <row r="207" spans="2:11" x14ac:dyDescent="0.15">
      <c r="B207" s="86">
        <v>204</v>
      </c>
      <c r="C207" s="100"/>
      <c r="D207" s="90"/>
      <c r="E207" s="90" t="s">
        <v>50</v>
      </c>
      <c r="F207" s="90" t="s">
        <v>50</v>
      </c>
      <c r="G207" s="90"/>
      <c r="H207" s="90"/>
      <c r="I207" s="90"/>
      <c r="J207" s="90">
        <v>1899</v>
      </c>
      <c r="K207" s="90">
        <v>12</v>
      </c>
    </row>
    <row r="208" spans="2:11" x14ac:dyDescent="0.15">
      <c r="B208" s="86">
        <v>205</v>
      </c>
      <c r="C208" s="99"/>
      <c r="D208" s="89"/>
      <c r="E208" s="89" t="s">
        <v>50</v>
      </c>
      <c r="F208" s="89" t="s">
        <v>50</v>
      </c>
      <c r="G208" s="89"/>
      <c r="H208" s="89"/>
      <c r="I208" s="89"/>
      <c r="J208" s="89">
        <v>1899</v>
      </c>
      <c r="K208" s="89">
        <v>12</v>
      </c>
    </row>
    <row r="209" spans="2:11" x14ac:dyDescent="0.15">
      <c r="B209" s="86">
        <v>206</v>
      </c>
      <c r="C209" s="100"/>
      <c r="D209" s="90"/>
      <c r="E209" s="90" t="s">
        <v>50</v>
      </c>
      <c r="F209" s="90" t="s">
        <v>50</v>
      </c>
      <c r="G209" s="90"/>
      <c r="H209" s="90"/>
      <c r="I209" s="90"/>
      <c r="J209" s="90">
        <v>1899</v>
      </c>
      <c r="K209" s="90">
        <v>12</v>
      </c>
    </row>
    <row r="210" spans="2:11" x14ac:dyDescent="0.15">
      <c r="B210" s="86">
        <v>207</v>
      </c>
      <c r="C210" s="99"/>
      <c r="D210" s="89"/>
      <c r="E210" s="89" t="s">
        <v>50</v>
      </c>
      <c r="F210" s="89" t="s">
        <v>50</v>
      </c>
      <c r="G210" s="89"/>
      <c r="H210" s="89"/>
      <c r="I210" s="89"/>
      <c r="J210" s="89">
        <v>1899</v>
      </c>
      <c r="K210" s="89">
        <v>12</v>
      </c>
    </row>
    <row r="211" spans="2:11" x14ac:dyDescent="0.15">
      <c r="B211" s="86">
        <v>208</v>
      </c>
      <c r="C211" s="100"/>
      <c r="D211" s="90"/>
      <c r="E211" s="90" t="s">
        <v>50</v>
      </c>
      <c r="F211" s="90" t="s">
        <v>50</v>
      </c>
      <c r="G211" s="90"/>
      <c r="H211" s="90"/>
      <c r="I211" s="90"/>
      <c r="J211" s="90">
        <v>1899</v>
      </c>
      <c r="K211" s="90">
        <v>12</v>
      </c>
    </row>
    <row r="212" spans="2:11" x14ac:dyDescent="0.15">
      <c r="B212" s="86">
        <v>209</v>
      </c>
      <c r="C212" s="99"/>
      <c r="D212" s="89"/>
      <c r="E212" s="89" t="s">
        <v>50</v>
      </c>
      <c r="F212" s="89" t="s">
        <v>50</v>
      </c>
      <c r="G212" s="89"/>
      <c r="H212" s="89"/>
      <c r="I212" s="89"/>
      <c r="J212" s="89">
        <v>1899</v>
      </c>
      <c r="K212" s="89">
        <v>12</v>
      </c>
    </row>
    <row r="213" spans="2:11" x14ac:dyDescent="0.15">
      <c r="B213" s="86">
        <v>210</v>
      </c>
      <c r="C213" s="100"/>
      <c r="D213" s="90"/>
      <c r="E213" s="90" t="s">
        <v>50</v>
      </c>
      <c r="F213" s="90" t="s">
        <v>50</v>
      </c>
      <c r="G213" s="90"/>
      <c r="H213" s="90"/>
      <c r="I213" s="90"/>
      <c r="J213" s="90">
        <v>1899</v>
      </c>
      <c r="K213" s="90">
        <v>12</v>
      </c>
    </row>
    <row r="214" spans="2:11" x14ac:dyDescent="0.15">
      <c r="B214" s="86">
        <v>211</v>
      </c>
      <c r="C214" s="99"/>
      <c r="D214" s="89"/>
      <c r="E214" s="89" t="s">
        <v>50</v>
      </c>
      <c r="F214" s="89" t="s">
        <v>50</v>
      </c>
      <c r="G214" s="89"/>
      <c r="H214" s="89"/>
      <c r="I214" s="89"/>
      <c r="J214" s="89">
        <v>1899</v>
      </c>
      <c r="K214" s="89">
        <v>12</v>
      </c>
    </row>
    <row r="215" spans="2:11" x14ac:dyDescent="0.15">
      <c r="B215" s="86">
        <v>212</v>
      </c>
      <c r="C215" s="100"/>
      <c r="D215" s="90"/>
      <c r="E215" s="90" t="s">
        <v>50</v>
      </c>
      <c r="F215" s="90" t="s">
        <v>50</v>
      </c>
      <c r="G215" s="90"/>
      <c r="H215" s="90"/>
      <c r="I215" s="90"/>
      <c r="J215" s="90">
        <v>1899</v>
      </c>
      <c r="K215" s="90">
        <v>12</v>
      </c>
    </row>
    <row r="216" spans="2:11" x14ac:dyDescent="0.15">
      <c r="B216" s="86">
        <v>213</v>
      </c>
      <c r="C216" s="99"/>
      <c r="D216" s="89"/>
      <c r="E216" s="89" t="s">
        <v>50</v>
      </c>
      <c r="F216" s="89" t="s">
        <v>50</v>
      </c>
      <c r="G216" s="89"/>
      <c r="H216" s="89"/>
      <c r="I216" s="89"/>
      <c r="J216" s="89">
        <v>1899</v>
      </c>
      <c r="K216" s="89">
        <v>12</v>
      </c>
    </row>
    <row r="217" spans="2:11" x14ac:dyDescent="0.15">
      <c r="B217" s="86">
        <v>214</v>
      </c>
      <c r="C217" s="100"/>
      <c r="D217" s="90"/>
      <c r="E217" s="90" t="s">
        <v>50</v>
      </c>
      <c r="F217" s="90" t="s">
        <v>50</v>
      </c>
      <c r="G217" s="90"/>
      <c r="H217" s="90"/>
      <c r="I217" s="90"/>
      <c r="J217" s="90">
        <v>1899</v>
      </c>
      <c r="K217" s="90">
        <v>12</v>
      </c>
    </row>
    <row r="218" spans="2:11" x14ac:dyDescent="0.15">
      <c r="B218" s="86">
        <v>215</v>
      </c>
      <c r="C218" s="99"/>
      <c r="D218" s="89"/>
      <c r="E218" s="89" t="s">
        <v>50</v>
      </c>
      <c r="F218" s="89" t="s">
        <v>50</v>
      </c>
      <c r="G218" s="89"/>
      <c r="H218" s="89"/>
      <c r="I218" s="89"/>
      <c r="J218" s="89">
        <v>1899</v>
      </c>
      <c r="K218" s="89">
        <v>12</v>
      </c>
    </row>
    <row r="219" spans="2:11" x14ac:dyDescent="0.15">
      <c r="B219" s="86">
        <v>216</v>
      </c>
      <c r="C219" s="100"/>
      <c r="D219" s="90"/>
      <c r="E219" s="90" t="s">
        <v>50</v>
      </c>
      <c r="F219" s="90" t="s">
        <v>50</v>
      </c>
      <c r="G219" s="90"/>
      <c r="H219" s="90"/>
      <c r="I219" s="90"/>
      <c r="J219" s="90">
        <v>1899</v>
      </c>
      <c r="K219" s="90">
        <v>12</v>
      </c>
    </row>
    <row r="220" spans="2:11" x14ac:dyDescent="0.15">
      <c r="B220" s="86">
        <v>217</v>
      </c>
      <c r="C220" s="99"/>
      <c r="D220" s="89"/>
      <c r="E220" s="89" t="s">
        <v>50</v>
      </c>
      <c r="F220" s="89" t="s">
        <v>50</v>
      </c>
      <c r="G220" s="89"/>
      <c r="H220" s="89"/>
      <c r="I220" s="89"/>
      <c r="J220" s="89">
        <v>1899</v>
      </c>
      <c r="K220" s="89">
        <v>12</v>
      </c>
    </row>
    <row r="221" spans="2:11" x14ac:dyDescent="0.15">
      <c r="B221" s="86">
        <v>218</v>
      </c>
      <c r="C221" s="100"/>
      <c r="D221" s="90"/>
      <c r="E221" s="90" t="s">
        <v>50</v>
      </c>
      <c r="F221" s="90" t="s">
        <v>50</v>
      </c>
      <c r="G221" s="90"/>
      <c r="H221" s="90"/>
      <c r="I221" s="90"/>
      <c r="J221" s="90">
        <v>1899</v>
      </c>
      <c r="K221" s="90">
        <v>12</v>
      </c>
    </row>
    <row r="222" spans="2:11" x14ac:dyDescent="0.15">
      <c r="B222" s="86">
        <v>219</v>
      </c>
      <c r="C222" s="99"/>
      <c r="D222" s="89"/>
      <c r="E222" s="89" t="s">
        <v>50</v>
      </c>
      <c r="F222" s="89" t="s">
        <v>50</v>
      </c>
      <c r="G222" s="89"/>
      <c r="H222" s="89"/>
      <c r="I222" s="89"/>
      <c r="J222" s="89">
        <v>1899</v>
      </c>
      <c r="K222" s="89">
        <v>12</v>
      </c>
    </row>
    <row r="223" spans="2:11" x14ac:dyDescent="0.15">
      <c r="B223" s="86">
        <v>220</v>
      </c>
      <c r="C223" s="100"/>
      <c r="D223" s="90"/>
      <c r="E223" s="90" t="s">
        <v>50</v>
      </c>
      <c r="F223" s="90" t="s">
        <v>50</v>
      </c>
      <c r="G223" s="90"/>
      <c r="H223" s="90"/>
      <c r="I223" s="90"/>
      <c r="J223" s="90">
        <v>1899</v>
      </c>
      <c r="K223" s="90">
        <v>12</v>
      </c>
    </row>
    <row r="224" spans="2:11" x14ac:dyDescent="0.15">
      <c r="B224" s="86">
        <v>221</v>
      </c>
      <c r="C224" s="99"/>
      <c r="D224" s="89"/>
      <c r="E224" s="89" t="s">
        <v>50</v>
      </c>
      <c r="F224" s="89" t="s">
        <v>50</v>
      </c>
      <c r="G224" s="89"/>
      <c r="H224" s="89"/>
      <c r="I224" s="89"/>
      <c r="J224" s="89">
        <v>1899</v>
      </c>
      <c r="K224" s="89">
        <v>12</v>
      </c>
    </row>
    <row r="225" spans="2:11" x14ac:dyDescent="0.15">
      <c r="B225" s="86">
        <v>222</v>
      </c>
      <c r="C225" s="100"/>
      <c r="D225" s="90"/>
      <c r="E225" s="90" t="s">
        <v>50</v>
      </c>
      <c r="F225" s="90" t="s">
        <v>50</v>
      </c>
      <c r="G225" s="90"/>
      <c r="H225" s="90"/>
      <c r="I225" s="90"/>
      <c r="J225" s="90">
        <v>1899</v>
      </c>
      <c r="K225" s="90">
        <v>12</v>
      </c>
    </row>
    <row r="226" spans="2:11" x14ac:dyDescent="0.15">
      <c r="B226" s="86">
        <v>223</v>
      </c>
      <c r="C226" s="99"/>
      <c r="D226" s="89"/>
      <c r="E226" s="89" t="s">
        <v>50</v>
      </c>
      <c r="F226" s="89" t="s">
        <v>50</v>
      </c>
      <c r="G226" s="89"/>
      <c r="H226" s="89"/>
      <c r="I226" s="89"/>
      <c r="J226" s="89">
        <v>1899</v>
      </c>
      <c r="K226" s="89">
        <v>12</v>
      </c>
    </row>
    <row r="227" spans="2:11" x14ac:dyDescent="0.15">
      <c r="B227" s="86">
        <v>224</v>
      </c>
      <c r="C227" s="100"/>
      <c r="D227" s="90"/>
      <c r="E227" s="90" t="s">
        <v>50</v>
      </c>
      <c r="F227" s="90" t="s">
        <v>50</v>
      </c>
      <c r="G227" s="90"/>
      <c r="H227" s="90"/>
      <c r="I227" s="90"/>
      <c r="J227" s="90">
        <v>1899</v>
      </c>
      <c r="K227" s="90">
        <v>12</v>
      </c>
    </row>
    <row r="228" spans="2:11" x14ac:dyDescent="0.15">
      <c r="B228" s="86">
        <v>225</v>
      </c>
      <c r="C228" s="99"/>
      <c r="D228" s="89"/>
      <c r="E228" s="89" t="s">
        <v>50</v>
      </c>
      <c r="F228" s="89" t="s">
        <v>50</v>
      </c>
      <c r="G228" s="89"/>
      <c r="H228" s="89"/>
      <c r="I228" s="89"/>
      <c r="J228" s="89">
        <v>1899</v>
      </c>
      <c r="K228" s="89">
        <v>12</v>
      </c>
    </row>
    <row r="229" spans="2:11" x14ac:dyDescent="0.15">
      <c r="B229" s="86">
        <v>226</v>
      </c>
      <c r="C229" s="100"/>
      <c r="D229" s="90"/>
      <c r="E229" s="90" t="s">
        <v>50</v>
      </c>
      <c r="F229" s="90" t="s">
        <v>50</v>
      </c>
      <c r="G229" s="90"/>
      <c r="H229" s="90"/>
      <c r="I229" s="90"/>
      <c r="J229" s="90">
        <v>1899</v>
      </c>
      <c r="K229" s="90">
        <v>12</v>
      </c>
    </row>
    <row r="230" spans="2:11" x14ac:dyDescent="0.15">
      <c r="B230" s="86">
        <v>227</v>
      </c>
      <c r="C230" s="99"/>
      <c r="D230" s="89"/>
      <c r="E230" s="89" t="s">
        <v>50</v>
      </c>
      <c r="F230" s="89" t="s">
        <v>50</v>
      </c>
      <c r="G230" s="89"/>
      <c r="H230" s="89"/>
      <c r="I230" s="89"/>
      <c r="J230" s="89">
        <v>1899</v>
      </c>
      <c r="K230" s="89">
        <v>12</v>
      </c>
    </row>
    <row r="231" spans="2:11" x14ac:dyDescent="0.15">
      <c r="B231" s="86">
        <v>228</v>
      </c>
      <c r="C231" s="100"/>
      <c r="D231" s="90"/>
      <c r="E231" s="90" t="s">
        <v>50</v>
      </c>
      <c r="F231" s="90" t="s">
        <v>50</v>
      </c>
      <c r="G231" s="90"/>
      <c r="H231" s="90"/>
      <c r="I231" s="90"/>
      <c r="J231" s="90">
        <v>1899</v>
      </c>
      <c r="K231" s="90">
        <v>12</v>
      </c>
    </row>
    <row r="232" spans="2:11" x14ac:dyDescent="0.15">
      <c r="B232" s="86">
        <v>229</v>
      </c>
      <c r="C232" s="99"/>
      <c r="D232" s="89"/>
      <c r="E232" s="89" t="s">
        <v>50</v>
      </c>
      <c r="F232" s="89" t="s">
        <v>50</v>
      </c>
      <c r="G232" s="89"/>
      <c r="H232" s="89"/>
      <c r="I232" s="89"/>
      <c r="J232" s="89">
        <v>1899</v>
      </c>
      <c r="K232" s="89">
        <v>12</v>
      </c>
    </row>
    <row r="233" spans="2:11" x14ac:dyDescent="0.15">
      <c r="B233" s="86">
        <v>230</v>
      </c>
      <c r="C233" s="100"/>
      <c r="D233" s="90"/>
      <c r="E233" s="90" t="s">
        <v>50</v>
      </c>
      <c r="F233" s="90" t="s">
        <v>50</v>
      </c>
      <c r="G233" s="90"/>
      <c r="H233" s="90"/>
      <c r="I233" s="90"/>
      <c r="J233" s="90">
        <v>1899</v>
      </c>
      <c r="K233" s="90">
        <v>12</v>
      </c>
    </row>
    <row r="234" spans="2:11" x14ac:dyDescent="0.15">
      <c r="B234" s="86">
        <v>231</v>
      </c>
      <c r="C234" s="99"/>
      <c r="D234" s="89"/>
      <c r="E234" s="89" t="s">
        <v>50</v>
      </c>
      <c r="F234" s="89" t="s">
        <v>50</v>
      </c>
      <c r="G234" s="89"/>
      <c r="H234" s="89"/>
      <c r="I234" s="89"/>
      <c r="J234" s="89">
        <v>1899</v>
      </c>
      <c r="K234" s="89">
        <v>12</v>
      </c>
    </row>
    <row r="235" spans="2:11" x14ac:dyDescent="0.15">
      <c r="B235" s="86">
        <v>232</v>
      </c>
      <c r="C235" s="100"/>
      <c r="D235" s="90"/>
      <c r="E235" s="90" t="s">
        <v>50</v>
      </c>
      <c r="F235" s="90" t="s">
        <v>50</v>
      </c>
      <c r="G235" s="90"/>
      <c r="H235" s="90"/>
      <c r="I235" s="90"/>
      <c r="J235" s="90">
        <v>1899</v>
      </c>
      <c r="K235" s="90">
        <v>12</v>
      </c>
    </row>
    <row r="236" spans="2:11" x14ac:dyDescent="0.15">
      <c r="B236" s="86">
        <v>233</v>
      </c>
      <c r="C236" s="99"/>
      <c r="D236" s="89"/>
      <c r="E236" s="89" t="s">
        <v>50</v>
      </c>
      <c r="F236" s="89" t="s">
        <v>50</v>
      </c>
      <c r="G236" s="89"/>
      <c r="H236" s="89"/>
      <c r="I236" s="89"/>
      <c r="J236" s="89">
        <v>1899</v>
      </c>
      <c r="K236" s="89">
        <v>12</v>
      </c>
    </row>
    <row r="237" spans="2:11" x14ac:dyDescent="0.15">
      <c r="B237" s="86">
        <v>234</v>
      </c>
      <c r="C237" s="100"/>
      <c r="D237" s="90"/>
      <c r="E237" s="90" t="s">
        <v>50</v>
      </c>
      <c r="F237" s="90" t="s">
        <v>50</v>
      </c>
      <c r="G237" s="90"/>
      <c r="H237" s="90"/>
      <c r="I237" s="90"/>
      <c r="J237" s="90">
        <v>1899</v>
      </c>
      <c r="K237" s="90">
        <v>12</v>
      </c>
    </row>
    <row r="238" spans="2:11" x14ac:dyDescent="0.15">
      <c r="B238" s="86">
        <v>235</v>
      </c>
      <c r="C238" s="99"/>
      <c r="D238" s="89"/>
      <c r="E238" s="89" t="s">
        <v>50</v>
      </c>
      <c r="F238" s="89" t="s">
        <v>50</v>
      </c>
      <c r="G238" s="89"/>
      <c r="H238" s="89"/>
      <c r="I238" s="89"/>
      <c r="J238" s="89">
        <v>1899</v>
      </c>
      <c r="K238" s="89">
        <v>12</v>
      </c>
    </row>
    <row r="239" spans="2:11" x14ac:dyDescent="0.15">
      <c r="B239" s="86">
        <v>236</v>
      </c>
      <c r="C239" s="100"/>
      <c r="D239" s="90"/>
      <c r="E239" s="90" t="s">
        <v>50</v>
      </c>
      <c r="F239" s="90" t="s">
        <v>50</v>
      </c>
      <c r="G239" s="90"/>
      <c r="H239" s="90"/>
      <c r="I239" s="90"/>
      <c r="J239" s="90">
        <v>1899</v>
      </c>
      <c r="K239" s="90">
        <v>12</v>
      </c>
    </row>
    <row r="240" spans="2:11" x14ac:dyDescent="0.15">
      <c r="B240" s="86">
        <v>237</v>
      </c>
      <c r="C240" s="99"/>
      <c r="D240" s="89"/>
      <c r="E240" s="89" t="s">
        <v>50</v>
      </c>
      <c r="F240" s="89" t="s">
        <v>50</v>
      </c>
      <c r="G240" s="89"/>
      <c r="H240" s="89"/>
      <c r="I240" s="89"/>
      <c r="J240" s="89">
        <v>1899</v>
      </c>
      <c r="K240" s="89">
        <v>12</v>
      </c>
    </row>
    <row r="241" spans="2:11" x14ac:dyDescent="0.15">
      <c r="B241" s="86">
        <v>238</v>
      </c>
      <c r="C241" s="100"/>
      <c r="D241" s="90"/>
      <c r="E241" s="90" t="s">
        <v>50</v>
      </c>
      <c r="F241" s="90" t="s">
        <v>50</v>
      </c>
      <c r="G241" s="90"/>
      <c r="H241" s="90"/>
      <c r="I241" s="90"/>
      <c r="J241" s="90">
        <v>1899</v>
      </c>
      <c r="K241" s="90">
        <v>12</v>
      </c>
    </row>
    <row r="242" spans="2:11" x14ac:dyDescent="0.15">
      <c r="B242" s="86">
        <v>239</v>
      </c>
      <c r="C242" s="99"/>
      <c r="D242" s="89"/>
      <c r="E242" s="89" t="s">
        <v>50</v>
      </c>
      <c r="F242" s="89" t="s">
        <v>50</v>
      </c>
      <c r="G242" s="89"/>
      <c r="H242" s="89"/>
      <c r="I242" s="89"/>
      <c r="J242" s="89">
        <v>1899</v>
      </c>
      <c r="K242" s="89">
        <v>12</v>
      </c>
    </row>
    <row r="243" spans="2:11" x14ac:dyDescent="0.15">
      <c r="B243" s="86">
        <v>240</v>
      </c>
      <c r="C243" s="100"/>
      <c r="D243" s="90"/>
      <c r="E243" s="90" t="s">
        <v>50</v>
      </c>
      <c r="F243" s="90" t="s">
        <v>50</v>
      </c>
      <c r="G243" s="90"/>
      <c r="H243" s="90"/>
      <c r="I243" s="90"/>
      <c r="J243" s="90">
        <v>1899</v>
      </c>
      <c r="K243" s="90">
        <v>12</v>
      </c>
    </row>
    <row r="244" spans="2:11" x14ac:dyDescent="0.15">
      <c r="B244" s="86">
        <v>241</v>
      </c>
      <c r="C244" s="99"/>
      <c r="D244" s="89"/>
      <c r="E244" s="89" t="s">
        <v>50</v>
      </c>
      <c r="F244" s="89" t="s">
        <v>50</v>
      </c>
      <c r="G244" s="89"/>
      <c r="H244" s="89"/>
      <c r="I244" s="89"/>
      <c r="J244" s="89">
        <v>1899</v>
      </c>
      <c r="K244" s="89">
        <v>12</v>
      </c>
    </row>
    <row r="245" spans="2:11" x14ac:dyDescent="0.15">
      <c r="B245" s="86">
        <v>242</v>
      </c>
      <c r="C245" s="100"/>
      <c r="D245" s="90"/>
      <c r="E245" s="90" t="s">
        <v>50</v>
      </c>
      <c r="F245" s="90" t="s">
        <v>50</v>
      </c>
      <c r="G245" s="90"/>
      <c r="H245" s="90"/>
      <c r="I245" s="90"/>
      <c r="J245" s="90">
        <v>1899</v>
      </c>
      <c r="K245" s="90">
        <v>12</v>
      </c>
    </row>
    <row r="246" spans="2:11" x14ac:dyDescent="0.15">
      <c r="B246" s="86">
        <v>243</v>
      </c>
      <c r="C246" s="99"/>
      <c r="D246" s="89"/>
      <c r="E246" s="89" t="s">
        <v>50</v>
      </c>
      <c r="F246" s="89" t="s">
        <v>50</v>
      </c>
      <c r="G246" s="89"/>
      <c r="H246" s="89"/>
      <c r="I246" s="89"/>
      <c r="J246" s="89">
        <v>1899</v>
      </c>
      <c r="K246" s="89">
        <v>12</v>
      </c>
    </row>
    <row r="247" spans="2:11" x14ac:dyDescent="0.15">
      <c r="B247" s="86">
        <v>244</v>
      </c>
      <c r="C247" s="100"/>
      <c r="D247" s="90"/>
      <c r="E247" s="90" t="s">
        <v>50</v>
      </c>
      <c r="F247" s="90" t="s">
        <v>50</v>
      </c>
      <c r="G247" s="90"/>
      <c r="H247" s="90"/>
      <c r="I247" s="90"/>
      <c r="J247" s="90">
        <v>1899</v>
      </c>
      <c r="K247" s="90">
        <v>12</v>
      </c>
    </row>
    <row r="248" spans="2:11" x14ac:dyDescent="0.15">
      <c r="B248" s="86">
        <v>245</v>
      </c>
      <c r="C248" s="99"/>
      <c r="D248" s="89"/>
      <c r="E248" s="89" t="s">
        <v>50</v>
      </c>
      <c r="F248" s="89" t="s">
        <v>50</v>
      </c>
      <c r="G248" s="89"/>
      <c r="H248" s="89"/>
      <c r="I248" s="89"/>
      <c r="J248" s="89">
        <v>1899</v>
      </c>
      <c r="K248" s="89">
        <v>12</v>
      </c>
    </row>
    <row r="249" spans="2:11" x14ac:dyDescent="0.15">
      <c r="B249" s="86">
        <v>246</v>
      </c>
      <c r="C249" s="100"/>
      <c r="D249" s="90"/>
      <c r="E249" s="90" t="s">
        <v>50</v>
      </c>
      <c r="F249" s="90" t="s">
        <v>50</v>
      </c>
      <c r="G249" s="90"/>
      <c r="H249" s="90"/>
      <c r="I249" s="90"/>
      <c r="J249" s="90">
        <v>1899</v>
      </c>
      <c r="K249" s="90">
        <v>12</v>
      </c>
    </row>
    <row r="250" spans="2:11" x14ac:dyDescent="0.15">
      <c r="B250" s="86">
        <v>247</v>
      </c>
      <c r="C250" s="99"/>
      <c r="D250" s="89"/>
      <c r="E250" s="89" t="s">
        <v>50</v>
      </c>
      <c r="F250" s="89" t="s">
        <v>50</v>
      </c>
      <c r="G250" s="89"/>
      <c r="H250" s="89"/>
      <c r="I250" s="89"/>
      <c r="J250" s="89">
        <v>1899</v>
      </c>
      <c r="K250" s="89">
        <v>12</v>
      </c>
    </row>
    <row r="251" spans="2:11" x14ac:dyDescent="0.15">
      <c r="B251" s="86">
        <v>248</v>
      </c>
      <c r="C251" s="100"/>
      <c r="D251" s="90"/>
      <c r="E251" s="90" t="s">
        <v>50</v>
      </c>
      <c r="F251" s="90" t="s">
        <v>50</v>
      </c>
      <c r="G251" s="90"/>
      <c r="H251" s="90"/>
      <c r="I251" s="90"/>
      <c r="J251" s="90">
        <v>1899</v>
      </c>
      <c r="K251" s="90">
        <v>12</v>
      </c>
    </row>
    <row r="252" spans="2:11" x14ac:dyDescent="0.15">
      <c r="B252" s="86">
        <v>249</v>
      </c>
      <c r="C252" s="99"/>
      <c r="D252" s="89"/>
      <c r="E252" s="89" t="s">
        <v>50</v>
      </c>
      <c r="F252" s="89" t="s">
        <v>50</v>
      </c>
      <c r="G252" s="89"/>
      <c r="H252" s="89"/>
      <c r="I252" s="89"/>
      <c r="J252" s="89">
        <v>1899</v>
      </c>
      <c r="K252" s="89">
        <v>12</v>
      </c>
    </row>
    <row r="253" spans="2:11" x14ac:dyDescent="0.15">
      <c r="B253" s="86">
        <v>250</v>
      </c>
      <c r="C253" s="100"/>
      <c r="D253" s="90"/>
      <c r="E253" s="90" t="s">
        <v>50</v>
      </c>
      <c r="F253" s="90" t="s">
        <v>50</v>
      </c>
      <c r="G253" s="90"/>
      <c r="H253" s="90"/>
      <c r="I253" s="90"/>
      <c r="J253" s="90">
        <v>1899</v>
      </c>
      <c r="K253" s="90">
        <v>12</v>
      </c>
    </row>
    <row r="254" spans="2:11" x14ac:dyDescent="0.15">
      <c r="B254" s="86">
        <v>251</v>
      </c>
      <c r="C254" s="99"/>
      <c r="D254" s="89"/>
      <c r="E254" s="89" t="s">
        <v>50</v>
      </c>
      <c r="F254" s="89" t="s">
        <v>50</v>
      </c>
      <c r="G254" s="89"/>
      <c r="H254" s="89"/>
      <c r="I254" s="89"/>
      <c r="J254" s="89">
        <v>1899</v>
      </c>
      <c r="K254" s="89">
        <v>12</v>
      </c>
    </row>
    <row r="255" spans="2:11" x14ac:dyDescent="0.15">
      <c r="B255" s="86">
        <v>252</v>
      </c>
      <c r="C255" s="100"/>
      <c r="D255" s="90"/>
      <c r="E255" s="90" t="s">
        <v>50</v>
      </c>
      <c r="F255" s="90" t="s">
        <v>50</v>
      </c>
      <c r="G255" s="90"/>
      <c r="H255" s="90"/>
      <c r="I255" s="90"/>
      <c r="J255" s="90">
        <v>1899</v>
      </c>
      <c r="K255" s="90">
        <v>12</v>
      </c>
    </row>
    <row r="256" spans="2:11" x14ac:dyDescent="0.15">
      <c r="B256" s="86">
        <v>253</v>
      </c>
      <c r="C256" s="99"/>
      <c r="D256" s="89"/>
      <c r="E256" s="89" t="s">
        <v>50</v>
      </c>
      <c r="F256" s="89" t="s">
        <v>50</v>
      </c>
      <c r="G256" s="89"/>
      <c r="H256" s="89"/>
      <c r="I256" s="89"/>
      <c r="J256" s="89">
        <v>1899</v>
      </c>
      <c r="K256" s="89">
        <v>12</v>
      </c>
    </row>
    <row r="257" spans="2:11" x14ac:dyDescent="0.15">
      <c r="B257" s="86">
        <v>254</v>
      </c>
      <c r="C257" s="100"/>
      <c r="D257" s="90"/>
      <c r="E257" s="90" t="s">
        <v>50</v>
      </c>
      <c r="F257" s="90" t="s">
        <v>50</v>
      </c>
      <c r="G257" s="90"/>
      <c r="H257" s="90"/>
      <c r="I257" s="90"/>
      <c r="J257" s="90">
        <v>1899</v>
      </c>
      <c r="K257" s="90">
        <v>12</v>
      </c>
    </row>
    <row r="258" spans="2:11" x14ac:dyDescent="0.15">
      <c r="B258" s="86">
        <v>255</v>
      </c>
      <c r="C258" s="99"/>
      <c r="D258" s="89"/>
      <c r="E258" s="89" t="s">
        <v>50</v>
      </c>
      <c r="F258" s="89" t="s">
        <v>50</v>
      </c>
      <c r="G258" s="89"/>
      <c r="H258" s="89"/>
      <c r="I258" s="89"/>
      <c r="J258" s="89">
        <v>1899</v>
      </c>
      <c r="K258" s="89">
        <v>12</v>
      </c>
    </row>
    <row r="259" spans="2:11" x14ac:dyDescent="0.15">
      <c r="B259" s="86">
        <v>256</v>
      </c>
      <c r="C259" s="100"/>
      <c r="D259" s="90"/>
      <c r="E259" s="90" t="s">
        <v>50</v>
      </c>
      <c r="F259" s="90" t="s">
        <v>50</v>
      </c>
      <c r="G259" s="90"/>
      <c r="H259" s="90"/>
      <c r="I259" s="90"/>
      <c r="J259" s="90">
        <v>1899</v>
      </c>
      <c r="K259" s="90">
        <v>12</v>
      </c>
    </row>
    <row r="260" spans="2:11" x14ac:dyDescent="0.15">
      <c r="B260" s="86">
        <v>257</v>
      </c>
      <c r="C260" s="99"/>
      <c r="D260" s="89"/>
      <c r="E260" s="89" t="s">
        <v>50</v>
      </c>
      <c r="F260" s="89" t="s">
        <v>50</v>
      </c>
      <c r="G260" s="89"/>
      <c r="H260" s="89"/>
      <c r="I260" s="89"/>
      <c r="J260" s="89">
        <v>1899</v>
      </c>
      <c r="K260" s="89">
        <v>12</v>
      </c>
    </row>
    <row r="261" spans="2:11" x14ac:dyDescent="0.15">
      <c r="B261" s="86">
        <v>258</v>
      </c>
      <c r="C261" s="100"/>
      <c r="D261" s="90"/>
      <c r="E261" s="90" t="s">
        <v>50</v>
      </c>
      <c r="F261" s="90" t="s">
        <v>50</v>
      </c>
      <c r="G261" s="90"/>
      <c r="H261" s="90"/>
      <c r="I261" s="90"/>
      <c r="J261" s="90">
        <v>1899</v>
      </c>
      <c r="K261" s="90">
        <v>12</v>
      </c>
    </row>
    <row r="262" spans="2:11" x14ac:dyDescent="0.15">
      <c r="B262" s="86">
        <v>259</v>
      </c>
      <c r="C262" s="99"/>
      <c r="D262" s="89"/>
      <c r="E262" s="89" t="s">
        <v>50</v>
      </c>
      <c r="F262" s="89" t="s">
        <v>50</v>
      </c>
      <c r="G262" s="89"/>
      <c r="H262" s="89"/>
      <c r="I262" s="89"/>
      <c r="J262" s="89">
        <v>1899</v>
      </c>
      <c r="K262" s="89">
        <v>12</v>
      </c>
    </row>
    <row r="263" spans="2:11" x14ac:dyDescent="0.15">
      <c r="B263" s="86">
        <v>260</v>
      </c>
      <c r="C263" s="100"/>
      <c r="D263" s="90"/>
      <c r="E263" s="90" t="s">
        <v>50</v>
      </c>
      <c r="F263" s="90" t="s">
        <v>50</v>
      </c>
      <c r="G263" s="90"/>
      <c r="H263" s="90"/>
      <c r="I263" s="90"/>
      <c r="J263" s="90">
        <v>1899</v>
      </c>
      <c r="K263" s="90">
        <v>12</v>
      </c>
    </row>
    <row r="264" spans="2:11" x14ac:dyDescent="0.15">
      <c r="B264" s="86">
        <v>261</v>
      </c>
      <c r="C264" s="99"/>
      <c r="D264" s="89"/>
      <c r="E264" s="89" t="s">
        <v>50</v>
      </c>
      <c r="F264" s="89" t="s">
        <v>50</v>
      </c>
      <c r="G264" s="89"/>
      <c r="H264" s="89"/>
      <c r="I264" s="89"/>
      <c r="J264" s="89">
        <v>1899</v>
      </c>
      <c r="K264" s="89">
        <v>12</v>
      </c>
    </row>
    <row r="265" spans="2:11" x14ac:dyDescent="0.15">
      <c r="B265" s="86">
        <v>262</v>
      </c>
      <c r="C265" s="100"/>
      <c r="D265" s="90"/>
      <c r="E265" s="90" t="s">
        <v>50</v>
      </c>
      <c r="F265" s="90" t="s">
        <v>50</v>
      </c>
      <c r="G265" s="90"/>
      <c r="H265" s="90"/>
      <c r="I265" s="90"/>
      <c r="J265" s="90">
        <v>1899</v>
      </c>
      <c r="K265" s="90">
        <v>12</v>
      </c>
    </row>
    <row r="266" spans="2:11" x14ac:dyDescent="0.15">
      <c r="B266" s="86">
        <v>263</v>
      </c>
      <c r="C266" s="99"/>
      <c r="D266" s="89"/>
      <c r="E266" s="89" t="s">
        <v>50</v>
      </c>
      <c r="F266" s="89" t="s">
        <v>50</v>
      </c>
      <c r="G266" s="89"/>
      <c r="H266" s="89"/>
      <c r="I266" s="89"/>
      <c r="J266" s="89">
        <v>1899</v>
      </c>
      <c r="K266" s="89">
        <v>12</v>
      </c>
    </row>
    <row r="267" spans="2:11" x14ac:dyDescent="0.15">
      <c r="B267" s="86">
        <v>264</v>
      </c>
      <c r="C267" s="100"/>
      <c r="D267" s="90"/>
      <c r="E267" s="90" t="s">
        <v>50</v>
      </c>
      <c r="F267" s="90" t="s">
        <v>50</v>
      </c>
      <c r="G267" s="90"/>
      <c r="H267" s="90"/>
      <c r="I267" s="90"/>
      <c r="J267" s="90">
        <v>1899</v>
      </c>
      <c r="K267" s="90">
        <v>12</v>
      </c>
    </row>
    <row r="268" spans="2:11" x14ac:dyDescent="0.15">
      <c r="B268" s="86">
        <v>265</v>
      </c>
      <c r="C268" s="99"/>
      <c r="D268" s="89"/>
      <c r="E268" s="89" t="s">
        <v>50</v>
      </c>
      <c r="F268" s="89" t="s">
        <v>50</v>
      </c>
      <c r="G268" s="89"/>
      <c r="H268" s="89"/>
      <c r="I268" s="89"/>
      <c r="J268" s="89">
        <v>1899</v>
      </c>
      <c r="K268" s="89">
        <v>12</v>
      </c>
    </row>
    <row r="269" spans="2:11" x14ac:dyDescent="0.15">
      <c r="B269" s="86">
        <v>266</v>
      </c>
      <c r="C269" s="100"/>
      <c r="D269" s="90"/>
      <c r="E269" s="90" t="s">
        <v>50</v>
      </c>
      <c r="F269" s="90" t="s">
        <v>50</v>
      </c>
      <c r="G269" s="90"/>
      <c r="H269" s="90"/>
      <c r="I269" s="90"/>
      <c r="J269" s="90">
        <v>1899</v>
      </c>
      <c r="K269" s="90">
        <v>12</v>
      </c>
    </row>
    <row r="270" spans="2:11" x14ac:dyDescent="0.15">
      <c r="B270" s="86">
        <v>267</v>
      </c>
      <c r="C270" s="99"/>
      <c r="D270" s="89"/>
      <c r="E270" s="89" t="s">
        <v>50</v>
      </c>
      <c r="F270" s="89" t="s">
        <v>50</v>
      </c>
      <c r="G270" s="89"/>
      <c r="H270" s="89"/>
      <c r="I270" s="89"/>
      <c r="J270" s="89">
        <v>1899</v>
      </c>
      <c r="K270" s="89">
        <v>12</v>
      </c>
    </row>
    <row r="271" spans="2:11" x14ac:dyDescent="0.15">
      <c r="B271" s="86">
        <v>268</v>
      </c>
      <c r="C271" s="100"/>
      <c r="D271" s="90"/>
      <c r="E271" s="90" t="s">
        <v>50</v>
      </c>
      <c r="F271" s="90" t="s">
        <v>50</v>
      </c>
      <c r="G271" s="90"/>
      <c r="H271" s="90"/>
      <c r="I271" s="90"/>
      <c r="J271" s="90">
        <v>1899</v>
      </c>
      <c r="K271" s="90">
        <v>12</v>
      </c>
    </row>
    <row r="272" spans="2:11" x14ac:dyDescent="0.15">
      <c r="B272" s="86">
        <v>269</v>
      </c>
      <c r="C272" s="99"/>
      <c r="D272" s="89"/>
      <c r="E272" s="89" t="s">
        <v>50</v>
      </c>
      <c r="F272" s="89" t="s">
        <v>50</v>
      </c>
      <c r="G272" s="89"/>
      <c r="H272" s="89"/>
      <c r="I272" s="89"/>
      <c r="J272" s="89">
        <v>1899</v>
      </c>
      <c r="K272" s="89">
        <v>12</v>
      </c>
    </row>
    <row r="273" spans="2:11" x14ac:dyDescent="0.15">
      <c r="B273" s="86">
        <v>270</v>
      </c>
      <c r="C273" s="100"/>
      <c r="D273" s="90"/>
      <c r="E273" s="90" t="s">
        <v>50</v>
      </c>
      <c r="F273" s="90" t="s">
        <v>50</v>
      </c>
      <c r="G273" s="90"/>
      <c r="H273" s="90"/>
      <c r="I273" s="90"/>
      <c r="J273" s="90">
        <v>1899</v>
      </c>
      <c r="K273" s="90">
        <v>12</v>
      </c>
    </row>
    <row r="274" spans="2:11" x14ac:dyDescent="0.15">
      <c r="B274" s="86">
        <v>271</v>
      </c>
      <c r="C274" s="99"/>
      <c r="D274" s="89"/>
      <c r="E274" s="89" t="s">
        <v>50</v>
      </c>
      <c r="F274" s="89" t="s">
        <v>50</v>
      </c>
      <c r="G274" s="89"/>
      <c r="H274" s="89"/>
      <c r="I274" s="89"/>
      <c r="J274" s="89">
        <v>1899</v>
      </c>
      <c r="K274" s="89">
        <v>12</v>
      </c>
    </row>
    <row r="275" spans="2:11" x14ac:dyDescent="0.15">
      <c r="B275" s="86">
        <v>272</v>
      </c>
      <c r="C275" s="100"/>
      <c r="D275" s="90"/>
      <c r="E275" s="90" t="s">
        <v>50</v>
      </c>
      <c r="F275" s="90" t="s">
        <v>50</v>
      </c>
      <c r="G275" s="90"/>
      <c r="H275" s="90"/>
      <c r="I275" s="90"/>
      <c r="J275" s="90">
        <v>1899</v>
      </c>
      <c r="K275" s="90">
        <v>12</v>
      </c>
    </row>
    <row r="276" spans="2:11" x14ac:dyDescent="0.15">
      <c r="B276" s="86">
        <v>273</v>
      </c>
      <c r="C276" s="99"/>
      <c r="D276" s="89"/>
      <c r="E276" s="89" t="s">
        <v>50</v>
      </c>
      <c r="F276" s="89" t="s">
        <v>50</v>
      </c>
      <c r="G276" s="89"/>
      <c r="H276" s="89"/>
      <c r="I276" s="89"/>
      <c r="J276" s="89">
        <v>1899</v>
      </c>
      <c r="K276" s="89">
        <v>12</v>
      </c>
    </row>
    <row r="277" spans="2:11" x14ac:dyDescent="0.15">
      <c r="B277" s="86">
        <v>274</v>
      </c>
      <c r="C277" s="100"/>
      <c r="D277" s="90"/>
      <c r="E277" s="90" t="s">
        <v>50</v>
      </c>
      <c r="F277" s="90" t="s">
        <v>50</v>
      </c>
      <c r="G277" s="90"/>
      <c r="H277" s="90"/>
      <c r="I277" s="90"/>
      <c r="J277" s="90">
        <v>1899</v>
      </c>
      <c r="K277" s="90">
        <v>12</v>
      </c>
    </row>
    <row r="278" spans="2:11" x14ac:dyDescent="0.15">
      <c r="B278" s="86">
        <v>275</v>
      </c>
      <c r="C278" s="99"/>
      <c r="D278" s="89"/>
      <c r="E278" s="89" t="s">
        <v>50</v>
      </c>
      <c r="F278" s="89" t="s">
        <v>50</v>
      </c>
      <c r="G278" s="89"/>
      <c r="H278" s="89"/>
      <c r="I278" s="89"/>
      <c r="J278" s="89">
        <v>1899</v>
      </c>
      <c r="K278" s="89">
        <v>12</v>
      </c>
    </row>
    <row r="279" spans="2:11" x14ac:dyDescent="0.15">
      <c r="B279" s="86">
        <v>276</v>
      </c>
      <c r="C279" s="100"/>
      <c r="D279" s="90"/>
      <c r="E279" s="90" t="s">
        <v>50</v>
      </c>
      <c r="F279" s="90" t="s">
        <v>50</v>
      </c>
      <c r="G279" s="90"/>
      <c r="H279" s="90"/>
      <c r="I279" s="90"/>
      <c r="J279" s="90">
        <v>1899</v>
      </c>
      <c r="K279" s="90">
        <v>12</v>
      </c>
    </row>
    <row r="280" spans="2:11" x14ac:dyDescent="0.15">
      <c r="B280" s="86">
        <v>277</v>
      </c>
      <c r="C280" s="99"/>
      <c r="D280" s="89"/>
      <c r="E280" s="89" t="s">
        <v>50</v>
      </c>
      <c r="F280" s="89" t="s">
        <v>50</v>
      </c>
      <c r="G280" s="89"/>
      <c r="H280" s="89"/>
      <c r="I280" s="89"/>
      <c r="J280" s="89">
        <v>1899</v>
      </c>
      <c r="K280" s="89">
        <v>12</v>
      </c>
    </row>
    <row r="281" spans="2:11" x14ac:dyDescent="0.15">
      <c r="B281" s="86">
        <v>278</v>
      </c>
      <c r="C281" s="100"/>
      <c r="D281" s="90"/>
      <c r="E281" s="90" t="s">
        <v>50</v>
      </c>
      <c r="F281" s="90" t="s">
        <v>50</v>
      </c>
      <c r="G281" s="90"/>
      <c r="H281" s="90"/>
      <c r="I281" s="90"/>
      <c r="J281" s="90">
        <v>1899</v>
      </c>
      <c r="K281" s="90">
        <v>12</v>
      </c>
    </row>
    <row r="282" spans="2:11" x14ac:dyDescent="0.15">
      <c r="B282" s="86">
        <v>279</v>
      </c>
      <c r="C282" s="99"/>
      <c r="D282" s="89"/>
      <c r="E282" s="89" t="s">
        <v>50</v>
      </c>
      <c r="F282" s="89" t="s">
        <v>50</v>
      </c>
      <c r="G282" s="89"/>
      <c r="H282" s="89"/>
      <c r="I282" s="89"/>
      <c r="J282" s="89">
        <v>1899</v>
      </c>
      <c r="K282" s="89">
        <v>12</v>
      </c>
    </row>
    <row r="283" spans="2:11" x14ac:dyDescent="0.15">
      <c r="B283" s="86">
        <v>280</v>
      </c>
      <c r="C283" s="100"/>
      <c r="D283" s="90"/>
      <c r="E283" s="90" t="s">
        <v>50</v>
      </c>
      <c r="F283" s="90" t="s">
        <v>50</v>
      </c>
      <c r="G283" s="90"/>
      <c r="H283" s="90"/>
      <c r="I283" s="90"/>
      <c r="J283" s="90">
        <v>1899</v>
      </c>
      <c r="K283" s="90">
        <v>12</v>
      </c>
    </row>
    <row r="284" spans="2:11" x14ac:dyDescent="0.15">
      <c r="B284" s="86">
        <v>281</v>
      </c>
      <c r="C284" s="99"/>
      <c r="D284" s="89"/>
      <c r="E284" s="89" t="s">
        <v>50</v>
      </c>
      <c r="F284" s="89" t="s">
        <v>50</v>
      </c>
      <c r="G284" s="89"/>
      <c r="H284" s="89"/>
      <c r="I284" s="89"/>
      <c r="J284" s="89">
        <v>1899</v>
      </c>
      <c r="K284" s="89">
        <v>12</v>
      </c>
    </row>
    <row r="285" spans="2:11" x14ac:dyDescent="0.15">
      <c r="B285" s="86">
        <v>282</v>
      </c>
      <c r="C285" s="100"/>
      <c r="D285" s="90"/>
      <c r="E285" s="90" t="s">
        <v>50</v>
      </c>
      <c r="F285" s="90" t="s">
        <v>50</v>
      </c>
      <c r="G285" s="90"/>
      <c r="H285" s="90"/>
      <c r="I285" s="90"/>
      <c r="J285" s="90">
        <v>1899</v>
      </c>
      <c r="K285" s="90">
        <v>12</v>
      </c>
    </row>
    <row r="286" spans="2:11" x14ac:dyDescent="0.15">
      <c r="B286" s="86">
        <v>283</v>
      </c>
      <c r="C286" s="99"/>
      <c r="D286" s="89"/>
      <c r="E286" s="89" t="s">
        <v>50</v>
      </c>
      <c r="F286" s="89" t="s">
        <v>50</v>
      </c>
      <c r="G286" s="89"/>
      <c r="H286" s="89"/>
      <c r="I286" s="89"/>
      <c r="J286" s="89">
        <v>1899</v>
      </c>
      <c r="K286" s="89">
        <v>12</v>
      </c>
    </row>
    <row r="287" spans="2:11" x14ac:dyDescent="0.15">
      <c r="B287" s="86">
        <v>284</v>
      </c>
      <c r="C287" s="100"/>
      <c r="D287" s="90"/>
      <c r="E287" s="90" t="s">
        <v>50</v>
      </c>
      <c r="F287" s="90" t="s">
        <v>50</v>
      </c>
      <c r="G287" s="90"/>
      <c r="H287" s="90"/>
      <c r="I287" s="90"/>
      <c r="J287" s="90">
        <v>1899</v>
      </c>
      <c r="K287" s="90">
        <v>12</v>
      </c>
    </row>
    <row r="288" spans="2:11" x14ac:dyDescent="0.15">
      <c r="B288" s="86">
        <v>285</v>
      </c>
      <c r="C288" s="99"/>
      <c r="D288" s="89"/>
      <c r="E288" s="89" t="s">
        <v>50</v>
      </c>
      <c r="F288" s="89" t="s">
        <v>50</v>
      </c>
      <c r="G288" s="89"/>
      <c r="H288" s="89"/>
      <c r="I288" s="89"/>
      <c r="J288" s="89">
        <v>1899</v>
      </c>
      <c r="K288" s="89">
        <v>12</v>
      </c>
    </row>
    <row r="289" spans="2:11" x14ac:dyDescent="0.15">
      <c r="B289" s="86">
        <v>286</v>
      </c>
      <c r="C289" s="100"/>
      <c r="D289" s="90"/>
      <c r="E289" s="90" t="s">
        <v>50</v>
      </c>
      <c r="F289" s="90" t="s">
        <v>50</v>
      </c>
      <c r="G289" s="90"/>
      <c r="H289" s="90"/>
      <c r="I289" s="90"/>
      <c r="J289" s="90">
        <v>1899</v>
      </c>
      <c r="K289" s="90">
        <v>12</v>
      </c>
    </row>
    <row r="290" spans="2:11" x14ac:dyDescent="0.15">
      <c r="B290" s="86">
        <v>287</v>
      </c>
      <c r="C290" s="99"/>
      <c r="D290" s="89"/>
      <c r="E290" s="89" t="s">
        <v>50</v>
      </c>
      <c r="F290" s="89" t="s">
        <v>50</v>
      </c>
      <c r="G290" s="89"/>
      <c r="H290" s="89"/>
      <c r="I290" s="89"/>
      <c r="J290" s="89">
        <v>1899</v>
      </c>
      <c r="K290" s="89">
        <v>12</v>
      </c>
    </row>
    <row r="291" spans="2:11" x14ac:dyDescent="0.15">
      <c r="B291" s="86">
        <v>288</v>
      </c>
      <c r="C291" s="100"/>
      <c r="D291" s="90"/>
      <c r="E291" s="90" t="s">
        <v>50</v>
      </c>
      <c r="F291" s="90" t="s">
        <v>50</v>
      </c>
      <c r="G291" s="90"/>
      <c r="H291" s="90"/>
      <c r="I291" s="90"/>
      <c r="J291" s="90">
        <v>1899</v>
      </c>
      <c r="K291" s="90">
        <v>12</v>
      </c>
    </row>
    <row r="292" spans="2:11" x14ac:dyDescent="0.15">
      <c r="B292" s="86">
        <v>289</v>
      </c>
      <c r="C292" s="99"/>
      <c r="D292" s="89"/>
      <c r="E292" s="89" t="s">
        <v>50</v>
      </c>
      <c r="F292" s="89" t="s">
        <v>50</v>
      </c>
      <c r="G292" s="89"/>
      <c r="H292" s="89"/>
      <c r="I292" s="89"/>
      <c r="J292" s="89">
        <v>1899</v>
      </c>
      <c r="K292" s="89">
        <v>12</v>
      </c>
    </row>
    <row r="293" spans="2:11" x14ac:dyDescent="0.15">
      <c r="B293" s="86">
        <v>290</v>
      </c>
      <c r="C293" s="100"/>
      <c r="D293" s="90"/>
      <c r="E293" s="90" t="s">
        <v>50</v>
      </c>
      <c r="F293" s="90" t="s">
        <v>50</v>
      </c>
      <c r="G293" s="90"/>
      <c r="H293" s="90"/>
      <c r="I293" s="90"/>
      <c r="J293" s="90">
        <v>1899</v>
      </c>
      <c r="K293" s="90">
        <v>12</v>
      </c>
    </row>
    <row r="294" spans="2:11" x14ac:dyDescent="0.15">
      <c r="B294" s="86">
        <v>291</v>
      </c>
      <c r="C294" s="99"/>
      <c r="D294" s="89"/>
      <c r="E294" s="89" t="s">
        <v>50</v>
      </c>
      <c r="F294" s="89" t="s">
        <v>50</v>
      </c>
      <c r="G294" s="89"/>
      <c r="H294" s="89"/>
      <c r="I294" s="89"/>
      <c r="J294" s="89">
        <v>1899</v>
      </c>
      <c r="K294" s="89">
        <v>12</v>
      </c>
    </row>
    <row r="295" spans="2:11" x14ac:dyDescent="0.15">
      <c r="B295" s="86">
        <v>292</v>
      </c>
      <c r="C295" s="100"/>
      <c r="D295" s="90"/>
      <c r="E295" s="90" t="s">
        <v>50</v>
      </c>
      <c r="F295" s="90" t="s">
        <v>50</v>
      </c>
      <c r="G295" s="90"/>
      <c r="H295" s="90"/>
      <c r="I295" s="90"/>
      <c r="J295" s="90">
        <v>1899</v>
      </c>
      <c r="K295" s="90">
        <v>12</v>
      </c>
    </row>
    <row r="296" spans="2:11" x14ac:dyDescent="0.15">
      <c r="B296" s="86">
        <v>293</v>
      </c>
      <c r="C296" s="99"/>
      <c r="D296" s="89"/>
      <c r="E296" s="89" t="s">
        <v>50</v>
      </c>
      <c r="F296" s="89" t="s">
        <v>50</v>
      </c>
      <c r="G296" s="89"/>
      <c r="H296" s="89"/>
      <c r="I296" s="89"/>
      <c r="J296" s="89">
        <v>1899</v>
      </c>
      <c r="K296" s="89">
        <v>12</v>
      </c>
    </row>
    <row r="297" spans="2:11" x14ac:dyDescent="0.15">
      <c r="B297" s="86">
        <v>294</v>
      </c>
      <c r="C297" s="100"/>
      <c r="D297" s="90"/>
      <c r="E297" s="90" t="s">
        <v>50</v>
      </c>
      <c r="F297" s="90" t="s">
        <v>50</v>
      </c>
      <c r="G297" s="90"/>
      <c r="H297" s="90"/>
      <c r="I297" s="90"/>
      <c r="J297" s="90">
        <v>1899</v>
      </c>
      <c r="K297" s="90">
        <v>12</v>
      </c>
    </row>
    <row r="298" spans="2:11" x14ac:dyDescent="0.15">
      <c r="B298" s="86">
        <v>295</v>
      </c>
      <c r="C298" s="99"/>
      <c r="D298" s="89"/>
      <c r="E298" s="89" t="s">
        <v>50</v>
      </c>
      <c r="F298" s="89" t="s">
        <v>50</v>
      </c>
      <c r="G298" s="89"/>
      <c r="H298" s="89"/>
      <c r="I298" s="89"/>
      <c r="J298" s="89">
        <v>1899</v>
      </c>
      <c r="K298" s="89">
        <v>12</v>
      </c>
    </row>
    <row r="299" spans="2:11" x14ac:dyDescent="0.15">
      <c r="B299" s="86">
        <v>296</v>
      </c>
      <c r="C299" s="100"/>
      <c r="D299" s="90"/>
      <c r="E299" s="90" t="s">
        <v>50</v>
      </c>
      <c r="F299" s="90" t="s">
        <v>50</v>
      </c>
      <c r="G299" s="90"/>
      <c r="H299" s="90"/>
      <c r="I299" s="90"/>
      <c r="J299" s="90">
        <v>1899</v>
      </c>
      <c r="K299" s="90">
        <v>12</v>
      </c>
    </row>
    <row r="300" spans="2:11" x14ac:dyDescent="0.15">
      <c r="B300" s="86">
        <v>297</v>
      </c>
      <c r="C300" s="99"/>
      <c r="D300" s="89"/>
      <c r="E300" s="89" t="s">
        <v>50</v>
      </c>
      <c r="F300" s="89" t="s">
        <v>50</v>
      </c>
      <c r="G300" s="89"/>
      <c r="H300" s="89"/>
      <c r="I300" s="89"/>
      <c r="J300" s="89">
        <v>1899</v>
      </c>
      <c r="K300" s="89">
        <v>12</v>
      </c>
    </row>
    <row r="301" spans="2:11" x14ac:dyDescent="0.15">
      <c r="B301" s="86">
        <v>298</v>
      </c>
      <c r="C301" s="100"/>
      <c r="D301" s="90"/>
      <c r="E301" s="90" t="s">
        <v>50</v>
      </c>
      <c r="F301" s="90" t="s">
        <v>50</v>
      </c>
      <c r="G301" s="90"/>
      <c r="H301" s="90"/>
      <c r="I301" s="90"/>
      <c r="J301" s="90">
        <v>1899</v>
      </c>
      <c r="K301" s="90">
        <v>12</v>
      </c>
    </row>
    <row r="302" spans="2:11" x14ac:dyDescent="0.15">
      <c r="B302" s="86">
        <v>299</v>
      </c>
      <c r="C302" s="99"/>
      <c r="D302" s="89"/>
      <c r="E302" s="89" t="s">
        <v>50</v>
      </c>
      <c r="F302" s="89" t="s">
        <v>50</v>
      </c>
      <c r="G302" s="89"/>
      <c r="H302" s="89"/>
      <c r="I302" s="89"/>
      <c r="J302" s="89">
        <v>1899</v>
      </c>
      <c r="K302" s="89">
        <v>12</v>
      </c>
    </row>
    <row r="303" spans="2:11" x14ac:dyDescent="0.15">
      <c r="B303" s="86">
        <v>300</v>
      </c>
      <c r="C303" s="100"/>
      <c r="D303" s="90"/>
      <c r="E303" s="90" t="s">
        <v>50</v>
      </c>
      <c r="F303" s="90" t="s">
        <v>50</v>
      </c>
      <c r="G303" s="90"/>
      <c r="H303" s="90"/>
      <c r="I303" s="90"/>
      <c r="J303" s="90">
        <v>1899</v>
      </c>
      <c r="K303" s="90">
        <v>12</v>
      </c>
    </row>
    <row r="304" spans="2:11" x14ac:dyDescent="0.15">
      <c r="B304" s="86">
        <v>301</v>
      </c>
      <c r="C304" s="99"/>
      <c r="D304" s="89"/>
      <c r="E304" s="89" t="s">
        <v>50</v>
      </c>
      <c r="F304" s="89" t="s">
        <v>50</v>
      </c>
      <c r="G304" s="89"/>
      <c r="H304" s="89"/>
      <c r="I304" s="89"/>
      <c r="J304" s="89">
        <v>1899</v>
      </c>
      <c r="K304" s="89">
        <v>12</v>
      </c>
    </row>
    <row r="305" spans="2:11" x14ac:dyDescent="0.15">
      <c r="B305" s="86">
        <v>302</v>
      </c>
      <c r="C305" s="100"/>
      <c r="D305" s="90"/>
      <c r="E305" s="90" t="s">
        <v>50</v>
      </c>
      <c r="F305" s="90" t="s">
        <v>50</v>
      </c>
      <c r="G305" s="90"/>
      <c r="H305" s="90"/>
      <c r="I305" s="90"/>
      <c r="J305" s="90">
        <v>1899</v>
      </c>
      <c r="K305" s="90">
        <v>12</v>
      </c>
    </row>
    <row r="306" spans="2:11" x14ac:dyDescent="0.15">
      <c r="B306" s="86">
        <v>303</v>
      </c>
      <c r="C306" s="99"/>
      <c r="D306" s="89"/>
      <c r="E306" s="89" t="s">
        <v>50</v>
      </c>
      <c r="F306" s="89" t="s">
        <v>50</v>
      </c>
      <c r="G306" s="89"/>
      <c r="H306" s="89"/>
      <c r="I306" s="89"/>
      <c r="J306" s="89">
        <v>1899</v>
      </c>
      <c r="K306" s="89">
        <v>12</v>
      </c>
    </row>
    <row r="307" spans="2:11" x14ac:dyDescent="0.15">
      <c r="B307" s="86">
        <v>304</v>
      </c>
      <c r="C307" s="100"/>
      <c r="D307" s="90"/>
      <c r="E307" s="90" t="s">
        <v>50</v>
      </c>
      <c r="F307" s="90" t="s">
        <v>50</v>
      </c>
      <c r="G307" s="90"/>
      <c r="H307" s="90"/>
      <c r="I307" s="90"/>
      <c r="J307" s="90">
        <v>1899</v>
      </c>
      <c r="K307" s="90">
        <v>12</v>
      </c>
    </row>
    <row r="308" spans="2:11" x14ac:dyDescent="0.15">
      <c r="B308" s="86">
        <v>305</v>
      </c>
      <c r="C308" s="99"/>
      <c r="D308" s="89"/>
      <c r="E308" s="89" t="s">
        <v>50</v>
      </c>
      <c r="F308" s="89" t="s">
        <v>50</v>
      </c>
      <c r="G308" s="89"/>
      <c r="H308" s="89"/>
      <c r="I308" s="89"/>
      <c r="J308" s="89">
        <v>1899</v>
      </c>
      <c r="K308" s="89">
        <v>12</v>
      </c>
    </row>
    <row r="309" spans="2:11" x14ac:dyDescent="0.15">
      <c r="B309" s="86">
        <v>306</v>
      </c>
      <c r="C309" s="100"/>
      <c r="D309" s="90"/>
      <c r="E309" s="90" t="s">
        <v>50</v>
      </c>
      <c r="F309" s="90" t="s">
        <v>50</v>
      </c>
      <c r="G309" s="90"/>
      <c r="H309" s="90"/>
      <c r="I309" s="90"/>
      <c r="J309" s="90">
        <v>1899</v>
      </c>
      <c r="K309" s="90">
        <v>12</v>
      </c>
    </row>
    <row r="310" spans="2:11" x14ac:dyDescent="0.15">
      <c r="B310" s="86">
        <v>307</v>
      </c>
      <c r="C310" s="99"/>
      <c r="D310" s="89"/>
      <c r="E310" s="89" t="s">
        <v>50</v>
      </c>
      <c r="F310" s="89" t="s">
        <v>50</v>
      </c>
      <c r="G310" s="89"/>
      <c r="H310" s="89"/>
      <c r="I310" s="89"/>
      <c r="J310" s="89">
        <v>1899</v>
      </c>
      <c r="K310" s="89">
        <v>12</v>
      </c>
    </row>
    <row r="311" spans="2:11" x14ac:dyDescent="0.15">
      <c r="B311" s="86">
        <v>308</v>
      </c>
      <c r="C311" s="100"/>
      <c r="D311" s="90"/>
      <c r="E311" s="90" t="s">
        <v>50</v>
      </c>
      <c r="F311" s="90" t="s">
        <v>50</v>
      </c>
      <c r="G311" s="90"/>
      <c r="H311" s="90"/>
      <c r="I311" s="90"/>
      <c r="J311" s="90">
        <v>1899</v>
      </c>
      <c r="K311" s="90">
        <v>12</v>
      </c>
    </row>
    <row r="312" spans="2:11" x14ac:dyDescent="0.15">
      <c r="B312" s="86">
        <v>309</v>
      </c>
      <c r="C312" s="99"/>
      <c r="D312" s="89"/>
      <c r="E312" s="89" t="s">
        <v>50</v>
      </c>
      <c r="F312" s="89" t="s">
        <v>50</v>
      </c>
      <c r="G312" s="89"/>
      <c r="H312" s="89"/>
      <c r="I312" s="89"/>
      <c r="J312" s="89">
        <v>1899</v>
      </c>
      <c r="K312" s="89">
        <v>12</v>
      </c>
    </row>
    <row r="313" spans="2:11" x14ac:dyDescent="0.15">
      <c r="B313" s="86">
        <v>310</v>
      </c>
      <c r="C313" s="100"/>
      <c r="D313" s="90"/>
      <c r="E313" s="90" t="s">
        <v>50</v>
      </c>
      <c r="F313" s="90" t="s">
        <v>50</v>
      </c>
      <c r="G313" s="90"/>
      <c r="H313" s="90"/>
      <c r="I313" s="90"/>
      <c r="J313" s="90">
        <v>1899</v>
      </c>
      <c r="K313" s="90">
        <v>12</v>
      </c>
    </row>
    <row r="314" spans="2:11" x14ac:dyDescent="0.15">
      <c r="B314" s="86">
        <v>311</v>
      </c>
      <c r="C314" s="99"/>
      <c r="D314" s="89"/>
      <c r="E314" s="89" t="s">
        <v>50</v>
      </c>
      <c r="F314" s="89" t="s">
        <v>50</v>
      </c>
      <c r="G314" s="89"/>
      <c r="H314" s="89"/>
      <c r="I314" s="89"/>
      <c r="J314" s="89">
        <v>1899</v>
      </c>
      <c r="K314" s="89">
        <v>12</v>
      </c>
    </row>
    <row r="315" spans="2:11" x14ac:dyDescent="0.15">
      <c r="B315" s="86">
        <v>312</v>
      </c>
      <c r="C315" s="100"/>
      <c r="D315" s="90"/>
      <c r="E315" s="90" t="s">
        <v>50</v>
      </c>
      <c r="F315" s="90" t="s">
        <v>50</v>
      </c>
      <c r="G315" s="90"/>
      <c r="H315" s="90"/>
      <c r="I315" s="90"/>
      <c r="J315" s="90">
        <v>1899</v>
      </c>
      <c r="K315" s="90">
        <v>12</v>
      </c>
    </row>
    <row r="316" spans="2:11" x14ac:dyDescent="0.15">
      <c r="B316" s="86">
        <v>313</v>
      </c>
      <c r="C316" s="99"/>
      <c r="D316" s="89"/>
      <c r="E316" s="89" t="s">
        <v>50</v>
      </c>
      <c r="F316" s="89" t="s">
        <v>50</v>
      </c>
      <c r="G316" s="89"/>
      <c r="H316" s="89"/>
      <c r="I316" s="89"/>
      <c r="J316" s="89">
        <v>1899</v>
      </c>
      <c r="K316" s="89">
        <v>12</v>
      </c>
    </row>
    <row r="317" spans="2:11" x14ac:dyDescent="0.15">
      <c r="B317" s="86">
        <v>314</v>
      </c>
      <c r="C317" s="100"/>
      <c r="D317" s="90"/>
      <c r="E317" s="90" t="s">
        <v>50</v>
      </c>
      <c r="F317" s="90" t="s">
        <v>50</v>
      </c>
      <c r="G317" s="90"/>
      <c r="H317" s="90"/>
      <c r="I317" s="90"/>
      <c r="J317" s="90">
        <v>1899</v>
      </c>
      <c r="K317" s="90">
        <v>12</v>
      </c>
    </row>
    <row r="318" spans="2:11" x14ac:dyDescent="0.15">
      <c r="B318" s="86">
        <v>315</v>
      </c>
      <c r="C318" s="99"/>
      <c r="D318" s="89"/>
      <c r="E318" s="89" t="s">
        <v>50</v>
      </c>
      <c r="F318" s="89" t="s">
        <v>50</v>
      </c>
      <c r="G318" s="89"/>
      <c r="H318" s="89"/>
      <c r="I318" s="89"/>
      <c r="J318" s="89">
        <v>1899</v>
      </c>
      <c r="K318" s="89">
        <v>12</v>
      </c>
    </row>
    <row r="319" spans="2:11" x14ac:dyDescent="0.15">
      <c r="B319" s="86">
        <v>316</v>
      </c>
      <c r="C319" s="100"/>
      <c r="D319" s="90"/>
      <c r="E319" s="90" t="s">
        <v>50</v>
      </c>
      <c r="F319" s="90" t="s">
        <v>50</v>
      </c>
      <c r="G319" s="90"/>
      <c r="H319" s="90"/>
      <c r="I319" s="90"/>
      <c r="J319" s="90">
        <v>1899</v>
      </c>
      <c r="K319" s="90">
        <v>12</v>
      </c>
    </row>
    <row r="320" spans="2:11" x14ac:dyDescent="0.15">
      <c r="B320" s="86">
        <v>317</v>
      </c>
      <c r="C320" s="99"/>
      <c r="D320" s="89"/>
      <c r="E320" s="89" t="s">
        <v>50</v>
      </c>
      <c r="F320" s="89" t="s">
        <v>50</v>
      </c>
      <c r="G320" s="89"/>
      <c r="H320" s="89"/>
      <c r="I320" s="89"/>
      <c r="J320" s="89">
        <v>1899</v>
      </c>
      <c r="K320" s="89">
        <v>12</v>
      </c>
    </row>
    <row r="321" spans="2:11" x14ac:dyDescent="0.15">
      <c r="B321" s="86">
        <v>318</v>
      </c>
      <c r="C321" s="100"/>
      <c r="D321" s="90"/>
      <c r="E321" s="90" t="s">
        <v>50</v>
      </c>
      <c r="F321" s="90" t="s">
        <v>50</v>
      </c>
      <c r="G321" s="90"/>
      <c r="H321" s="90"/>
      <c r="I321" s="90"/>
      <c r="J321" s="90">
        <v>1899</v>
      </c>
      <c r="K321" s="90">
        <v>12</v>
      </c>
    </row>
    <row r="322" spans="2:11" x14ac:dyDescent="0.15">
      <c r="B322" s="86">
        <v>319</v>
      </c>
      <c r="C322" s="99"/>
      <c r="D322" s="89"/>
      <c r="E322" s="89" t="s">
        <v>50</v>
      </c>
      <c r="F322" s="89" t="s">
        <v>50</v>
      </c>
      <c r="G322" s="89"/>
      <c r="H322" s="89"/>
      <c r="I322" s="89"/>
      <c r="J322" s="89">
        <v>1899</v>
      </c>
      <c r="K322" s="89">
        <v>12</v>
      </c>
    </row>
    <row r="323" spans="2:11" x14ac:dyDescent="0.15">
      <c r="B323" s="86">
        <v>320</v>
      </c>
      <c r="C323" s="100"/>
      <c r="D323" s="90"/>
      <c r="E323" s="90" t="s">
        <v>50</v>
      </c>
      <c r="F323" s="90" t="s">
        <v>50</v>
      </c>
      <c r="G323" s="90"/>
      <c r="H323" s="90"/>
      <c r="I323" s="90"/>
      <c r="J323" s="90">
        <v>1899</v>
      </c>
      <c r="K323" s="90">
        <v>12</v>
      </c>
    </row>
    <row r="324" spans="2:11" x14ac:dyDescent="0.15">
      <c r="B324" s="86">
        <v>321</v>
      </c>
      <c r="C324" s="99"/>
      <c r="D324" s="89"/>
      <c r="E324" s="89" t="s">
        <v>50</v>
      </c>
      <c r="F324" s="89" t="s">
        <v>50</v>
      </c>
      <c r="G324" s="89"/>
      <c r="H324" s="89"/>
      <c r="I324" s="89"/>
      <c r="J324" s="89">
        <v>1899</v>
      </c>
      <c r="K324" s="89">
        <v>12</v>
      </c>
    </row>
    <row r="325" spans="2:11" x14ac:dyDescent="0.15">
      <c r="B325" s="86">
        <v>322</v>
      </c>
      <c r="C325" s="100"/>
      <c r="D325" s="90"/>
      <c r="E325" s="90" t="s">
        <v>50</v>
      </c>
      <c r="F325" s="90" t="s">
        <v>50</v>
      </c>
      <c r="G325" s="90"/>
      <c r="H325" s="90"/>
      <c r="I325" s="90"/>
      <c r="J325" s="90">
        <v>1899</v>
      </c>
      <c r="K325" s="90">
        <v>12</v>
      </c>
    </row>
    <row r="326" spans="2:11" x14ac:dyDescent="0.15">
      <c r="B326" s="86">
        <v>323</v>
      </c>
      <c r="C326" s="99"/>
      <c r="D326" s="89"/>
      <c r="E326" s="89" t="s">
        <v>50</v>
      </c>
      <c r="F326" s="89" t="s">
        <v>50</v>
      </c>
      <c r="G326" s="89"/>
      <c r="H326" s="89"/>
      <c r="I326" s="89"/>
      <c r="J326" s="89">
        <v>1899</v>
      </c>
      <c r="K326" s="89">
        <v>12</v>
      </c>
    </row>
    <row r="327" spans="2:11" x14ac:dyDescent="0.15">
      <c r="B327" s="86">
        <v>324</v>
      </c>
      <c r="C327" s="100"/>
      <c r="D327" s="90"/>
      <c r="E327" s="90" t="s">
        <v>50</v>
      </c>
      <c r="F327" s="90" t="s">
        <v>50</v>
      </c>
      <c r="G327" s="90"/>
      <c r="H327" s="90"/>
      <c r="I327" s="90"/>
      <c r="J327" s="90">
        <v>1899</v>
      </c>
      <c r="K327" s="90">
        <v>12</v>
      </c>
    </row>
    <row r="328" spans="2:11" x14ac:dyDescent="0.15">
      <c r="B328" s="86">
        <v>325</v>
      </c>
      <c r="C328" s="99"/>
      <c r="D328" s="89"/>
      <c r="E328" s="89" t="s">
        <v>50</v>
      </c>
      <c r="F328" s="89" t="s">
        <v>50</v>
      </c>
      <c r="G328" s="89"/>
      <c r="H328" s="89"/>
      <c r="I328" s="89"/>
      <c r="J328" s="89">
        <v>1899</v>
      </c>
      <c r="K328" s="89">
        <v>12</v>
      </c>
    </row>
    <row r="329" spans="2:11" x14ac:dyDescent="0.15">
      <c r="B329" s="86">
        <v>326</v>
      </c>
      <c r="C329" s="100"/>
      <c r="D329" s="90"/>
      <c r="E329" s="90" t="s">
        <v>50</v>
      </c>
      <c r="F329" s="90" t="s">
        <v>50</v>
      </c>
      <c r="G329" s="90"/>
      <c r="H329" s="90"/>
      <c r="I329" s="90"/>
      <c r="J329" s="90">
        <v>1899</v>
      </c>
      <c r="K329" s="90">
        <v>12</v>
      </c>
    </row>
    <row r="330" spans="2:11" x14ac:dyDescent="0.15">
      <c r="B330" s="86">
        <v>327</v>
      </c>
      <c r="C330" s="99"/>
      <c r="D330" s="89"/>
      <c r="E330" s="89" t="s">
        <v>50</v>
      </c>
      <c r="F330" s="89" t="s">
        <v>50</v>
      </c>
      <c r="G330" s="89"/>
      <c r="H330" s="89"/>
      <c r="I330" s="89"/>
      <c r="J330" s="89">
        <v>1899</v>
      </c>
      <c r="K330" s="89">
        <v>12</v>
      </c>
    </row>
    <row r="331" spans="2:11" x14ac:dyDescent="0.15">
      <c r="B331" s="86">
        <v>328</v>
      </c>
      <c r="C331" s="100"/>
      <c r="D331" s="90"/>
      <c r="E331" s="90" t="s">
        <v>50</v>
      </c>
      <c r="F331" s="90" t="s">
        <v>50</v>
      </c>
      <c r="G331" s="90"/>
      <c r="H331" s="90"/>
      <c r="I331" s="90"/>
      <c r="J331" s="90">
        <v>1899</v>
      </c>
      <c r="K331" s="90">
        <v>12</v>
      </c>
    </row>
    <row r="332" spans="2:11" x14ac:dyDescent="0.15">
      <c r="B332" s="86">
        <v>329</v>
      </c>
      <c r="C332" s="99"/>
      <c r="D332" s="89"/>
      <c r="E332" s="89" t="s">
        <v>50</v>
      </c>
      <c r="F332" s="89" t="s">
        <v>50</v>
      </c>
      <c r="G332" s="89"/>
      <c r="H332" s="89"/>
      <c r="I332" s="89"/>
      <c r="J332" s="89">
        <v>1899</v>
      </c>
      <c r="K332" s="89">
        <v>12</v>
      </c>
    </row>
    <row r="333" spans="2:11" x14ac:dyDescent="0.15">
      <c r="B333" s="86">
        <v>330</v>
      </c>
      <c r="C333" s="100"/>
      <c r="D333" s="90"/>
      <c r="E333" s="90" t="s">
        <v>50</v>
      </c>
      <c r="F333" s="90" t="s">
        <v>50</v>
      </c>
      <c r="G333" s="90"/>
      <c r="H333" s="90"/>
      <c r="I333" s="90"/>
      <c r="J333" s="90">
        <v>1899</v>
      </c>
      <c r="K333" s="90">
        <v>12</v>
      </c>
    </row>
    <row r="334" spans="2:11" x14ac:dyDescent="0.15">
      <c r="B334" s="86">
        <v>331</v>
      </c>
      <c r="C334" s="99"/>
      <c r="D334" s="89"/>
      <c r="E334" s="89" t="s">
        <v>50</v>
      </c>
      <c r="F334" s="89" t="s">
        <v>50</v>
      </c>
      <c r="G334" s="89"/>
      <c r="H334" s="89"/>
      <c r="I334" s="89"/>
      <c r="J334" s="89">
        <v>1899</v>
      </c>
      <c r="K334" s="89">
        <v>12</v>
      </c>
    </row>
    <row r="335" spans="2:11" x14ac:dyDescent="0.15">
      <c r="B335" s="86">
        <v>332</v>
      </c>
      <c r="C335" s="100"/>
      <c r="D335" s="90"/>
      <c r="E335" s="90" t="s">
        <v>50</v>
      </c>
      <c r="F335" s="90" t="s">
        <v>50</v>
      </c>
      <c r="G335" s="90"/>
      <c r="H335" s="90"/>
      <c r="I335" s="90"/>
      <c r="J335" s="90">
        <v>1899</v>
      </c>
      <c r="K335" s="90">
        <v>12</v>
      </c>
    </row>
    <row r="336" spans="2:11" x14ac:dyDescent="0.15">
      <c r="B336" s="86">
        <v>333</v>
      </c>
      <c r="C336" s="99"/>
      <c r="D336" s="89"/>
      <c r="E336" s="89" t="s">
        <v>50</v>
      </c>
      <c r="F336" s="89" t="s">
        <v>50</v>
      </c>
      <c r="G336" s="89"/>
      <c r="H336" s="89"/>
      <c r="I336" s="89"/>
      <c r="J336" s="89">
        <v>1899</v>
      </c>
      <c r="K336" s="89">
        <v>12</v>
      </c>
    </row>
    <row r="337" spans="2:11" x14ac:dyDescent="0.15">
      <c r="B337" s="86">
        <v>334</v>
      </c>
      <c r="C337" s="100"/>
      <c r="D337" s="90"/>
      <c r="E337" s="90" t="s">
        <v>50</v>
      </c>
      <c r="F337" s="90" t="s">
        <v>50</v>
      </c>
      <c r="G337" s="90"/>
      <c r="H337" s="90"/>
      <c r="I337" s="90"/>
      <c r="J337" s="90">
        <v>1899</v>
      </c>
      <c r="K337" s="90">
        <v>12</v>
      </c>
    </row>
    <row r="338" spans="2:11" x14ac:dyDescent="0.15">
      <c r="B338" s="86">
        <v>335</v>
      </c>
      <c r="C338" s="99"/>
      <c r="D338" s="89"/>
      <c r="E338" s="89" t="s">
        <v>50</v>
      </c>
      <c r="F338" s="89" t="s">
        <v>50</v>
      </c>
      <c r="G338" s="89"/>
      <c r="H338" s="89"/>
      <c r="I338" s="89"/>
      <c r="J338" s="89">
        <v>1899</v>
      </c>
      <c r="K338" s="89">
        <v>12</v>
      </c>
    </row>
    <row r="339" spans="2:11" x14ac:dyDescent="0.15">
      <c r="B339" s="86">
        <v>336</v>
      </c>
      <c r="C339" s="100"/>
      <c r="D339" s="90"/>
      <c r="E339" s="90" t="s">
        <v>50</v>
      </c>
      <c r="F339" s="90" t="s">
        <v>50</v>
      </c>
      <c r="G339" s="90"/>
      <c r="H339" s="90"/>
      <c r="I339" s="90"/>
      <c r="J339" s="90">
        <v>1899</v>
      </c>
      <c r="K339" s="90">
        <v>12</v>
      </c>
    </row>
    <row r="340" spans="2:11" x14ac:dyDescent="0.15">
      <c r="B340" s="86">
        <v>337</v>
      </c>
      <c r="C340" s="99"/>
      <c r="D340" s="89"/>
      <c r="E340" s="89" t="s">
        <v>50</v>
      </c>
      <c r="F340" s="89" t="s">
        <v>50</v>
      </c>
      <c r="G340" s="89"/>
      <c r="H340" s="89"/>
      <c r="I340" s="89"/>
      <c r="J340" s="89">
        <v>1899</v>
      </c>
      <c r="K340" s="89">
        <v>12</v>
      </c>
    </row>
    <row r="341" spans="2:11" x14ac:dyDescent="0.15">
      <c r="B341" s="86">
        <v>338</v>
      </c>
      <c r="C341" s="100"/>
      <c r="D341" s="90"/>
      <c r="E341" s="90" t="s">
        <v>50</v>
      </c>
      <c r="F341" s="90" t="s">
        <v>50</v>
      </c>
      <c r="G341" s="90"/>
      <c r="H341" s="90"/>
      <c r="I341" s="90"/>
      <c r="J341" s="90">
        <v>1899</v>
      </c>
      <c r="K341" s="90">
        <v>12</v>
      </c>
    </row>
    <row r="342" spans="2:11" x14ac:dyDescent="0.15">
      <c r="B342" s="86">
        <v>339</v>
      </c>
      <c r="C342" s="99"/>
      <c r="D342" s="89"/>
      <c r="E342" s="89" t="s">
        <v>50</v>
      </c>
      <c r="F342" s="89" t="s">
        <v>50</v>
      </c>
      <c r="G342" s="89"/>
      <c r="H342" s="89"/>
      <c r="I342" s="89"/>
      <c r="J342" s="89">
        <v>1899</v>
      </c>
      <c r="K342" s="89">
        <v>12</v>
      </c>
    </row>
    <row r="343" spans="2:11" x14ac:dyDescent="0.15">
      <c r="B343" s="86">
        <v>340</v>
      </c>
      <c r="C343" s="100"/>
      <c r="D343" s="90"/>
      <c r="E343" s="90" t="s">
        <v>50</v>
      </c>
      <c r="F343" s="90" t="s">
        <v>50</v>
      </c>
      <c r="G343" s="90"/>
      <c r="H343" s="90"/>
      <c r="I343" s="90"/>
      <c r="J343" s="90">
        <v>1899</v>
      </c>
      <c r="K343" s="90">
        <v>12</v>
      </c>
    </row>
    <row r="344" spans="2:11" x14ac:dyDescent="0.15">
      <c r="B344" s="86">
        <v>341</v>
      </c>
      <c r="C344" s="99"/>
      <c r="D344" s="89"/>
      <c r="E344" s="89" t="s">
        <v>50</v>
      </c>
      <c r="F344" s="89" t="s">
        <v>50</v>
      </c>
      <c r="G344" s="89"/>
      <c r="H344" s="89"/>
      <c r="I344" s="89"/>
      <c r="J344" s="89">
        <v>1899</v>
      </c>
      <c r="K344" s="89">
        <v>12</v>
      </c>
    </row>
    <row r="345" spans="2:11" x14ac:dyDescent="0.15">
      <c r="B345" s="86">
        <v>342</v>
      </c>
      <c r="C345" s="100"/>
      <c r="D345" s="90"/>
      <c r="E345" s="90" t="s">
        <v>50</v>
      </c>
      <c r="F345" s="90" t="s">
        <v>50</v>
      </c>
      <c r="G345" s="90"/>
      <c r="H345" s="90"/>
      <c r="I345" s="90"/>
      <c r="J345" s="90">
        <v>1899</v>
      </c>
      <c r="K345" s="90">
        <v>12</v>
      </c>
    </row>
    <row r="346" spans="2:11" x14ac:dyDescent="0.15">
      <c r="B346" s="86">
        <v>343</v>
      </c>
      <c r="C346" s="99"/>
      <c r="D346" s="89"/>
      <c r="E346" s="89" t="s">
        <v>50</v>
      </c>
      <c r="F346" s="89" t="s">
        <v>50</v>
      </c>
      <c r="G346" s="89"/>
      <c r="H346" s="89"/>
      <c r="I346" s="89"/>
      <c r="J346" s="89">
        <v>1899</v>
      </c>
      <c r="K346" s="89">
        <v>12</v>
      </c>
    </row>
    <row r="347" spans="2:11" x14ac:dyDescent="0.15">
      <c r="B347" s="86">
        <v>344</v>
      </c>
      <c r="C347" s="100"/>
      <c r="D347" s="90"/>
      <c r="E347" s="90" t="s">
        <v>50</v>
      </c>
      <c r="F347" s="90" t="s">
        <v>50</v>
      </c>
      <c r="G347" s="90"/>
      <c r="H347" s="90"/>
      <c r="I347" s="90"/>
      <c r="J347" s="90">
        <v>1899</v>
      </c>
      <c r="K347" s="90">
        <v>12</v>
      </c>
    </row>
    <row r="348" spans="2:11" x14ac:dyDescent="0.15">
      <c r="B348" s="86">
        <v>345</v>
      </c>
      <c r="C348" s="99"/>
      <c r="D348" s="89"/>
      <c r="E348" s="89" t="s">
        <v>50</v>
      </c>
      <c r="F348" s="89" t="s">
        <v>50</v>
      </c>
      <c r="G348" s="89"/>
      <c r="H348" s="89"/>
      <c r="I348" s="89"/>
      <c r="J348" s="89">
        <v>1899</v>
      </c>
      <c r="K348" s="89">
        <v>12</v>
      </c>
    </row>
    <row r="349" spans="2:11" x14ac:dyDescent="0.15">
      <c r="B349" s="86">
        <v>346</v>
      </c>
      <c r="C349" s="100"/>
      <c r="D349" s="90"/>
      <c r="E349" s="90" t="s">
        <v>50</v>
      </c>
      <c r="F349" s="90" t="s">
        <v>50</v>
      </c>
      <c r="G349" s="90"/>
      <c r="H349" s="90"/>
      <c r="I349" s="90"/>
      <c r="J349" s="90">
        <v>1899</v>
      </c>
      <c r="K349" s="90">
        <v>12</v>
      </c>
    </row>
    <row r="350" spans="2:11" x14ac:dyDescent="0.15">
      <c r="B350" s="86">
        <v>347</v>
      </c>
      <c r="C350" s="99"/>
      <c r="D350" s="89"/>
      <c r="E350" s="89" t="s">
        <v>50</v>
      </c>
      <c r="F350" s="89" t="s">
        <v>50</v>
      </c>
      <c r="G350" s="89"/>
      <c r="H350" s="89"/>
      <c r="I350" s="89"/>
      <c r="J350" s="89">
        <v>1899</v>
      </c>
      <c r="K350" s="89">
        <v>12</v>
      </c>
    </row>
    <row r="351" spans="2:11" x14ac:dyDescent="0.15">
      <c r="B351" s="86">
        <v>348</v>
      </c>
      <c r="C351" s="100"/>
      <c r="D351" s="90"/>
      <c r="E351" s="90" t="s">
        <v>50</v>
      </c>
      <c r="F351" s="90" t="s">
        <v>50</v>
      </c>
      <c r="G351" s="90"/>
      <c r="H351" s="90"/>
      <c r="I351" s="90"/>
      <c r="J351" s="90">
        <v>1899</v>
      </c>
      <c r="K351" s="90">
        <v>12</v>
      </c>
    </row>
    <row r="352" spans="2:11" x14ac:dyDescent="0.15">
      <c r="B352" s="86">
        <v>349</v>
      </c>
      <c r="C352" s="99"/>
      <c r="D352" s="89"/>
      <c r="E352" s="89" t="s">
        <v>50</v>
      </c>
      <c r="F352" s="89" t="s">
        <v>50</v>
      </c>
      <c r="G352" s="89"/>
      <c r="H352" s="89"/>
      <c r="I352" s="89"/>
      <c r="J352" s="89">
        <v>1899</v>
      </c>
      <c r="K352" s="89">
        <v>12</v>
      </c>
    </row>
    <row r="353" spans="2:11" x14ac:dyDescent="0.15">
      <c r="B353" s="86">
        <v>350</v>
      </c>
      <c r="C353" s="100"/>
      <c r="D353" s="90"/>
      <c r="E353" s="90" t="s">
        <v>50</v>
      </c>
      <c r="F353" s="90" t="s">
        <v>50</v>
      </c>
      <c r="G353" s="90"/>
      <c r="H353" s="90"/>
      <c r="I353" s="90"/>
      <c r="J353" s="90">
        <v>1899</v>
      </c>
      <c r="K353" s="90">
        <v>12</v>
      </c>
    </row>
    <row r="354" spans="2:11" x14ac:dyDescent="0.15">
      <c r="B354" s="86">
        <v>351</v>
      </c>
      <c r="C354" s="99"/>
      <c r="D354" s="89"/>
      <c r="E354" s="89" t="s">
        <v>50</v>
      </c>
      <c r="F354" s="89" t="s">
        <v>50</v>
      </c>
      <c r="G354" s="89"/>
      <c r="H354" s="89"/>
      <c r="I354" s="89"/>
      <c r="J354" s="89">
        <v>1899</v>
      </c>
      <c r="K354" s="89">
        <v>12</v>
      </c>
    </row>
    <row r="355" spans="2:11" x14ac:dyDescent="0.15">
      <c r="B355" s="86">
        <v>352</v>
      </c>
      <c r="C355" s="100"/>
      <c r="D355" s="90"/>
      <c r="E355" s="90" t="s">
        <v>50</v>
      </c>
      <c r="F355" s="90" t="s">
        <v>50</v>
      </c>
      <c r="G355" s="90"/>
      <c r="H355" s="90"/>
      <c r="I355" s="90"/>
      <c r="J355" s="90">
        <v>1899</v>
      </c>
      <c r="K355" s="90">
        <v>12</v>
      </c>
    </row>
    <row r="356" spans="2:11" x14ac:dyDescent="0.15">
      <c r="B356" s="86">
        <v>353</v>
      </c>
      <c r="C356" s="99"/>
      <c r="D356" s="89"/>
      <c r="E356" s="89" t="s">
        <v>50</v>
      </c>
      <c r="F356" s="89" t="s">
        <v>50</v>
      </c>
      <c r="G356" s="89"/>
      <c r="H356" s="89"/>
      <c r="I356" s="89"/>
      <c r="J356" s="89">
        <v>1899</v>
      </c>
      <c r="K356" s="89">
        <v>12</v>
      </c>
    </row>
    <row r="357" spans="2:11" x14ac:dyDescent="0.15">
      <c r="B357" s="86">
        <v>354</v>
      </c>
      <c r="C357" s="100"/>
      <c r="D357" s="90"/>
      <c r="E357" s="90" t="s">
        <v>50</v>
      </c>
      <c r="F357" s="90" t="s">
        <v>50</v>
      </c>
      <c r="G357" s="90"/>
      <c r="H357" s="90"/>
      <c r="I357" s="90"/>
      <c r="J357" s="90">
        <v>1899</v>
      </c>
      <c r="K357" s="90">
        <v>12</v>
      </c>
    </row>
    <row r="358" spans="2:11" x14ac:dyDescent="0.15">
      <c r="B358" s="86">
        <v>355</v>
      </c>
      <c r="C358" s="99"/>
      <c r="D358" s="89"/>
      <c r="E358" s="89" t="s">
        <v>50</v>
      </c>
      <c r="F358" s="89" t="s">
        <v>50</v>
      </c>
      <c r="G358" s="89"/>
      <c r="H358" s="89"/>
      <c r="I358" s="89"/>
      <c r="J358" s="89">
        <v>1899</v>
      </c>
      <c r="K358" s="89">
        <v>12</v>
      </c>
    </row>
    <row r="359" spans="2:11" x14ac:dyDescent="0.15">
      <c r="B359" s="86">
        <v>356</v>
      </c>
      <c r="C359" s="100"/>
      <c r="D359" s="90"/>
      <c r="E359" s="90" t="s">
        <v>50</v>
      </c>
      <c r="F359" s="90" t="s">
        <v>50</v>
      </c>
      <c r="G359" s="90"/>
      <c r="H359" s="90"/>
      <c r="I359" s="90"/>
      <c r="J359" s="90">
        <v>1899</v>
      </c>
      <c r="K359" s="90">
        <v>12</v>
      </c>
    </row>
    <row r="360" spans="2:11" x14ac:dyDescent="0.15">
      <c r="B360" s="86">
        <v>357</v>
      </c>
      <c r="C360" s="99"/>
      <c r="D360" s="89"/>
      <c r="E360" s="89" t="s">
        <v>50</v>
      </c>
      <c r="F360" s="89" t="s">
        <v>50</v>
      </c>
      <c r="G360" s="89"/>
      <c r="H360" s="89"/>
      <c r="I360" s="89"/>
      <c r="J360" s="89">
        <v>1899</v>
      </c>
      <c r="K360" s="89">
        <v>12</v>
      </c>
    </row>
    <row r="361" spans="2:11" x14ac:dyDescent="0.15">
      <c r="B361" s="86">
        <v>358</v>
      </c>
      <c r="C361" s="100"/>
      <c r="D361" s="90"/>
      <c r="E361" s="90" t="s">
        <v>50</v>
      </c>
      <c r="F361" s="90" t="s">
        <v>50</v>
      </c>
      <c r="G361" s="90"/>
      <c r="H361" s="90"/>
      <c r="I361" s="90"/>
      <c r="J361" s="90">
        <v>1899</v>
      </c>
      <c r="K361" s="90">
        <v>12</v>
      </c>
    </row>
    <row r="362" spans="2:11" x14ac:dyDescent="0.15">
      <c r="B362" s="86">
        <v>359</v>
      </c>
      <c r="C362" s="99"/>
      <c r="D362" s="89"/>
      <c r="E362" s="89" t="s">
        <v>50</v>
      </c>
      <c r="F362" s="89" t="s">
        <v>50</v>
      </c>
      <c r="G362" s="89"/>
      <c r="H362" s="89"/>
      <c r="I362" s="89"/>
      <c r="J362" s="89">
        <v>1899</v>
      </c>
      <c r="K362" s="89">
        <v>12</v>
      </c>
    </row>
    <row r="363" spans="2:11" x14ac:dyDescent="0.15">
      <c r="B363" s="86">
        <v>360</v>
      </c>
      <c r="C363" s="100"/>
      <c r="D363" s="90"/>
      <c r="E363" s="90" t="s">
        <v>50</v>
      </c>
      <c r="F363" s="90" t="s">
        <v>50</v>
      </c>
      <c r="G363" s="90"/>
      <c r="H363" s="90"/>
      <c r="I363" s="90"/>
      <c r="J363" s="90">
        <v>1899</v>
      </c>
      <c r="K363" s="90">
        <v>12</v>
      </c>
    </row>
    <row r="364" spans="2:11" x14ac:dyDescent="0.15">
      <c r="B364" s="86">
        <v>361</v>
      </c>
      <c r="C364" s="99"/>
      <c r="D364" s="89"/>
      <c r="E364" s="89" t="s">
        <v>50</v>
      </c>
      <c r="F364" s="89" t="s">
        <v>50</v>
      </c>
      <c r="G364" s="89"/>
      <c r="H364" s="89"/>
      <c r="I364" s="89"/>
      <c r="J364" s="89">
        <v>1899</v>
      </c>
      <c r="K364" s="89">
        <v>12</v>
      </c>
    </row>
    <row r="365" spans="2:11" x14ac:dyDescent="0.15">
      <c r="B365" s="86">
        <v>362</v>
      </c>
      <c r="C365" s="100"/>
      <c r="D365" s="90"/>
      <c r="E365" s="90" t="s">
        <v>50</v>
      </c>
      <c r="F365" s="90" t="s">
        <v>50</v>
      </c>
      <c r="G365" s="90"/>
      <c r="H365" s="90"/>
      <c r="I365" s="90"/>
      <c r="J365" s="90">
        <v>1899</v>
      </c>
      <c r="K365" s="90">
        <v>12</v>
      </c>
    </row>
    <row r="366" spans="2:11" x14ac:dyDescent="0.15">
      <c r="B366" s="86">
        <v>363</v>
      </c>
      <c r="C366" s="99"/>
      <c r="D366" s="89"/>
      <c r="E366" s="89" t="s">
        <v>50</v>
      </c>
      <c r="F366" s="89" t="s">
        <v>50</v>
      </c>
      <c r="G366" s="89"/>
      <c r="H366" s="89"/>
      <c r="I366" s="89"/>
      <c r="J366" s="89">
        <v>1899</v>
      </c>
      <c r="K366" s="89">
        <v>12</v>
      </c>
    </row>
    <row r="367" spans="2:11" x14ac:dyDescent="0.15">
      <c r="B367" s="86">
        <v>364</v>
      </c>
      <c r="C367" s="100"/>
      <c r="D367" s="90"/>
      <c r="E367" s="90" t="s">
        <v>50</v>
      </c>
      <c r="F367" s="90" t="s">
        <v>50</v>
      </c>
      <c r="G367" s="90"/>
      <c r="H367" s="90"/>
      <c r="I367" s="90"/>
      <c r="J367" s="90">
        <v>1899</v>
      </c>
      <c r="K367" s="90">
        <v>12</v>
      </c>
    </row>
    <row r="368" spans="2:11" x14ac:dyDescent="0.15">
      <c r="B368" s="86">
        <v>365</v>
      </c>
      <c r="C368" s="99"/>
      <c r="D368" s="89"/>
      <c r="E368" s="89" t="s">
        <v>50</v>
      </c>
      <c r="F368" s="89" t="s">
        <v>50</v>
      </c>
      <c r="G368" s="89"/>
      <c r="H368" s="89"/>
      <c r="I368" s="89"/>
      <c r="J368" s="89">
        <v>1899</v>
      </c>
      <c r="K368" s="89">
        <v>12</v>
      </c>
    </row>
    <row r="369" spans="2:11" x14ac:dyDescent="0.15">
      <c r="B369" s="86">
        <v>366</v>
      </c>
      <c r="C369" s="100"/>
      <c r="D369" s="90"/>
      <c r="E369" s="90" t="s">
        <v>50</v>
      </c>
      <c r="F369" s="90" t="s">
        <v>50</v>
      </c>
      <c r="G369" s="90"/>
      <c r="H369" s="90"/>
      <c r="I369" s="90"/>
      <c r="J369" s="90">
        <v>1899</v>
      </c>
      <c r="K369" s="90">
        <v>12</v>
      </c>
    </row>
    <row r="370" spans="2:11" x14ac:dyDescent="0.15">
      <c r="B370" s="86">
        <v>367</v>
      </c>
      <c r="C370" s="99"/>
      <c r="D370" s="89"/>
      <c r="E370" s="89" t="s">
        <v>50</v>
      </c>
      <c r="F370" s="89" t="s">
        <v>50</v>
      </c>
      <c r="G370" s="89"/>
      <c r="H370" s="89"/>
      <c r="I370" s="89"/>
      <c r="J370" s="89">
        <v>1899</v>
      </c>
      <c r="K370" s="89">
        <v>12</v>
      </c>
    </row>
    <row r="371" spans="2:11" x14ac:dyDescent="0.15">
      <c r="B371" s="86">
        <v>368</v>
      </c>
      <c r="C371" s="100"/>
      <c r="D371" s="90"/>
      <c r="E371" s="90" t="s">
        <v>50</v>
      </c>
      <c r="F371" s="90" t="s">
        <v>50</v>
      </c>
      <c r="G371" s="90"/>
      <c r="H371" s="90"/>
      <c r="I371" s="90"/>
      <c r="J371" s="90">
        <v>1899</v>
      </c>
      <c r="K371" s="90">
        <v>12</v>
      </c>
    </row>
    <row r="372" spans="2:11" x14ac:dyDescent="0.15">
      <c r="B372" s="86">
        <v>369</v>
      </c>
      <c r="C372" s="99"/>
      <c r="D372" s="89"/>
      <c r="E372" s="89" t="s">
        <v>50</v>
      </c>
      <c r="F372" s="89" t="s">
        <v>50</v>
      </c>
      <c r="G372" s="89"/>
      <c r="H372" s="89"/>
      <c r="I372" s="89"/>
      <c r="J372" s="89">
        <v>1899</v>
      </c>
      <c r="K372" s="89">
        <v>12</v>
      </c>
    </row>
    <row r="373" spans="2:11" x14ac:dyDescent="0.15">
      <c r="B373" s="86">
        <v>370</v>
      </c>
      <c r="C373" s="100"/>
      <c r="D373" s="90"/>
      <c r="E373" s="90" t="s">
        <v>50</v>
      </c>
      <c r="F373" s="90" t="s">
        <v>50</v>
      </c>
      <c r="G373" s="90"/>
      <c r="H373" s="90"/>
      <c r="I373" s="90"/>
      <c r="J373" s="90">
        <v>1899</v>
      </c>
      <c r="K373" s="90">
        <v>12</v>
      </c>
    </row>
    <row r="374" spans="2:11" x14ac:dyDescent="0.15">
      <c r="B374" s="86">
        <v>371</v>
      </c>
      <c r="C374" s="99"/>
      <c r="D374" s="89"/>
      <c r="E374" s="89" t="s">
        <v>50</v>
      </c>
      <c r="F374" s="89" t="s">
        <v>50</v>
      </c>
      <c r="G374" s="89"/>
      <c r="H374" s="89"/>
      <c r="I374" s="89"/>
      <c r="J374" s="89">
        <v>1899</v>
      </c>
      <c r="K374" s="89">
        <v>12</v>
      </c>
    </row>
    <row r="375" spans="2:11" x14ac:dyDescent="0.15">
      <c r="B375" s="86">
        <v>372</v>
      </c>
      <c r="C375" s="100"/>
      <c r="D375" s="90"/>
      <c r="E375" s="90" t="s">
        <v>50</v>
      </c>
      <c r="F375" s="90" t="s">
        <v>50</v>
      </c>
      <c r="G375" s="90"/>
      <c r="H375" s="90"/>
      <c r="I375" s="90"/>
      <c r="J375" s="90">
        <v>1899</v>
      </c>
      <c r="K375" s="90">
        <v>12</v>
      </c>
    </row>
    <row r="376" spans="2:11" x14ac:dyDescent="0.15">
      <c r="B376" s="86">
        <v>373</v>
      </c>
      <c r="C376" s="99"/>
      <c r="D376" s="89"/>
      <c r="E376" s="89" t="s">
        <v>50</v>
      </c>
      <c r="F376" s="89" t="s">
        <v>50</v>
      </c>
      <c r="G376" s="89"/>
      <c r="H376" s="89"/>
      <c r="I376" s="89"/>
      <c r="J376" s="89">
        <v>1899</v>
      </c>
      <c r="K376" s="89">
        <v>12</v>
      </c>
    </row>
    <row r="377" spans="2:11" x14ac:dyDescent="0.15">
      <c r="B377" s="86">
        <v>374</v>
      </c>
      <c r="C377" s="100"/>
      <c r="D377" s="90"/>
      <c r="E377" s="90" t="s">
        <v>50</v>
      </c>
      <c r="F377" s="90" t="s">
        <v>50</v>
      </c>
      <c r="G377" s="90"/>
      <c r="H377" s="90"/>
      <c r="I377" s="90"/>
      <c r="J377" s="90">
        <v>1899</v>
      </c>
      <c r="K377" s="90">
        <v>12</v>
      </c>
    </row>
    <row r="378" spans="2:11" x14ac:dyDescent="0.15">
      <c r="B378" s="86">
        <v>375</v>
      </c>
      <c r="C378" s="99"/>
      <c r="D378" s="89"/>
      <c r="E378" s="89" t="s">
        <v>50</v>
      </c>
      <c r="F378" s="89" t="s">
        <v>50</v>
      </c>
      <c r="G378" s="89"/>
      <c r="H378" s="89"/>
      <c r="I378" s="89"/>
      <c r="J378" s="89">
        <v>1899</v>
      </c>
      <c r="K378" s="89">
        <v>12</v>
      </c>
    </row>
    <row r="379" spans="2:11" x14ac:dyDescent="0.15">
      <c r="B379" s="86">
        <v>376</v>
      </c>
      <c r="C379" s="100"/>
      <c r="D379" s="90"/>
      <c r="E379" s="90" t="s">
        <v>50</v>
      </c>
      <c r="F379" s="90" t="s">
        <v>50</v>
      </c>
      <c r="G379" s="90"/>
      <c r="H379" s="90"/>
      <c r="I379" s="90"/>
      <c r="J379" s="90">
        <v>1899</v>
      </c>
      <c r="K379" s="90">
        <v>12</v>
      </c>
    </row>
    <row r="380" spans="2:11" x14ac:dyDescent="0.15">
      <c r="B380" s="86">
        <v>377</v>
      </c>
      <c r="C380" s="99"/>
      <c r="D380" s="89"/>
      <c r="E380" s="89" t="s">
        <v>50</v>
      </c>
      <c r="F380" s="89" t="s">
        <v>50</v>
      </c>
      <c r="G380" s="89"/>
      <c r="H380" s="89"/>
      <c r="I380" s="89"/>
      <c r="J380" s="89">
        <v>1899</v>
      </c>
      <c r="K380" s="89">
        <v>12</v>
      </c>
    </row>
    <row r="381" spans="2:11" x14ac:dyDescent="0.15">
      <c r="B381" s="86">
        <v>378</v>
      </c>
      <c r="C381" s="100"/>
      <c r="D381" s="90"/>
      <c r="E381" s="90" t="s">
        <v>50</v>
      </c>
      <c r="F381" s="90" t="s">
        <v>50</v>
      </c>
      <c r="G381" s="90"/>
      <c r="H381" s="90"/>
      <c r="I381" s="90"/>
      <c r="J381" s="90">
        <v>1899</v>
      </c>
      <c r="K381" s="90">
        <v>12</v>
      </c>
    </row>
    <row r="382" spans="2:11" x14ac:dyDescent="0.15">
      <c r="B382" s="86">
        <v>379</v>
      </c>
      <c r="C382" s="99"/>
      <c r="D382" s="89"/>
      <c r="E382" s="89" t="s">
        <v>50</v>
      </c>
      <c r="F382" s="89" t="s">
        <v>50</v>
      </c>
      <c r="G382" s="89"/>
      <c r="H382" s="89"/>
      <c r="I382" s="89"/>
      <c r="J382" s="89">
        <v>1899</v>
      </c>
      <c r="K382" s="89">
        <v>12</v>
      </c>
    </row>
    <row r="383" spans="2:11" x14ac:dyDescent="0.15">
      <c r="B383" s="86">
        <v>380</v>
      </c>
      <c r="C383" s="100"/>
      <c r="D383" s="90"/>
      <c r="E383" s="90" t="s">
        <v>50</v>
      </c>
      <c r="F383" s="90" t="s">
        <v>50</v>
      </c>
      <c r="G383" s="90"/>
      <c r="H383" s="90"/>
      <c r="I383" s="90"/>
      <c r="J383" s="90">
        <v>1899</v>
      </c>
      <c r="K383" s="90">
        <v>12</v>
      </c>
    </row>
    <row r="384" spans="2:11" x14ac:dyDescent="0.15">
      <c r="B384" s="86">
        <v>381</v>
      </c>
      <c r="C384" s="99"/>
      <c r="D384" s="89"/>
      <c r="E384" s="89" t="s">
        <v>50</v>
      </c>
      <c r="F384" s="89" t="s">
        <v>50</v>
      </c>
      <c r="G384" s="89"/>
      <c r="H384" s="89"/>
      <c r="I384" s="89"/>
      <c r="J384" s="89">
        <v>1899</v>
      </c>
      <c r="K384" s="89">
        <v>12</v>
      </c>
    </row>
    <row r="385" spans="2:11" x14ac:dyDescent="0.15">
      <c r="B385" s="86">
        <v>382</v>
      </c>
      <c r="C385" s="100"/>
      <c r="D385" s="90"/>
      <c r="E385" s="90" t="s">
        <v>50</v>
      </c>
      <c r="F385" s="90" t="s">
        <v>50</v>
      </c>
      <c r="G385" s="90"/>
      <c r="H385" s="90"/>
      <c r="I385" s="90"/>
      <c r="J385" s="90">
        <v>1899</v>
      </c>
      <c r="K385" s="90">
        <v>12</v>
      </c>
    </row>
    <row r="386" spans="2:11" x14ac:dyDescent="0.15">
      <c r="B386" s="86">
        <v>383</v>
      </c>
      <c r="C386" s="99"/>
      <c r="D386" s="89"/>
      <c r="E386" s="89" t="s">
        <v>50</v>
      </c>
      <c r="F386" s="89" t="s">
        <v>50</v>
      </c>
      <c r="G386" s="89"/>
      <c r="H386" s="89"/>
      <c r="I386" s="89"/>
      <c r="J386" s="89">
        <v>1899</v>
      </c>
      <c r="K386" s="89">
        <v>12</v>
      </c>
    </row>
    <row r="387" spans="2:11" x14ac:dyDescent="0.15">
      <c r="B387" s="86">
        <v>384</v>
      </c>
      <c r="C387" s="100"/>
      <c r="D387" s="90"/>
      <c r="E387" s="90" t="s">
        <v>50</v>
      </c>
      <c r="F387" s="90" t="s">
        <v>50</v>
      </c>
      <c r="G387" s="90"/>
      <c r="H387" s="90"/>
      <c r="I387" s="90"/>
      <c r="J387" s="90">
        <v>1899</v>
      </c>
      <c r="K387" s="90">
        <v>12</v>
      </c>
    </row>
    <row r="388" spans="2:11" x14ac:dyDescent="0.15">
      <c r="B388" s="86">
        <v>385</v>
      </c>
      <c r="C388" s="99"/>
      <c r="D388" s="89"/>
      <c r="E388" s="89" t="s">
        <v>50</v>
      </c>
      <c r="F388" s="89" t="s">
        <v>50</v>
      </c>
      <c r="G388" s="89"/>
      <c r="H388" s="89"/>
      <c r="I388" s="89"/>
      <c r="J388" s="89">
        <v>1899</v>
      </c>
      <c r="K388" s="89">
        <v>12</v>
      </c>
    </row>
    <row r="389" spans="2:11" x14ac:dyDescent="0.15">
      <c r="B389" s="86">
        <v>386</v>
      </c>
      <c r="C389" s="100"/>
      <c r="D389" s="90"/>
      <c r="E389" s="90" t="s">
        <v>50</v>
      </c>
      <c r="F389" s="90" t="s">
        <v>50</v>
      </c>
      <c r="G389" s="90"/>
      <c r="H389" s="90"/>
      <c r="I389" s="90"/>
      <c r="J389" s="90">
        <v>1899</v>
      </c>
      <c r="K389" s="90">
        <v>12</v>
      </c>
    </row>
    <row r="390" spans="2:11" x14ac:dyDescent="0.15">
      <c r="B390" s="86">
        <v>387</v>
      </c>
      <c r="C390" s="99"/>
      <c r="D390" s="89"/>
      <c r="E390" s="89" t="s">
        <v>50</v>
      </c>
      <c r="F390" s="89" t="s">
        <v>50</v>
      </c>
      <c r="G390" s="89"/>
      <c r="H390" s="89"/>
      <c r="I390" s="89"/>
      <c r="J390" s="89">
        <v>1899</v>
      </c>
      <c r="K390" s="89">
        <v>12</v>
      </c>
    </row>
    <row r="391" spans="2:11" x14ac:dyDescent="0.15">
      <c r="B391" s="86">
        <v>388</v>
      </c>
      <c r="C391" s="100"/>
      <c r="D391" s="90"/>
      <c r="E391" s="90" t="s">
        <v>50</v>
      </c>
      <c r="F391" s="90" t="s">
        <v>50</v>
      </c>
      <c r="G391" s="90"/>
      <c r="H391" s="90"/>
      <c r="I391" s="90"/>
      <c r="J391" s="90">
        <v>1899</v>
      </c>
      <c r="K391" s="90">
        <v>12</v>
      </c>
    </row>
    <row r="392" spans="2:11" x14ac:dyDescent="0.15">
      <c r="B392" s="86">
        <v>389</v>
      </c>
      <c r="C392" s="99"/>
      <c r="D392" s="89"/>
      <c r="E392" s="89" t="s">
        <v>50</v>
      </c>
      <c r="F392" s="89" t="s">
        <v>50</v>
      </c>
      <c r="G392" s="89"/>
      <c r="H392" s="89"/>
      <c r="I392" s="89"/>
      <c r="J392" s="89">
        <v>1899</v>
      </c>
      <c r="K392" s="89">
        <v>12</v>
      </c>
    </row>
    <row r="393" spans="2:11" x14ac:dyDescent="0.15">
      <c r="B393" s="86">
        <v>390</v>
      </c>
      <c r="C393" s="100"/>
      <c r="D393" s="90"/>
      <c r="E393" s="90" t="s">
        <v>50</v>
      </c>
      <c r="F393" s="90" t="s">
        <v>50</v>
      </c>
      <c r="G393" s="90"/>
      <c r="H393" s="90"/>
      <c r="I393" s="90"/>
      <c r="J393" s="90">
        <v>1899</v>
      </c>
      <c r="K393" s="90">
        <v>12</v>
      </c>
    </row>
    <row r="394" spans="2:11" x14ac:dyDescent="0.15">
      <c r="B394" s="86">
        <v>391</v>
      </c>
      <c r="C394" s="99"/>
      <c r="D394" s="89"/>
      <c r="E394" s="89" t="s">
        <v>50</v>
      </c>
      <c r="F394" s="89" t="s">
        <v>50</v>
      </c>
      <c r="G394" s="89"/>
      <c r="H394" s="89"/>
      <c r="I394" s="89"/>
      <c r="J394" s="89">
        <v>1899</v>
      </c>
      <c r="K394" s="89">
        <v>12</v>
      </c>
    </row>
    <row r="395" spans="2:11" x14ac:dyDescent="0.15">
      <c r="B395" s="86">
        <v>392</v>
      </c>
      <c r="C395" s="100"/>
      <c r="D395" s="90"/>
      <c r="E395" s="90" t="s">
        <v>50</v>
      </c>
      <c r="F395" s="90" t="s">
        <v>50</v>
      </c>
      <c r="G395" s="90"/>
      <c r="H395" s="90"/>
      <c r="I395" s="90"/>
      <c r="J395" s="90">
        <v>1899</v>
      </c>
      <c r="K395" s="90">
        <v>12</v>
      </c>
    </row>
    <row r="396" spans="2:11" x14ac:dyDescent="0.15">
      <c r="B396" s="86">
        <v>393</v>
      </c>
      <c r="C396" s="99"/>
      <c r="D396" s="89"/>
      <c r="E396" s="89" t="s">
        <v>50</v>
      </c>
      <c r="F396" s="89" t="s">
        <v>50</v>
      </c>
      <c r="G396" s="89"/>
      <c r="H396" s="89"/>
      <c r="I396" s="89"/>
      <c r="J396" s="89">
        <v>1899</v>
      </c>
      <c r="K396" s="89">
        <v>12</v>
      </c>
    </row>
    <row r="397" spans="2:11" x14ac:dyDescent="0.15">
      <c r="B397" s="86">
        <v>394</v>
      </c>
      <c r="C397" s="100"/>
      <c r="D397" s="90"/>
      <c r="E397" s="90" t="s">
        <v>50</v>
      </c>
      <c r="F397" s="90" t="s">
        <v>50</v>
      </c>
      <c r="G397" s="90"/>
      <c r="H397" s="90"/>
      <c r="I397" s="90"/>
      <c r="J397" s="90">
        <v>1899</v>
      </c>
      <c r="K397" s="90">
        <v>12</v>
      </c>
    </row>
    <row r="398" spans="2:11" x14ac:dyDescent="0.15">
      <c r="B398" s="86">
        <v>395</v>
      </c>
      <c r="C398" s="99"/>
      <c r="D398" s="89"/>
      <c r="E398" s="89" t="s">
        <v>50</v>
      </c>
      <c r="F398" s="89" t="s">
        <v>50</v>
      </c>
      <c r="G398" s="89"/>
      <c r="H398" s="89"/>
      <c r="I398" s="89"/>
      <c r="J398" s="89">
        <v>1899</v>
      </c>
      <c r="K398" s="89">
        <v>12</v>
      </c>
    </row>
    <row r="399" spans="2:11" x14ac:dyDescent="0.15">
      <c r="B399" s="86">
        <v>396</v>
      </c>
      <c r="C399" s="100"/>
      <c r="D399" s="90"/>
      <c r="E399" s="90" t="s">
        <v>50</v>
      </c>
      <c r="F399" s="90" t="s">
        <v>50</v>
      </c>
      <c r="G399" s="90"/>
      <c r="H399" s="90"/>
      <c r="I399" s="90"/>
      <c r="J399" s="90">
        <v>1899</v>
      </c>
      <c r="K399" s="90">
        <v>12</v>
      </c>
    </row>
    <row r="400" spans="2:11" x14ac:dyDescent="0.15">
      <c r="B400" s="86">
        <v>397</v>
      </c>
      <c r="C400" s="99"/>
      <c r="D400" s="89"/>
      <c r="E400" s="89" t="s">
        <v>50</v>
      </c>
      <c r="F400" s="89" t="s">
        <v>50</v>
      </c>
      <c r="G400" s="89"/>
      <c r="H400" s="89"/>
      <c r="I400" s="89"/>
      <c r="J400" s="89">
        <v>1899</v>
      </c>
      <c r="K400" s="89">
        <v>12</v>
      </c>
    </row>
    <row r="401" spans="2:11" x14ac:dyDescent="0.15">
      <c r="B401" s="86">
        <v>398</v>
      </c>
      <c r="C401" s="100"/>
      <c r="D401" s="90"/>
      <c r="E401" s="90" t="s">
        <v>50</v>
      </c>
      <c r="F401" s="90" t="s">
        <v>50</v>
      </c>
      <c r="G401" s="90"/>
      <c r="H401" s="90"/>
      <c r="I401" s="90"/>
      <c r="J401" s="90">
        <v>1899</v>
      </c>
      <c r="K401" s="90">
        <v>12</v>
      </c>
    </row>
    <row r="402" spans="2:11" x14ac:dyDescent="0.15">
      <c r="B402" s="86">
        <v>399</v>
      </c>
      <c r="C402" s="99"/>
      <c r="D402" s="89"/>
      <c r="E402" s="89" t="s">
        <v>50</v>
      </c>
      <c r="F402" s="89" t="s">
        <v>50</v>
      </c>
      <c r="G402" s="89"/>
      <c r="H402" s="89"/>
      <c r="I402" s="89"/>
      <c r="J402" s="89">
        <v>1899</v>
      </c>
      <c r="K402" s="89">
        <v>12</v>
      </c>
    </row>
    <row r="403" spans="2:11" x14ac:dyDescent="0.15">
      <c r="B403" s="86">
        <v>400</v>
      </c>
      <c r="C403" s="100"/>
      <c r="D403" s="90"/>
      <c r="E403" s="90" t="s">
        <v>50</v>
      </c>
      <c r="F403" s="90" t="s">
        <v>50</v>
      </c>
      <c r="G403" s="90"/>
      <c r="H403" s="90"/>
      <c r="I403" s="90"/>
      <c r="J403" s="90">
        <v>1899</v>
      </c>
      <c r="K403" s="90">
        <v>12</v>
      </c>
    </row>
    <row r="404" spans="2:11" x14ac:dyDescent="0.15">
      <c r="B404" s="86">
        <v>401</v>
      </c>
      <c r="C404" s="99"/>
      <c r="D404" s="89"/>
      <c r="E404" s="89" t="s">
        <v>50</v>
      </c>
      <c r="F404" s="89" t="s">
        <v>50</v>
      </c>
      <c r="G404" s="89"/>
      <c r="H404" s="89"/>
      <c r="I404" s="89"/>
      <c r="J404" s="89">
        <v>1899</v>
      </c>
      <c r="K404" s="89">
        <v>12</v>
      </c>
    </row>
    <row r="405" spans="2:11" x14ac:dyDescent="0.15">
      <c r="B405" s="86">
        <v>402</v>
      </c>
      <c r="C405" s="100"/>
      <c r="D405" s="90"/>
      <c r="E405" s="90" t="s">
        <v>50</v>
      </c>
      <c r="F405" s="90" t="s">
        <v>50</v>
      </c>
      <c r="G405" s="90"/>
      <c r="H405" s="90"/>
      <c r="I405" s="90"/>
      <c r="J405" s="90">
        <v>1899</v>
      </c>
      <c r="K405" s="90">
        <v>12</v>
      </c>
    </row>
    <row r="406" spans="2:11" x14ac:dyDescent="0.15">
      <c r="B406" s="86">
        <v>403</v>
      </c>
      <c r="C406" s="99"/>
      <c r="D406" s="89"/>
      <c r="E406" s="89" t="s">
        <v>50</v>
      </c>
      <c r="F406" s="89" t="s">
        <v>50</v>
      </c>
      <c r="G406" s="89"/>
      <c r="H406" s="89"/>
      <c r="I406" s="89"/>
      <c r="J406" s="89">
        <v>1899</v>
      </c>
      <c r="K406" s="89">
        <v>12</v>
      </c>
    </row>
    <row r="407" spans="2:11" x14ac:dyDescent="0.15">
      <c r="B407" s="86">
        <v>404</v>
      </c>
      <c r="C407" s="100"/>
      <c r="D407" s="90"/>
      <c r="E407" s="90" t="s">
        <v>50</v>
      </c>
      <c r="F407" s="90" t="s">
        <v>50</v>
      </c>
      <c r="G407" s="90"/>
      <c r="H407" s="90"/>
      <c r="I407" s="90"/>
      <c r="J407" s="90">
        <v>1899</v>
      </c>
      <c r="K407" s="90">
        <v>12</v>
      </c>
    </row>
    <row r="408" spans="2:11" x14ac:dyDescent="0.15">
      <c r="B408" s="86">
        <v>405</v>
      </c>
      <c r="C408" s="99"/>
      <c r="D408" s="89"/>
      <c r="E408" s="89" t="s">
        <v>50</v>
      </c>
      <c r="F408" s="89" t="s">
        <v>50</v>
      </c>
      <c r="G408" s="89"/>
      <c r="H408" s="89"/>
      <c r="I408" s="89"/>
      <c r="J408" s="89">
        <v>1899</v>
      </c>
      <c r="K408" s="89">
        <v>12</v>
      </c>
    </row>
    <row r="409" spans="2:11" x14ac:dyDescent="0.15">
      <c r="B409" s="86">
        <v>406</v>
      </c>
      <c r="C409" s="100"/>
      <c r="D409" s="90"/>
      <c r="E409" s="90" t="s">
        <v>50</v>
      </c>
      <c r="F409" s="90" t="s">
        <v>50</v>
      </c>
      <c r="G409" s="90"/>
      <c r="H409" s="90"/>
      <c r="I409" s="90"/>
      <c r="J409" s="90">
        <v>1899</v>
      </c>
      <c r="K409" s="90">
        <v>12</v>
      </c>
    </row>
    <row r="410" spans="2:11" x14ac:dyDescent="0.15">
      <c r="B410" s="86">
        <v>407</v>
      </c>
      <c r="C410" s="99"/>
      <c r="D410" s="89"/>
      <c r="E410" s="89" t="s">
        <v>50</v>
      </c>
      <c r="F410" s="89" t="s">
        <v>50</v>
      </c>
      <c r="G410" s="89"/>
      <c r="H410" s="89"/>
      <c r="I410" s="89"/>
      <c r="J410" s="89">
        <v>1899</v>
      </c>
      <c r="K410" s="89">
        <v>12</v>
      </c>
    </row>
    <row r="411" spans="2:11" x14ac:dyDescent="0.15">
      <c r="B411" s="86">
        <v>408</v>
      </c>
      <c r="C411" s="100"/>
      <c r="D411" s="90"/>
      <c r="E411" s="90" t="s">
        <v>50</v>
      </c>
      <c r="F411" s="90" t="s">
        <v>50</v>
      </c>
      <c r="G411" s="90"/>
      <c r="H411" s="90"/>
      <c r="I411" s="90"/>
      <c r="J411" s="90">
        <v>1899</v>
      </c>
      <c r="K411" s="90">
        <v>12</v>
      </c>
    </row>
    <row r="412" spans="2:11" x14ac:dyDescent="0.15">
      <c r="B412" s="86">
        <v>409</v>
      </c>
      <c r="C412" s="99"/>
      <c r="D412" s="89"/>
      <c r="E412" s="89" t="s">
        <v>50</v>
      </c>
      <c r="F412" s="89" t="s">
        <v>50</v>
      </c>
      <c r="G412" s="89"/>
      <c r="H412" s="89"/>
      <c r="I412" s="89"/>
      <c r="J412" s="89">
        <v>1899</v>
      </c>
      <c r="K412" s="89">
        <v>12</v>
      </c>
    </row>
    <row r="413" spans="2:11" x14ac:dyDescent="0.15">
      <c r="B413" s="86">
        <v>410</v>
      </c>
      <c r="C413" s="100"/>
      <c r="D413" s="90"/>
      <c r="E413" s="90" t="s">
        <v>50</v>
      </c>
      <c r="F413" s="90" t="s">
        <v>50</v>
      </c>
      <c r="G413" s="90"/>
      <c r="H413" s="90"/>
      <c r="I413" s="90"/>
      <c r="J413" s="90">
        <v>1899</v>
      </c>
      <c r="K413" s="90">
        <v>12</v>
      </c>
    </row>
    <row r="414" spans="2:11" x14ac:dyDescent="0.15">
      <c r="B414" s="86">
        <v>411</v>
      </c>
      <c r="C414" s="99"/>
      <c r="D414" s="89"/>
      <c r="E414" s="89" t="s">
        <v>50</v>
      </c>
      <c r="F414" s="89" t="s">
        <v>50</v>
      </c>
      <c r="G414" s="89"/>
      <c r="H414" s="89"/>
      <c r="I414" s="89"/>
      <c r="J414" s="89">
        <v>1899</v>
      </c>
      <c r="K414" s="89">
        <v>12</v>
      </c>
    </row>
    <row r="415" spans="2:11" x14ac:dyDescent="0.15">
      <c r="B415" s="86">
        <v>412</v>
      </c>
      <c r="C415" s="100"/>
      <c r="D415" s="90"/>
      <c r="E415" s="90" t="s">
        <v>50</v>
      </c>
      <c r="F415" s="90" t="s">
        <v>50</v>
      </c>
      <c r="G415" s="90"/>
      <c r="H415" s="90"/>
      <c r="I415" s="90"/>
      <c r="J415" s="90">
        <v>1899</v>
      </c>
      <c r="K415" s="90">
        <v>12</v>
      </c>
    </row>
    <row r="416" spans="2:11" x14ac:dyDescent="0.15">
      <c r="B416" s="86">
        <v>413</v>
      </c>
      <c r="C416" s="99"/>
      <c r="D416" s="89"/>
      <c r="E416" s="89" t="s">
        <v>50</v>
      </c>
      <c r="F416" s="89" t="s">
        <v>50</v>
      </c>
      <c r="G416" s="89"/>
      <c r="H416" s="89"/>
      <c r="I416" s="89"/>
      <c r="J416" s="89">
        <v>1899</v>
      </c>
      <c r="K416" s="89">
        <v>12</v>
      </c>
    </row>
    <row r="417" spans="2:11" x14ac:dyDescent="0.15">
      <c r="B417" s="86">
        <v>414</v>
      </c>
      <c r="C417" s="100"/>
      <c r="D417" s="90"/>
      <c r="E417" s="90" t="s">
        <v>50</v>
      </c>
      <c r="F417" s="90" t="s">
        <v>50</v>
      </c>
      <c r="G417" s="90"/>
      <c r="H417" s="90"/>
      <c r="I417" s="90"/>
      <c r="J417" s="90">
        <v>1899</v>
      </c>
      <c r="K417" s="90">
        <v>12</v>
      </c>
    </row>
    <row r="418" spans="2:11" x14ac:dyDescent="0.15">
      <c r="B418" s="86">
        <v>415</v>
      </c>
      <c r="C418" s="99"/>
      <c r="D418" s="89"/>
      <c r="E418" s="89" t="s">
        <v>50</v>
      </c>
      <c r="F418" s="89" t="s">
        <v>50</v>
      </c>
      <c r="G418" s="89"/>
      <c r="H418" s="89"/>
      <c r="I418" s="89"/>
      <c r="J418" s="89">
        <v>1899</v>
      </c>
      <c r="K418" s="89">
        <v>12</v>
      </c>
    </row>
    <row r="419" spans="2:11" x14ac:dyDescent="0.15">
      <c r="B419" s="86">
        <v>416</v>
      </c>
      <c r="C419" s="100"/>
      <c r="D419" s="90"/>
      <c r="E419" s="90" t="s">
        <v>50</v>
      </c>
      <c r="F419" s="90" t="s">
        <v>50</v>
      </c>
      <c r="G419" s="90"/>
      <c r="H419" s="90"/>
      <c r="I419" s="90"/>
      <c r="J419" s="90">
        <v>1899</v>
      </c>
      <c r="K419" s="90">
        <v>12</v>
      </c>
    </row>
    <row r="420" spans="2:11" x14ac:dyDescent="0.15">
      <c r="B420" s="86">
        <v>417</v>
      </c>
      <c r="C420" s="99"/>
      <c r="D420" s="89"/>
      <c r="E420" s="89" t="s">
        <v>50</v>
      </c>
      <c r="F420" s="89" t="s">
        <v>50</v>
      </c>
      <c r="G420" s="89"/>
      <c r="H420" s="89"/>
      <c r="I420" s="89"/>
      <c r="J420" s="89">
        <v>1899</v>
      </c>
      <c r="K420" s="89">
        <v>12</v>
      </c>
    </row>
    <row r="421" spans="2:11" x14ac:dyDescent="0.15">
      <c r="B421" s="86">
        <v>418</v>
      </c>
      <c r="C421" s="100"/>
      <c r="D421" s="90"/>
      <c r="E421" s="90" t="s">
        <v>50</v>
      </c>
      <c r="F421" s="90" t="s">
        <v>50</v>
      </c>
      <c r="G421" s="90"/>
      <c r="H421" s="90"/>
      <c r="I421" s="90"/>
      <c r="J421" s="90">
        <v>1899</v>
      </c>
      <c r="K421" s="90">
        <v>12</v>
      </c>
    </row>
    <row r="422" spans="2:11" x14ac:dyDescent="0.15">
      <c r="B422" s="86">
        <v>419</v>
      </c>
      <c r="C422" s="99"/>
      <c r="D422" s="89"/>
      <c r="E422" s="89" t="s">
        <v>50</v>
      </c>
      <c r="F422" s="89" t="s">
        <v>50</v>
      </c>
      <c r="G422" s="89"/>
      <c r="H422" s="89"/>
      <c r="I422" s="89"/>
      <c r="J422" s="89">
        <v>1899</v>
      </c>
      <c r="K422" s="89">
        <v>12</v>
      </c>
    </row>
    <row r="423" spans="2:11" x14ac:dyDescent="0.15">
      <c r="B423" s="86">
        <v>420</v>
      </c>
      <c r="C423" s="100"/>
      <c r="D423" s="90"/>
      <c r="E423" s="90" t="s">
        <v>50</v>
      </c>
      <c r="F423" s="90" t="s">
        <v>50</v>
      </c>
      <c r="G423" s="90"/>
      <c r="H423" s="90"/>
      <c r="I423" s="90"/>
      <c r="J423" s="90">
        <v>1899</v>
      </c>
      <c r="K423" s="90">
        <v>12</v>
      </c>
    </row>
    <row r="424" spans="2:11" x14ac:dyDescent="0.15">
      <c r="B424" s="86">
        <v>421</v>
      </c>
      <c r="C424" s="99"/>
      <c r="D424" s="89"/>
      <c r="E424" s="89" t="s">
        <v>50</v>
      </c>
      <c r="F424" s="89" t="s">
        <v>50</v>
      </c>
      <c r="G424" s="89"/>
      <c r="H424" s="89"/>
      <c r="I424" s="89"/>
      <c r="J424" s="89">
        <v>1899</v>
      </c>
      <c r="K424" s="89">
        <v>12</v>
      </c>
    </row>
    <row r="425" spans="2:11" x14ac:dyDescent="0.15">
      <c r="B425" s="86">
        <v>422</v>
      </c>
      <c r="C425" s="100"/>
      <c r="D425" s="90"/>
      <c r="E425" s="90" t="s">
        <v>50</v>
      </c>
      <c r="F425" s="90" t="s">
        <v>50</v>
      </c>
      <c r="G425" s="90"/>
      <c r="H425" s="90"/>
      <c r="I425" s="90"/>
      <c r="J425" s="90">
        <v>1899</v>
      </c>
      <c r="K425" s="90">
        <v>12</v>
      </c>
    </row>
    <row r="426" spans="2:11" x14ac:dyDescent="0.15">
      <c r="B426" s="86">
        <v>423</v>
      </c>
      <c r="C426" s="99"/>
      <c r="D426" s="89"/>
      <c r="E426" s="89" t="s">
        <v>50</v>
      </c>
      <c r="F426" s="89" t="s">
        <v>50</v>
      </c>
      <c r="G426" s="89"/>
      <c r="H426" s="89"/>
      <c r="I426" s="89"/>
      <c r="J426" s="89">
        <v>1899</v>
      </c>
      <c r="K426" s="89">
        <v>12</v>
      </c>
    </row>
    <row r="427" spans="2:11" x14ac:dyDescent="0.15">
      <c r="B427" s="86">
        <v>424</v>
      </c>
      <c r="C427" s="100"/>
      <c r="D427" s="90"/>
      <c r="E427" s="90" t="s">
        <v>50</v>
      </c>
      <c r="F427" s="90" t="s">
        <v>50</v>
      </c>
      <c r="G427" s="90"/>
      <c r="H427" s="90"/>
      <c r="I427" s="90"/>
      <c r="J427" s="90">
        <v>1899</v>
      </c>
      <c r="K427" s="90">
        <v>12</v>
      </c>
    </row>
    <row r="428" spans="2:11" x14ac:dyDescent="0.15">
      <c r="B428" s="86">
        <v>425</v>
      </c>
      <c r="C428" s="99"/>
      <c r="D428" s="89"/>
      <c r="E428" s="89" t="s">
        <v>50</v>
      </c>
      <c r="F428" s="89" t="s">
        <v>50</v>
      </c>
      <c r="G428" s="89"/>
      <c r="H428" s="89"/>
      <c r="I428" s="89"/>
      <c r="J428" s="89">
        <v>1899</v>
      </c>
      <c r="K428" s="89">
        <v>12</v>
      </c>
    </row>
    <row r="429" spans="2:11" x14ac:dyDescent="0.15">
      <c r="B429" s="86">
        <v>426</v>
      </c>
      <c r="C429" s="100"/>
      <c r="D429" s="90"/>
      <c r="E429" s="90" t="s">
        <v>50</v>
      </c>
      <c r="F429" s="90" t="s">
        <v>50</v>
      </c>
      <c r="G429" s="90"/>
      <c r="H429" s="90"/>
      <c r="I429" s="90"/>
      <c r="J429" s="90">
        <v>1899</v>
      </c>
      <c r="K429" s="90">
        <v>12</v>
      </c>
    </row>
    <row r="430" spans="2:11" x14ac:dyDescent="0.15">
      <c r="B430" s="86">
        <v>427</v>
      </c>
      <c r="C430" s="99"/>
      <c r="D430" s="89"/>
      <c r="E430" s="89" t="s">
        <v>50</v>
      </c>
      <c r="F430" s="89" t="s">
        <v>50</v>
      </c>
      <c r="G430" s="89"/>
      <c r="H430" s="89"/>
      <c r="I430" s="89"/>
      <c r="J430" s="89">
        <v>1899</v>
      </c>
      <c r="K430" s="89">
        <v>12</v>
      </c>
    </row>
    <row r="431" spans="2:11" x14ac:dyDescent="0.15">
      <c r="B431" s="86">
        <v>428</v>
      </c>
      <c r="C431" s="100"/>
      <c r="D431" s="90"/>
      <c r="E431" s="90" t="s">
        <v>50</v>
      </c>
      <c r="F431" s="90" t="s">
        <v>50</v>
      </c>
      <c r="G431" s="90"/>
      <c r="H431" s="90"/>
      <c r="I431" s="90"/>
      <c r="J431" s="90">
        <v>1899</v>
      </c>
      <c r="K431" s="90">
        <v>12</v>
      </c>
    </row>
    <row r="432" spans="2:11" x14ac:dyDescent="0.15">
      <c r="B432" s="86">
        <v>429</v>
      </c>
      <c r="C432" s="99"/>
      <c r="D432" s="89"/>
      <c r="E432" s="89" t="s">
        <v>50</v>
      </c>
      <c r="F432" s="89" t="s">
        <v>50</v>
      </c>
      <c r="G432" s="89"/>
      <c r="H432" s="89"/>
      <c r="I432" s="89"/>
      <c r="J432" s="89">
        <v>1899</v>
      </c>
      <c r="K432" s="89">
        <v>12</v>
      </c>
    </row>
    <row r="433" spans="2:11" x14ac:dyDescent="0.15">
      <c r="B433" s="86">
        <v>430</v>
      </c>
      <c r="C433" s="100"/>
      <c r="D433" s="90"/>
      <c r="E433" s="90" t="s">
        <v>50</v>
      </c>
      <c r="F433" s="90" t="s">
        <v>50</v>
      </c>
      <c r="G433" s="90"/>
      <c r="H433" s="90"/>
      <c r="I433" s="90"/>
      <c r="J433" s="90">
        <v>1899</v>
      </c>
      <c r="K433" s="90">
        <v>12</v>
      </c>
    </row>
    <row r="434" spans="2:11" x14ac:dyDescent="0.15">
      <c r="B434" s="86">
        <v>431</v>
      </c>
      <c r="C434" s="99"/>
      <c r="D434" s="89"/>
      <c r="E434" s="89" t="s">
        <v>50</v>
      </c>
      <c r="F434" s="89" t="s">
        <v>50</v>
      </c>
      <c r="G434" s="89"/>
      <c r="H434" s="89"/>
      <c r="I434" s="89"/>
      <c r="J434" s="89">
        <v>1899</v>
      </c>
      <c r="K434" s="89">
        <v>12</v>
      </c>
    </row>
    <row r="435" spans="2:11" x14ac:dyDescent="0.15">
      <c r="B435" s="86">
        <v>432</v>
      </c>
      <c r="C435" s="100"/>
      <c r="D435" s="90"/>
      <c r="E435" s="90" t="s">
        <v>50</v>
      </c>
      <c r="F435" s="90" t="s">
        <v>50</v>
      </c>
      <c r="G435" s="90"/>
      <c r="H435" s="90"/>
      <c r="I435" s="90"/>
      <c r="J435" s="90">
        <v>1899</v>
      </c>
      <c r="K435" s="90">
        <v>12</v>
      </c>
    </row>
    <row r="436" spans="2:11" x14ac:dyDescent="0.15">
      <c r="B436" s="86">
        <v>433</v>
      </c>
      <c r="C436" s="99"/>
      <c r="D436" s="89"/>
      <c r="E436" s="89" t="s">
        <v>50</v>
      </c>
      <c r="F436" s="89" t="s">
        <v>50</v>
      </c>
      <c r="G436" s="89"/>
      <c r="H436" s="89"/>
      <c r="I436" s="89"/>
      <c r="J436" s="89">
        <v>1899</v>
      </c>
      <c r="K436" s="89">
        <v>12</v>
      </c>
    </row>
    <row r="437" spans="2:11" x14ac:dyDescent="0.15">
      <c r="B437" s="86">
        <v>434</v>
      </c>
      <c r="C437" s="100"/>
      <c r="D437" s="90"/>
      <c r="E437" s="90" t="s">
        <v>50</v>
      </c>
      <c r="F437" s="90" t="s">
        <v>50</v>
      </c>
      <c r="G437" s="90"/>
      <c r="H437" s="90"/>
      <c r="I437" s="90"/>
      <c r="J437" s="90">
        <v>1899</v>
      </c>
      <c r="K437" s="90">
        <v>12</v>
      </c>
    </row>
    <row r="438" spans="2:11" x14ac:dyDescent="0.15">
      <c r="B438" s="86">
        <v>435</v>
      </c>
      <c r="C438" s="99"/>
      <c r="D438" s="89"/>
      <c r="E438" s="89" t="s">
        <v>50</v>
      </c>
      <c r="F438" s="89" t="s">
        <v>50</v>
      </c>
      <c r="G438" s="89"/>
      <c r="H438" s="89"/>
      <c r="I438" s="89"/>
      <c r="J438" s="89">
        <v>1899</v>
      </c>
      <c r="K438" s="89">
        <v>12</v>
      </c>
    </row>
    <row r="439" spans="2:11" x14ac:dyDescent="0.15">
      <c r="B439" s="86">
        <v>436</v>
      </c>
      <c r="C439" s="100"/>
      <c r="D439" s="90"/>
      <c r="E439" s="90" t="s">
        <v>50</v>
      </c>
      <c r="F439" s="90" t="s">
        <v>50</v>
      </c>
      <c r="G439" s="90"/>
      <c r="H439" s="90"/>
      <c r="I439" s="90"/>
      <c r="J439" s="90">
        <v>1899</v>
      </c>
      <c r="K439" s="90">
        <v>12</v>
      </c>
    </row>
    <row r="440" spans="2:11" x14ac:dyDescent="0.15">
      <c r="B440" s="86">
        <v>437</v>
      </c>
      <c r="C440" s="99"/>
      <c r="D440" s="89"/>
      <c r="E440" s="89" t="s">
        <v>50</v>
      </c>
      <c r="F440" s="89" t="s">
        <v>50</v>
      </c>
      <c r="G440" s="89"/>
      <c r="H440" s="89"/>
      <c r="I440" s="89"/>
      <c r="J440" s="89">
        <v>1899</v>
      </c>
      <c r="K440" s="89">
        <v>12</v>
      </c>
    </row>
    <row r="441" spans="2:11" x14ac:dyDescent="0.15">
      <c r="B441" s="86">
        <v>438</v>
      </c>
      <c r="C441" s="100"/>
      <c r="D441" s="90"/>
      <c r="E441" s="90" t="s">
        <v>50</v>
      </c>
      <c r="F441" s="90" t="s">
        <v>50</v>
      </c>
      <c r="G441" s="90"/>
      <c r="H441" s="90"/>
      <c r="I441" s="90"/>
      <c r="J441" s="90">
        <v>1899</v>
      </c>
      <c r="K441" s="90">
        <v>12</v>
      </c>
    </row>
    <row r="442" spans="2:11" x14ac:dyDescent="0.15">
      <c r="B442" s="86">
        <v>439</v>
      </c>
      <c r="C442" s="99"/>
      <c r="D442" s="89"/>
      <c r="E442" s="89" t="s">
        <v>50</v>
      </c>
      <c r="F442" s="89" t="s">
        <v>50</v>
      </c>
      <c r="G442" s="89"/>
      <c r="H442" s="89"/>
      <c r="I442" s="89"/>
      <c r="J442" s="89">
        <v>1899</v>
      </c>
      <c r="K442" s="89">
        <v>12</v>
      </c>
    </row>
    <row r="443" spans="2:11" x14ac:dyDescent="0.15">
      <c r="B443" s="86">
        <v>440</v>
      </c>
      <c r="C443" s="100"/>
      <c r="D443" s="90"/>
      <c r="E443" s="90" t="s">
        <v>50</v>
      </c>
      <c r="F443" s="90" t="s">
        <v>50</v>
      </c>
      <c r="G443" s="90"/>
      <c r="H443" s="90"/>
      <c r="I443" s="90"/>
      <c r="J443" s="90">
        <v>1899</v>
      </c>
      <c r="K443" s="90">
        <v>12</v>
      </c>
    </row>
    <row r="444" spans="2:11" x14ac:dyDescent="0.15">
      <c r="B444" s="86">
        <v>441</v>
      </c>
      <c r="C444" s="99"/>
      <c r="D444" s="89"/>
      <c r="E444" s="89" t="s">
        <v>50</v>
      </c>
      <c r="F444" s="89" t="s">
        <v>50</v>
      </c>
      <c r="G444" s="89"/>
      <c r="H444" s="89"/>
      <c r="I444" s="89"/>
      <c r="J444" s="89">
        <v>1899</v>
      </c>
      <c r="K444" s="89">
        <v>12</v>
      </c>
    </row>
    <row r="445" spans="2:11" x14ac:dyDescent="0.15">
      <c r="B445" s="86">
        <v>442</v>
      </c>
      <c r="C445" s="100"/>
      <c r="D445" s="90"/>
      <c r="E445" s="90" t="s">
        <v>50</v>
      </c>
      <c r="F445" s="90" t="s">
        <v>50</v>
      </c>
      <c r="G445" s="90"/>
      <c r="H445" s="90"/>
      <c r="I445" s="90"/>
      <c r="J445" s="90">
        <v>1899</v>
      </c>
      <c r="K445" s="90">
        <v>12</v>
      </c>
    </row>
    <row r="446" spans="2:11" x14ac:dyDescent="0.15">
      <c r="B446" s="86">
        <v>443</v>
      </c>
      <c r="C446" s="99"/>
      <c r="D446" s="89"/>
      <c r="E446" s="89" t="s">
        <v>50</v>
      </c>
      <c r="F446" s="89" t="s">
        <v>50</v>
      </c>
      <c r="G446" s="89"/>
      <c r="H446" s="89"/>
      <c r="I446" s="89"/>
      <c r="J446" s="89">
        <v>1899</v>
      </c>
      <c r="K446" s="89">
        <v>12</v>
      </c>
    </row>
    <row r="447" spans="2:11" x14ac:dyDescent="0.15">
      <c r="B447" s="86">
        <v>444</v>
      </c>
      <c r="C447" s="100"/>
      <c r="D447" s="90"/>
      <c r="E447" s="90" t="s">
        <v>50</v>
      </c>
      <c r="F447" s="90" t="s">
        <v>50</v>
      </c>
      <c r="G447" s="90"/>
      <c r="H447" s="90"/>
      <c r="I447" s="90"/>
      <c r="J447" s="90">
        <v>1899</v>
      </c>
      <c r="K447" s="90">
        <v>12</v>
      </c>
    </row>
    <row r="448" spans="2:11" x14ac:dyDescent="0.15">
      <c r="B448" s="86">
        <v>445</v>
      </c>
      <c r="C448" s="99"/>
      <c r="D448" s="89"/>
      <c r="E448" s="89" t="s">
        <v>50</v>
      </c>
      <c r="F448" s="89" t="s">
        <v>50</v>
      </c>
      <c r="G448" s="89"/>
      <c r="H448" s="89"/>
      <c r="I448" s="89"/>
      <c r="J448" s="89">
        <v>1899</v>
      </c>
      <c r="K448" s="89">
        <v>12</v>
      </c>
    </row>
    <row r="449" spans="2:11" x14ac:dyDescent="0.15">
      <c r="B449" s="86">
        <v>446</v>
      </c>
      <c r="C449" s="100"/>
      <c r="D449" s="90"/>
      <c r="E449" s="90" t="s">
        <v>50</v>
      </c>
      <c r="F449" s="90" t="s">
        <v>50</v>
      </c>
      <c r="G449" s="90"/>
      <c r="H449" s="90"/>
      <c r="I449" s="90"/>
      <c r="J449" s="90">
        <v>1899</v>
      </c>
      <c r="K449" s="90">
        <v>12</v>
      </c>
    </row>
    <row r="450" spans="2:11" x14ac:dyDescent="0.15">
      <c r="B450" s="86">
        <v>447</v>
      </c>
      <c r="C450" s="99"/>
      <c r="D450" s="89"/>
      <c r="E450" s="89" t="s">
        <v>50</v>
      </c>
      <c r="F450" s="89" t="s">
        <v>50</v>
      </c>
      <c r="G450" s="89"/>
      <c r="H450" s="89"/>
      <c r="I450" s="89"/>
      <c r="J450" s="89">
        <v>1899</v>
      </c>
      <c r="K450" s="89">
        <v>12</v>
      </c>
    </row>
    <row r="451" spans="2:11" x14ac:dyDescent="0.15">
      <c r="B451" s="86">
        <v>448</v>
      </c>
      <c r="C451" s="100"/>
      <c r="D451" s="90"/>
      <c r="E451" s="90" t="s">
        <v>50</v>
      </c>
      <c r="F451" s="90" t="s">
        <v>50</v>
      </c>
      <c r="G451" s="90"/>
      <c r="H451" s="90"/>
      <c r="I451" s="90"/>
      <c r="J451" s="90">
        <v>1899</v>
      </c>
      <c r="K451" s="90">
        <v>12</v>
      </c>
    </row>
    <row r="452" spans="2:11" x14ac:dyDescent="0.15">
      <c r="B452" s="86">
        <v>449</v>
      </c>
      <c r="C452" s="99"/>
      <c r="D452" s="89"/>
      <c r="E452" s="89" t="s">
        <v>50</v>
      </c>
      <c r="F452" s="89" t="s">
        <v>50</v>
      </c>
      <c r="G452" s="89"/>
      <c r="H452" s="89"/>
      <c r="I452" s="89"/>
      <c r="J452" s="89">
        <v>1899</v>
      </c>
      <c r="K452" s="89">
        <v>12</v>
      </c>
    </row>
    <row r="453" spans="2:11" x14ac:dyDescent="0.15">
      <c r="B453" s="86">
        <v>450</v>
      </c>
      <c r="C453" s="100"/>
      <c r="D453" s="90"/>
      <c r="E453" s="90" t="s">
        <v>50</v>
      </c>
      <c r="F453" s="90" t="s">
        <v>50</v>
      </c>
      <c r="G453" s="90"/>
      <c r="H453" s="90"/>
      <c r="I453" s="90"/>
      <c r="J453" s="90">
        <v>1899</v>
      </c>
      <c r="K453" s="90">
        <v>12</v>
      </c>
    </row>
    <row r="454" spans="2:11" x14ac:dyDescent="0.15">
      <c r="B454" s="86">
        <v>451</v>
      </c>
      <c r="C454" s="99"/>
      <c r="D454" s="89"/>
      <c r="E454" s="89" t="s">
        <v>50</v>
      </c>
      <c r="F454" s="89" t="s">
        <v>50</v>
      </c>
      <c r="G454" s="89"/>
      <c r="H454" s="89"/>
      <c r="I454" s="89"/>
      <c r="J454" s="89">
        <v>1899</v>
      </c>
      <c r="K454" s="89">
        <v>12</v>
      </c>
    </row>
    <row r="455" spans="2:11" x14ac:dyDescent="0.15">
      <c r="B455" s="86">
        <v>452</v>
      </c>
      <c r="C455" s="100"/>
      <c r="D455" s="90"/>
      <c r="E455" s="90" t="s">
        <v>50</v>
      </c>
      <c r="F455" s="90" t="s">
        <v>50</v>
      </c>
      <c r="G455" s="90"/>
      <c r="H455" s="90"/>
      <c r="I455" s="90"/>
      <c r="J455" s="90">
        <v>1899</v>
      </c>
      <c r="K455" s="90">
        <v>12</v>
      </c>
    </row>
    <row r="456" spans="2:11" x14ac:dyDescent="0.15">
      <c r="B456" s="86">
        <v>453</v>
      </c>
      <c r="C456" s="99"/>
      <c r="D456" s="89"/>
      <c r="E456" s="89" t="s">
        <v>50</v>
      </c>
      <c r="F456" s="89" t="s">
        <v>50</v>
      </c>
      <c r="G456" s="89"/>
      <c r="H456" s="89"/>
      <c r="I456" s="89"/>
      <c r="J456" s="89">
        <v>1899</v>
      </c>
      <c r="K456" s="89">
        <v>12</v>
      </c>
    </row>
    <row r="457" spans="2:11" x14ac:dyDescent="0.15">
      <c r="B457" s="86">
        <v>454</v>
      </c>
      <c r="C457" s="100"/>
      <c r="D457" s="90"/>
      <c r="E457" s="90" t="s">
        <v>50</v>
      </c>
      <c r="F457" s="90" t="s">
        <v>50</v>
      </c>
      <c r="G457" s="90"/>
      <c r="H457" s="90"/>
      <c r="I457" s="90"/>
      <c r="J457" s="90">
        <v>1899</v>
      </c>
      <c r="K457" s="90">
        <v>12</v>
      </c>
    </row>
    <row r="458" spans="2:11" x14ac:dyDescent="0.15">
      <c r="B458" s="86">
        <v>455</v>
      </c>
      <c r="C458" s="99"/>
      <c r="D458" s="89"/>
      <c r="E458" s="89" t="s">
        <v>50</v>
      </c>
      <c r="F458" s="89" t="s">
        <v>50</v>
      </c>
      <c r="G458" s="89"/>
      <c r="H458" s="89"/>
      <c r="I458" s="89"/>
      <c r="J458" s="89">
        <v>1899</v>
      </c>
      <c r="K458" s="89">
        <v>12</v>
      </c>
    </row>
    <row r="459" spans="2:11" x14ac:dyDescent="0.15">
      <c r="B459" s="86">
        <v>456</v>
      </c>
      <c r="C459" s="100"/>
      <c r="D459" s="90"/>
      <c r="E459" s="90" t="s">
        <v>50</v>
      </c>
      <c r="F459" s="90" t="s">
        <v>50</v>
      </c>
      <c r="G459" s="90"/>
      <c r="H459" s="90"/>
      <c r="I459" s="90"/>
      <c r="J459" s="90">
        <v>1899</v>
      </c>
      <c r="K459" s="90">
        <v>12</v>
      </c>
    </row>
    <row r="460" spans="2:11" x14ac:dyDescent="0.15">
      <c r="B460" s="86">
        <v>457</v>
      </c>
      <c r="C460" s="99"/>
      <c r="D460" s="89"/>
      <c r="E460" s="89" t="s">
        <v>50</v>
      </c>
      <c r="F460" s="89" t="s">
        <v>50</v>
      </c>
      <c r="G460" s="89"/>
      <c r="H460" s="89"/>
      <c r="I460" s="89"/>
      <c r="J460" s="89">
        <v>1899</v>
      </c>
      <c r="K460" s="89">
        <v>12</v>
      </c>
    </row>
    <row r="461" spans="2:11" x14ac:dyDescent="0.15">
      <c r="B461" s="86">
        <v>458</v>
      </c>
      <c r="C461" s="100"/>
      <c r="D461" s="90"/>
      <c r="E461" s="90" t="s">
        <v>50</v>
      </c>
      <c r="F461" s="90" t="s">
        <v>50</v>
      </c>
      <c r="G461" s="90"/>
      <c r="H461" s="90"/>
      <c r="I461" s="90"/>
      <c r="J461" s="90">
        <v>1899</v>
      </c>
      <c r="K461" s="90">
        <v>12</v>
      </c>
    </row>
    <row r="462" spans="2:11" x14ac:dyDescent="0.15">
      <c r="B462" s="86">
        <v>459</v>
      </c>
      <c r="C462" s="99"/>
      <c r="D462" s="89"/>
      <c r="E462" s="89" t="s">
        <v>50</v>
      </c>
      <c r="F462" s="89" t="s">
        <v>50</v>
      </c>
      <c r="G462" s="89"/>
      <c r="H462" s="89"/>
      <c r="I462" s="89"/>
      <c r="J462" s="89">
        <v>1899</v>
      </c>
      <c r="K462" s="89">
        <v>12</v>
      </c>
    </row>
    <row r="463" spans="2:11" x14ac:dyDescent="0.15">
      <c r="B463" s="86">
        <v>460</v>
      </c>
      <c r="C463" s="100"/>
      <c r="D463" s="90"/>
      <c r="E463" s="90" t="s">
        <v>50</v>
      </c>
      <c r="F463" s="90" t="s">
        <v>50</v>
      </c>
      <c r="G463" s="90"/>
      <c r="H463" s="90"/>
      <c r="I463" s="90"/>
      <c r="J463" s="90">
        <v>1899</v>
      </c>
      <c r="K463" s="90">
        <v>12</v>
      </c>
    </row>
    <row r="464" spans="2:11" x14ac:dyDescent="0.15">
      <c r="B464" s="86">
        <v>461</v>
      </c>
      <c r="C464" s="99"/>
      <c r="D464" s="89"/>
      <c r="E464" s="89" t="s">
        <v>50</v>
      </c>
      <c r="F464" s="89" t="s">
        <v>50</v>
      </c>
      <c r="G464" s="89"/>
      <c r="H464" s="89"/>
      <c r="I464" s="89"/>
      <c r="J464" s="89">
        <v>1899</v>
      </c>
      <c r="K464" s="89">
        <v>12</v>
      </c>
    </row>
    <row r="465" spans="2:11" x14ac:dyDescent="0.15">
      <c r="B465" s="86">
        <v>462</v>
      </c>
      <c r="C465" s="100"/>
      <c r="D465" s="90"/>
      <c r="E465" s="90" t="s">
        <v>50</v>
      </c>
      <c r="F465" s="90" t="s">
        <v>50</v>
      </c>
      <c r="G465" s="90"/>
      <c r="H465" s="90"/>
      <c r="I465" s="90"/>
      <c r="J465" s="90">
        <v>1899</v>
      </c>
      <c r="K465" s="90">
        <v>12</v>
      </c>
    </row>
    <row r="466" spans="2:11" x14ac:dyDescent="0.15">
      <c r="B466" s="86">
        <v>463</v>
      </c>
      <c r="C466" s="99"/>
      <c r="D466" s="89"/>
      <c r="E466" s="89" t="s">
        <v>50</v>
      </c>
      <c r="F466" s="89" t="s">
        <v>50</v>
      </c>
      <c r="G466" s="89"/>
      <c r="H466" s="89"/>
      <c r="I466" s="89"/>
      <c r="J466" s="89">
        <v>1899</v>
      </c>
      <c r="K466" s="89">
        <v>12</v>
      </c>
    </row>
    <row r="467" spans="2:11" x14ac:dyDescent="0.15">
      <c r="B467" s="86">
        <v>464</v>
      </c>
      <c r="C467" s="100"/>
      <c r="D467" s="90"/>
      <c r="E467" s="90" t="s">
        <v>50</v>
      </c>
      <c r="F467" s="90" t="s">
        <v>50</v>
      </c>
      <c r="G467" s="90"/>
      <c r="H467" s="90"/>
      <c r="I467" s="90"/>
      <c r="J467" s="90">
        <v>1899</v>
      </c>
      <c r="K467" s="90">
        <v>12</v>
      </c>
    </row>
    <row r="468" spans="2:11" x14ac:dyDescent="0.15">
      <c r="B468" s="86">
        <v>465</v>
      </c>
      <c r="C468" s="99"/>
      <c r="D468" s="89"/>
      <c r="E468" s="89" t="s">
        <v>50</v>
      </c>
      <c r="F468" s="89" t="s">
        <v>50</v>
      </c>
      <c r="G468" s="89"/>
      <c r="H468" s="89"/>
      <c r="I468" s="89"/>
      <c r="J468" s="89">
        <v>1899</v>
      </c>
      <c r="K468" s="89">
        <v>12</v>
      </c>
    </row>
    <row r="469" spans="2:11" x14ac:dyDescent="0.15">
      <c r="B469" s="86">
        <v>466</v>
      </c>
      <c r="C469" s="100"/>
      <c r="D469" s="90"/>
      <c r="E469" s="90" t="s">
        <v>50</v>
      </c>
      <c r="F469" s="90" t="s">
        <v>50</v>
      </c>
      <c r="G469" s="90"/>
      <c r="H469" s="90"/>
      <c r="I469" s="90"/>
      <c r="J469" s="90">
        <v>1899</v>
      </c>
      <c r="K469" s="90">
        <v>12</v>
      </c>
    </row>
    <row r="470" spans="2:11" x14ac:dyDescent="0.15">
      <c r="B470" s="86">
        <v>467</v>
      </c>
      <c r="C470" s="99"/>
      <c r="D470" s="89"/>
      <c r="E470" s="89" t="s">
        <v>50</v>
      </c>
      <c r="F470" s="89" t="s">
        <v>50</v>
      </c>
      <c r="G470" s="89"/>
      <c r="H470" s="89"/>
      <c r="I470" s="89"/>
      <c r="J470" s="89">
        <v>1899</v>
      </c>
      <c r="K470" s="89">
        <v>12</v>
      </c>
    </row>
    <row r="471" spans="2:11" x14ac:dyDescent="0.15">
      <c r="B471" s="86">
        <v>468</v>
      </c>
      <c r="C471" s="100"/>
      <c r="D471" s="90"/>
      <c r="E471" s="90" t="s">
        <v>50</v>
      </c>
      <c r="F471" s="90" t="s">
        <v>50</v>
      </c>
      <c r="G471" s="90"/>
      <c r="H471" s="90"/>
      <c r="I471" s="90"/>
      <c r="J471" s="90">
        <v>1899</v>
      </c>
      <c r="K471" s="90">
        <v>12</v>
      </c>
    </row>
    <row r="472" spans="2:11" x14ac:dyDescent="0.15">
      <c r="B472" s="86">
        <v>469</v>
      </c>
      <c r="C472" s="99"/>
      <c r="D472" s="89"/>
      <c r="E472" s="89" t="s">
        <v>50</v>
      </c>
      <c r="F472" s="89" t="s">
        <v>50</v>
      </c>
      <c r="G472" s="89"/>
      <c r="H472" s="89"/>
      <c r="I472" s="89"/>
      <c r="J472" s="89">
        <v>1899</v>
      </c>
      <c r="K472" s="89">
        <v>12</v>
      </c>
    </row>
    <row r="473" spans="2:11" x14ac:dyDescent="0.15">
      <c r="B473" s="86">
        <v>470</v>
      </c>
      <c r="C473" s="100"/>
      <c r="D473" s="90"/>
      <c r="E473" s="90" t="s">
        <v>50</v>
      </c>
      <c r="F473" s="90" t="s">
        <v>50</v>
      </c>
      <c r="G473" s="90"/>
      <c r="H473" s="90"/>
      <c r="I473" s="90"/>
      <c r="J473" s="90">
        <v>1899</v>
      </c>
      <c r="K473" s="90">
        <v>12</v>
      </c>
    </row>
    <row r="474" spans="2:11" x14ac:dyDescent="0.15">
      <c r="B474" s="86">
        <v>471</v>
      </c>
      <c r="C474" s="99"/>
      <c r="D474" s="89"/>
      <c r="E474" s="89" t="s">
        <v>50</v>
      </c>
      <c r="F474" s="89" t="s">
        <v>50</v>
      </c>
      <c r="G474" s="89"/>
      <c r="H474" s="89"/>
      <c r="I474" s="89"/>
      <c r="J474" s="89">
        <v>1899</v>
      </c>
      <c r="K474" s="89">
        <v>12</v>
      </c>
    </row>
    <row r="475" spans="2:11" x14ac:dyDescent="0.15">
      <c r="B475" s="86">
        <v>472</v>
      </c>
      <c r="C475" s="100"/>
      <c r="D475" s="90"/>
      <c r="E475" s="90" t="s">
        <v>50</v>
      </c>
      <c r="F475" s="90" t="s">
        <v>50</v>
      </c>
      <c r="G475" s="90"/>
      <c r="H475" s="90"/>
      <c r="I475" s="90"/>
      <c r="J475" s="90">
        <v>1899</v>
      </c>
      <c r="K475" s="90">
        <v>12</v>
      </c>
    </row>
    <row r="476" spans="2:11" x14ac:dyDescent="0.15">
      <c r="B476" s="86">
        <v>473</v>
      </c>
      <c r="C476" s="99"/>
      <c r="D476" s="89"/>
      <c r="E476" s="89" t="s">
        <v>50</v>
      </c>
      <c r="F476" s="89" t="s">
        <v>50</v>
      </c>
      <c r="G476" s="89"/>
      <c r="H476" s="89"/>
      <c r="I476" s="89"/>
      <c r="J476" s="89">
        <v>1899</v>
      </c>
      <c r="K476" s="89">
        <v>12</v>
      </c>
    </row>
    <row r="477" spans="2:11" x14ac:dyDescent="0.15">
      <c r="B477" s="86">
        <v>474</v>
      </c>
      <c r="C477" s="100"/>
      <c r="D477" s="90"/>
      <c r="E477" s="90" t="s">
        <v>50</v>
      </c>
      <c r="F477" s="90" t="s">
        <v>50</v>
      </c>
      <c r="G477" s="90"/>
      <c r="H477" s="90"/>
      <c r="I477" s="90"/>
      <c r="J477" s="90">
        <v>1899</v>
      </c>
      <c r="K477" s="90">
        <v>12</v>
      </c>
    </row>
    <row r="478" spans="2:11" x14ac:dyDescent="0.15">
      <c r="B478" s="86">
        <v>475</v>
      </c>
      <c r="C478" s="99"/>
      <c r="D478" s="89"/>
      <c r="E478" s="89" t="s">
        <v>50</v>
      </c>
      <c r="F478" s="89" t="s">
        <v>50</v>
      </c>
      <c r="G478" s="89"/>
      <c r="H478" s="89"/>
      <c r="I478" s="89"/>
      <c r="J478" s="89">
        <v>1899</v>
      </c>
      <c r="K478" s="89">
        <v>12</v>
      </c>
    </row>
    <row r="479" spans="2:11" x14ac:dyDescent="0.15">
      <c r="B479" s="86">
        <v>476</v>
      </c>
      <c r="C479" s="100"/>
      <c r="D479" s="90"/>
      <c r="E479" s="90" t="s">
        <v>50</v>
      </c>
      <c r="F479" s="90" t="s">
        <v>50</v>
      </c>
      <c r="G479" s="90"/>
      <c r="H479" s="90"/>
      <c r="I479" s="90"/>
      <c r="J479" s="90">
        <v>1899</v>
      </c>
      <c r="K479" s="90">
        <v>12</v>
      </c>
    </row>
    <row r="480" spans="2:11" x14ac:dyDescent="0.15">
      <c r="B480" s="86">
        <v>477</v>
      </c>
      <c r="C480" s="99"/>
      <c r="D480" s="89"/>
      <c r="E480" s="89" t="s">
        <v>50</v>
      </c>
      <c r="F480" s="89" t="s">
        <v>50</v>
      </c>
      <c r="G480" s="89"/>
      <c r="H480" s="89"/>
      <c r="I480" s="89"/>
      <c r="J480" s="89">
        <v>1899</v>
      </c>
      <c r="K480" s="89">
        <v>12</v>
      </c>
    </row>
    <row r="481" spans="2:11" x14ac:dyDescent="0.15">
      <c r="B481" s="86">
        <v>478</v>
      </c>
      <c r="C481" s="100"/>
      <c r="D481" s="90"/>
      <c r="E481" s="90" t="s">
        <v>50</v>
      </c>
      <c r="F481" s="90" t="s">
        <v>50</v>
      </c>
      <c r="G481" s="90"/>
      <c r="H481" s="90"/>
      <c r="I481" s="90"/>
      <c r="J481" s="90">
        <v>1899</v>
      </c>
      <c r="K481" s="90">
        <v>12</v>
      </c>
    </row>
    <row r="482" spans="2:11" x14ac:dyDescent="0.15">
      <c r="B482" s="86">
        <v>479</v>
      </c>
      <c r="C482" s="99"/>
      <c r="D482" s="89"/>
      <c r="E482" s="89" t="s">
        <v>50</v>
      </c>
      <c r="F482" s="89" t="s">
        <v>50</v>
      </c>
      <c r="G482" s="89"/>
      <c r="H482" s="89"/>
      <c r="I482" s="89"/>
      <c r="J482" s="89">
        <v>1899</v>
      </c>
      <c r="K482" s="89">
        <v>12</v>
      </c>
    </row>
    <row r="483" spans="2:11" x14ac:dyDescent="0.15">
      <c r="B483" s="86">
        <v>480</v>
      </c>
      <c r="C483" s="100"/>
      <c r="D483" s="90"/>
      <c r="E483" s="90" t="s">
        <v>50</v>
      </c>
      <c r="F483" s="90" t="s">
        <v>50</v>
      </c>
      <c r="G483" s="90"/>
      <c r="H483" s="90"/>
      <c r="I483" s="90"/>
      <c r="J483" s="90">
        <v>1899</v>
      </c>
      <c r="K483" s="90">
        <v>12</v>
      </c>
    </row>
    <row r="484" spans="2:11" x14ac:dyDescent="0.15">
      <c r="B484" s="86">
        <v>481</v>
      </c>
      <c r="C484" s="99"/>
      <c r="D484" s="89"/>
      <c r="E484" s="89" t="s">
        <v>50</v>
      </c>
      <c r="F484" s="89" t="s">
        <v>50</v>
      </c>
      <c r="G484" s="89"/>
      <c r="H484" s="89"/>
      <c r="I484" s="89"/>
      <c r="J484" s="89">
        <v>1899</v>
      </c>
      <c r="K484" s="89">
        <v>12</v>
      </c>
    </row>
    <row r="485" spans="2:11" x14ac:dyDescent="0.15">
      <c r="B485" s="86">
        <v>482</v>
      </c>
      <c r="C485" s="100"/>
      <c r="D485" s="90"/>
      <c r="E485" s="90" t="s">
        <v>50</v>
      </c>
      <c r="F485" s="90" t="s">
        <v>50</v>
      </c>
      <c r="G485" s="90"/>
      <c r="H485" s="90"/>
      <c r="I485" s="90"/>
      <c r="J485" s="90">
        <v>1899</v>
      </c>
      <c r="K485" s="90">
        <v>12</v>
      </c>
    </row>
    <row r="486" spans="2:11" x14ac:dyDescent="0.15">
      <c r="B486" s="86">
        <v>483</v>
      </c>
      <c r="C486" s="99"/>
      <c r="D486" s="89"/>
      <c r="E486" s="89" t="s">
        <v>50</v>
      </c>
      <c r="F486" s="89" t="s">
        <v>50</v>
      </c>
      <c r="G486" s="89"/>
      <c r="H486" s="89"/>
      <c r="I486" s="89"/>
      <c r="J486" s="89">
        <v>1899</v>
      </c>
      <c r="K486" s="89">
        <v>12</v>
      </c>
    </row>
    <row r="487" spans="2:11" x14ac:dyDescent="0.15">
      <c r="B487" s="86">
        <v>484</v>
      </c>
      <c r="C487" s="100"/>
      <c r="D487" s="90"/>
      <c r="E487" s="90" t="s">
        <v>50</v>
      </c>
      <c r="F487" s="90" t="s">
        <v>50</v>
      </c>
      <c r="G487" s="90"/>
      <c r="H487" s="90"/>
      <c r="I487" s="90"/>
      <c r="J487" s="90">
        <v>1899</v>
      </c>
      <c r="K487" s="90">
        <v>12</v>
      </c>
    </row>
    <row r="488" spans="2:11" x14ac:dyDescent="0.15">
      <c r="B488" s="86">
        <v>485</v>
      </c>
      <c r="C488" s="99"/>
      <c r="D488" s="89"/>
      <c r="E488" s="89" t="s">
        <v>50</v>
      </c>
      <c r="F488" s="89" t="s">
        <v>50</v>
      </c>
      <c r="G488" s="89"/>
      <c r="H488" s="89"/>
      <c r="I488" s="89"/>
      <c r="J488" s="89">
        <v>1899</v>
      </c>
      <c r="K488" s="89">
        <v>12</v>
      </c>
    </row>
    <row r="489" spans="2:11" x14ac:dyDescent="0.15">
      <c r="B489" s="86">
        <v>486</v>
      </c>
      <c r="C489" s="100"/>
      <c r="D489" s="90"/>
      <c r="E489" s="90" t="s">
        <v>50</v>
      </c>
      <c r="F489" s="90" t="s">
        <v>50</v>
      </c>
      <c r="G489" s="90"/>
      <c r="H489" s="90"/>
      <c r="I489" s="90"/>
      <c r="J489" s="90">
        <v>1899</v>
      </c>
      <c r="K489" s="90">
        <v>12</v>
      </c>
    </row>
    <row r="490" spans="2:11" x14ac:dyDescent="0.15">
      <c r="B490" s="86">
        <v>487</v>
      </c>
      <c r="C490" s="99"/>
      <c r="D490" s="89"/>
      <c r="E490" s="89" t="s">
        <v>50</v>
      </c>
      <c r="F490" s="89" t="s">
        <v>50</v>
      </c>
      <c r="G490" s="89"/>
      <c r="H490" s="89"/>
      <c r="I490" s="89"/>
      <c r="J490" s="89">
        <v>1899</v>
      </c>
      <c r="K490" s="89">
        <v>12</v>
      </c>
    </row>
    <row r="491" spans="2:11" x14ac:dyDescent="0.15">
      <c r="B491" s="86">
        <v>488</v>
      </c>
      <c r="C491" s="100"/>
      <c r="D491" s="90"/>
      <c r="E491" s="90" t="s">
        <v>50</v>
      </c>
      <c r="F491" s="90" t="s">
        <v>50</v>
      </c>
      <c r="G491" s="90"/>
      <c r="H491" s="90"/>
      <c r="I491" s="90"/>
      <c r="J491" s="90">
        <v>1899</v>
      </c>
      <c r="K491" s="90">
        <v>12</v>
      </c>
    </row>
    <row r="492" spans="2:11" x14ac:dyDescent="0.15">
      <c r="B492" s="86">
        <v>489</v>
      </c>
      <c r="C492" s="99"/>
      <c r="D492" s="89"/>
      <c r="E492" s="89" t="s">
        <v>50</v>
      </c>
      <c r="F492" s="89" t="s">
        <v>50</v>
      </c>
      <c r="G492" s="89"/>
      <c r="H492" s="89"/>
      <c r="I492" s="89"/>
      <c r="J492" s="89">
        <v>1899</v>
      </c>
      <c r="K492" s="89">
        <v>12</v>
      </c>
    </row>
    <row r="493" spans="2:11" x14ac:dyDescent="0.15">
      <c r="B493" s="86">
        <v>490</v>
      </c>
      <c r="C493" s="100"/>
      <c r="D493" s="90"/>
      <c r="E493" s="90" t="s">
        <v>50</v>
      </c>
      <c r="F493" s="90" t="s">
        <v>50</v>
      </c>
      <c r="G493" s="90"/>
      <c r="H493" s="90"/>
      <c r="I493" s="90"/>
      <c r="J493" s="90">
        <v>1899</v>
      </c>
      <c r="K493" s="90">
        <v>12</v>
      </c>
    </row>
    <row r="494" spans="2:11" x14ac:dyDescent="0.15">
      <c r="B494" s="86">
        <v>491</v>
      </c>
      <c r="C494" s="99"/>
      <c r="D494" s="89"/>
      <c r="E494" s="89" t="s">
        <v>50</v>
      </c>
      <c r="F494" s="89" t="s">
        <v>50</v>
      </c>
      <c r="G494" s="89"/>
      <c r="H494" s="89"/>
      <c r="I494" s="89"/>
      <c r="J494" s="89">
        <v>1899</v>
      </c>
      <c r="K494" s="89">
        <v>12</v>
      </c>
    </row>
    <row r="495" spans="2:11" x14ac:dyDescent="0.15">
      <c r="B495" s="86">
        <v>492</v>
      </c>
      <c r="C495" s="100"/>
      <c r="D495" s="90"/>
      <c r="E495" s="90" t="s">
        <v>50</v>
      </c>
      <c r="F495" s="90" t="s">
        <v>50</v>
      </c>
      <c r="G495" s="90"/>
      <c r="H495" s="90"/>
      <c r="I495" s="90"/>
      <c r="J495" s="90">
        <v>1899</v>
      </c>
      <c r="K495" s="90">
        <v>12</v>
      </c>
    </row>
    <row r="496" spans="2:11" x14ac:dyDescent="0.15">
      <c r="B496" s="86">
        <v>493</v>
      </c>
      <c r="C496" s="99"/>
      <c r="D496" s="89"/>
      <c r="E496" s="89" t="s">
        <v>50</v>
      </c>
      <c r="F496" s="89" t="s">
        <v>50</v>
      </c>
      <c r="G496" s="89"/>
      <c r="H496" s="89"/>
      <c r="I496" s="89"/>
      <c r="J496" s="89">
        <v>1899</v>
      </c>
      <c r="K496" s="89">
        <v>12</v>
      </c>
    </row>
    <row r="497" spans="2:11" x14ac:dyDescent="0.15">
      <c r="B497" s="86">
        <v>494</v>
      </c>
      <c r="C497" s="100"/>
      <c r="D497" s="90"/>
      <c r="E497" s="90" t="s">
        <v>50</v>
      </c>
      <c r="F497" s="90" t="s">
        <v>50</v>
      </c>
      <c r="G497" s="90"/>
      <c r="H497" s="90"/>
      <c r="I497" s="90"/>
      <c r="J497" s="90">
        <v>1899</v>
      </c>
      <c r="K497" s="90">
        <v>12</v>
      </c>
    </row>
    <row r="498" spans="2:11" x14ac:dyDescent="0.15">
      <c r="B498" s="86">
        <v>495</v>
      </c>
      <c r="C498" s="99"/>
      <c r="D498" s="89"/>
      <c r="E498" s="89" t="s">
        <v>50</v>
      </c>
      <c r="F498" s="89" t="s">
        <v>50</v>
      </c>
      <c r="G498" s="89"/>
      <c r="H498" s="89"/>
      <c r="I498" s="89"/>
      <c r="J498" s="89">
        <v>1899</v>
      </c>
      <c r="K498" s="89">
        <v>12</v>
      </c>
    </row>
    <row r="499" spans="2:11" x14ac:dyDescent="0.15">
      <c r="B499" s="86">
        <v>496</v>
      </c>
      <c r="C499" s="100"/>
      <c r="D499" s="90"/>
      <c r="E499" s="90" t="s">
        <v>50</v>
      </c>
      <c r="F499" s="90" t="s">
        <v>50</v>
      </c>
      <c r="G499" s="90"/>
      <c r="H499" s="90"/>
      <c r="I499" s="90"/>
      <c r="J499" s="90">
        <v>1899</v>
      </c>
      <c r="K499" s="90">
        <v>12</v>
      </c>
    </row>
    <row r="500" spans="2:11" x14ac:dyDescent="0.15">
      <c r="B500" s="86">
        <v>497</v>
      </c>
      <c r="C500" s="99"/>
      <c r="D500" s="89"/>
      <c r="E500" s="89" t="s">
        <v>50</v>
      </c>
      <c r="F500" s="89" t="s">
        <v>50</v>
      </c>
      <c r="G500" s="89"/>
      <c r="H500" s="89"/>
      <c r="I500" s="89"/>
      <c r="J500" s="89">
        <v>1899</v>
      </c>
      <c r="K500" s="89">
        <v>12</v>
      </c>
    </row>
    <row r="501" spans="2:11" x14ac:dyDescent="0.15">
      <c r="B501" s="86">
        <v>498</v>
      </c>
      <c r="C501" s="100"/>
      <c r="D501" s="90"/>
      <c r="E501" s="90" t="s">
        <v>50</v>
      </c>
      <c r="F501" s="90" t="s">
        <v>50</v>
      </c>
      <c r="G501" s="90"/>
      <c r="H501" s="90"/>
      <c r="I501" s="90"/>
      <c r="J501" s="90">
        <v>1899</v>
      </c>
      <c r="K501" s="90">
        <v>12</v>
      </c>
    </row>
    <row r="502" spans="2:11" x14ac:dyDescent="0.15">
      <c r="B502" s="86">
        <v>499</v>
      </c>
      <c r="C502" s="99"/>
      <c r="D502" s="89"/>
      <c r="E502" s="89" t="s">
        <v>50</v>
      </c>
      <c r="F502" s="89" t="s">
        <v>50</v>
      </c>
      <c r="G502" s="89"/>
      <c r="H502" s="89"/>
      <c r="I502" s="89"/>
      <c r="J502" s="89">
        <v>1899</v>
      </c>
      <c r="K502" s="89">
        <v>12</v>
      </c>
    </row>
    <row r="503" spans="2:11" x14ac:dyDescent="0.15">
      <c r="B503" s="86">
        <v>500</v>
      </c>
      <c r="C503" s="100"/>
      <c r="D503" s="90"/>
      <c r="E503" s="90" t="s">
        <v>50</v>
      </c>
      <c r="F503" s="90" t="s">
        <v>50</v>
      </c>
      <c r="G503" s="90"/>
      <c r="H503" s="90"/>
      <c r="I503" s="90"/>
      <c r="J503" s="90">
        <v>1899</v>
      </c>
      <c r="K503" s="90">
        <v>12</v>
      </c>
    </row>
    <row r="504" spans="2:11" x14ac:dyDescent="0.15">
      <c r="B504" s="86">
        <v>501</v>
      </c>
      <c r="C504" s="99"/>
      <c r="D504" s="89"/>
      <c r="E504" s="89" t="s">
        <v>50</v>
      </c>
      <c r="F504" s="89" t="s">
        <v>50</v>
      </c>
      <c r="G504" s="89"/>
      <c r="H504" s="89"/>
      <c r="I504" s="89"/>
      <c r="J504" s="89">
        <v>1899</v>
      </c>
      <c r="K504" s="89">
        <v>12</v>
      </c>
    </row>
    <row r="505" spans="2:11" x14ac:dyDescent="0.15">
      <c r="B505" s="86">
        <v>502</v>
      </c>
      <c r="C505" s="100"/>
      <c r="D505" s="90"/>
      <c r="E505" s="90" t="s">
        <v>50</v>
      </c>
      <c r="F505" s="90" t="s">
        <v>50</v>
      </c>
      <c r="G505" s="90"/>
      <c r="H505" s="90"/>
      <c r="I505" s="90"/>
      <c r="J505" s="90">
        <v>1899</v>
      </c>
      <c r="K505" s="90">
        <v>12</v>
      </c>
    </row>
    <row r="506" spans="2:11" x14ac:dyDescent="0.15">
      <c r="B506" s="86">
        <v>503</v>
      </c>
      <c r="C506" s="99"/>
      <c r="D506" s="89"/>
      <c r="E506" s="89" t="s">
        <v>50</v>
      </c>
      <c r="F506" s="89" t="s">
        <v>50</v>
      </c>
      <c r="G506" s="89"/>
      <c r="H506" s="89"/>
      <c r="I506" s="89"/>
      <c r="J506" s="89">
        <v>1899</v>
      </c>
      <c r="K506" s="89">
        <v>12</v>
      </c>
    </row>
    <row r="507" spans="2:11" x14ac:dyDescent="0.15">
      <c r="B507" s="86">
        <v>504</v>
      </c>
      <c r="C507" s="100"/>
      <c r="D507" s="90"/>
      <c r="E507" s="90" t="s">
        <v>50</v>
      </c>
      <c r="F507" s="90" t="s">
        <v>50</v>
      </c>
      <c r="G507" s="90"/>
      <c r="H507" s="90"/>
      <c r="I507" s="90"/>
      <c r="J507" s="90">
        <v>1899</v>
      </c>
      <c r="K507" s="90">
        <v>12</v>
      </c>
    </row>
    <row r="508" spans="2:11" x14ac:dyDescent="0.15">
      <c r="B508" s="86">
        <v>505</v>
      </c>
      <c r="C508" s="99"/>
      <c r="D508" s="89"/>
      <c r="E508" s="89" t="s">
        <v>50</v>
      </c>
      <c r="F508" s="89" t="s">
        <v>50</v>
      </c>
      <c r="G508" s="89"/>
      <c r="H508" s="89"/>
      <c r="I508" s="89"/>
      <c r="J508" s="89">
        <v>1899</v>
      </c>
      <c r="K508" s="89">
        <v>12</v>
      </c>
    </row>
    <row r="509" spans="2:11" x14ac:dyDescent="0.15">
      <c r="B509" s="86">
        <v>506</v>
      </c>
      <c r="C509" s="100"/>
      <c r="D509" s="90"/>
      <c r="E509" s="90" t="s">
        <v>50</v>
      </c>
      <c r="F509" s="90" t="s">
        <v>50</v>
      </c>
      <c r="G509" s="90"/>
      <c r="H509" s="90"/>
      <c r="I509" s="90"/>
      <c r="J509" s="90">
        <v>1899</v>
      </c>
      <c r="K509" s="90">
        <v>12</v>
      </c>
    </row>
    <row r="510" spans="2:11" x14ac:dyDescent="0.15">
      <c r="B510" s="86">
        <v>507</v>
      </c>
      <c r="C510" s="99"/>
      <c r="D510" s="89"/>
      <c r="E510" s="89" t="s">
        <v>50</v>
      </c>
      <c r="F510" s="89" t="s">
        <v>50</v>
      </c>
      <c r="G510" s="89"/>
      <c r="H510" s="89"/>
      <c r="I510" s="89"/>
      <c r="J510" s="89">
        <v>1899</v>
      </c>
      <c r="K510" s="89">
        <v>12</v>
      </c>
    </row>
    <row r="511" spans="2:11" x14ac:dyDescent="0.15">
      <c r="B511" s="86">
        <v>508</v>
      </c>
      <c r="C511" s="100"/>
      <c r="D511" s="90"/>
      <c r="E511" s="90" t="s">
        <v>50</v>
      </c>
      <c r="F511" s="90" t="s">
        <v>50</v>
      </c>
      <c r="G511" s="90"/>
      <c r="H511" s="90"/>
      <c r="I511" s="90"/>
      <c r="J511" s="90">
        <v>1899</v>
      </c>
      <c r="K511" s="90">
        <v>12</v>
      </c>
    </row>
    <row r="512" spans="2:11" x14ac:dyDescent="0.15">
      <c r="B512" s="86">
        <v>509</v>
      </c>
      <c r="C512" s="99"/>
      <c r="D512" s="89"/>
      <c r="E512" s="89" t="s">
        <v>50</v>
      </c>
      <c r="F512" s="89" t="s">
        <v>50</v>
      </c>
      <c r="G512" s="89"/>
      <c r="H512" s="89"/>
      <c r="I512" s="89"/>
      <c r="J512" s="89">
        <v>1899</v>
      </c>
      <c r="K512" s="89">
        <v>12</v>
      </c>
    </row>
    <row r="513" spans="2:11" x14ac:dyDescent="0.15">
      <c r="B513" s="86">
        <v>510</v>
      </c>
      <c r="C513" s="100"/>
      <c r="D513" s="90"/>
      <c r="E513" s="90" t="s">
        <v>50</v>
      </c>
      <c r="F513" s="90" t="s">
        <v>50</v>
      </c>
      <c r="G513" s="90"/>
      <c r="H513" s="90"/>
      <c r="I513" s="90"/>
      <c r="J513" s="90">
        <v>1899</v>
      </c>
      <c r="K513" s="90">
        <v>12</v>
      </c>
    </row>
    <row r="514" spans="2:11" x14ac:dyDescent="0.15">
      <c r="B514" s="86">
        <v>511</v>
      </c>
      <c r="C514" s="99"/>
      <c r="D514" s="89"/>
      <c r="E514" s="89" t="s">
        <v>50</v>
      </c>
      <c r="F514" s="89" t="s">
        <v>50</v>
      </c>
      <c r="G514" s="89"/>
      <c r="H514" s="89"/>
      <c r="I514" s="89"/>
      <c r="J514" s="89">
        <v>1899</v>
      </c>
      <c r="K514" s="89">
        <v>12</v>
      </c>
    </row>
    <row r="515" spans="2:11" x14ac:dyDescent="0.15">
      <c r="B515" s="86">
        <v>512</v>
      </c>
      <c r="C515" s="100"/>
      <c r="D515" s="90"/>
      <c r="E515" s="90" t="s">
        <v>50</v>
      </c>
      <c r="F515" s="90" t="s">
        <v>50</v>
      </c>
      <c r="G515" s="90"/>
      <c r="H515" s="90"/>
      <c r="I515" s="90"/>
      <c r="J515" s="90">
        <v>1899</v>
      </c>
      <c r="K515" s="90">
        <v>12</v>
      </c>
    </row>
    <row r="516" spans="2:11" x14ac:dyDescent="0.15">
      <c r="B516" s="86">
        <v>513</v>
      </c>
      <c r="C516" s="99"/>
      <c r="D516" s="89"/>
      <c r="E516" s="89" t="s">
        <v>50</v>
      </c>
      <c r="F516" s="89" t="s">
        <v>50</v>
      </c>
      <c r="G516" s="89"/>
      <c r="H516" s="89"/>
      <c r="I516" s="89"/>
      <c r="J516" s="89">
        <v>1899</v>
      </c>
      <c r="K516" s="89">
        <v>12</v>
      </c>
    </row>
    <row r="517" spans="2:11" x14ac:dyDescent="0.15">
      <c r="B517" s="86">
        <v>514</v>
      </c>
      <c r="C517" s="100"/>
      <c r="D517" s="90"/>
      <c r="E517" s="90" t="s">
        <v>50</v>
      </c>
      <c r="F517" s="90" t="s">
        <v>50</v>
      </c>
      <c r="G517" s="90"/>
      <c r="H517" s="90"/>
      <c r="I517" s="90"/>
      <c r="J517" s="90">
        <v>1899</v>
      </c>
      <c r="K517" s="90">
        <v>12</v>
      </c>
    </row>
    <row r="518" spans="2:11" x14ac:dyDescent="0.15">
      <c r="B518" s="86">
        <v>515</v>
      </c>
      <c r="C518" s="99"/>
      <c r="D518" s="89"/>
      <c r="E518" s="89" t="s">
        <v>50</v>
      </c>
      <c r="F518" s="89" t="s">
        <v>50</v>
      </c>
      <c r="G518" s="89"/>
      <c r="H518" s="89"/>
      <c r="I518" s="89"/>
      <c r="J518" s="89">
        <v>1899</v>
      </c>
      <c r="K518" s="89">
        <v>12</v>
      </c>
    </row>
    <row r="519" spans="2:11" x14ac:dyDescent="0.15">
      <c r="B519" s="86">
        <v>516</v>
      </c>
      <c r="C519" s="100"/>
      <c r="D519" s="90"/>
      <c r="E519" s="90" t="s">
        <v>50</v>
      </c>
      <c r="F519" s="90" t="s">
        <v>50</v>
      </c>
      <c r="G519" s="90"/>
      <c r="H519" s="90"/>
      <c r="I519" s="90"/>
      <c r="J519" s="90">
        <v>1899</v>
      </c>
      <c r="K519" s="90">
        <v>12</v>
      </c>
    </row>
    <row r="520" spans="2:11" x14ac:dyDescent="0.15">
      <c r="B520" s="86">
        <v>517</v>
      </c>
      <c r="C520" s="99"/>
      <c r="D520" s="89"/>
      <c r="E520" s="89" t="s">
        <v>50</v>
      </c>
      <c r="F520" s="89" t="s">
        <v>50</v>
      </c>
      <c r="G520" s="89"/>
      <c r="H520" s="89"/>
      <c r="I520" s="89"/>
      <c r="J520" s="89">
        <v>1899</v>
      </c>
      <c r="K520" s="89">
        <v>12</v>
      </c>
    </row>
    <row r="521" spans="2:11" x14ac:dyDescent="0.15">
      <c r="B521" s="86">
        <v>518</v>
      </c>
      <c r="C521" s="100"/>
      <c r="D521" s="90"/>
      <c r="E521" s="90" t="s">
        <v>50</v>
      </c>
      <c r="F521" s="90" t="s">
        <v>50</v>
      </c>
      <c r="G521" s="90"/>
      <c r="H521" s="90"/>
      <c r="I521" s="90"/>
      <c r="J521" s="90">
        <v>1899</v>
      </c>
      <c r="K521" s="90">
        <v>12</v>
      </c>
    </row>
    <row r="522" spans="2:11" x14ac:dyDescent="0.15">
      <c r="B522" s="86">
        <v>519</v>
      </c>
      <c r="C522" s="99"/>
      <c r="D522" s="89"/>
      <c r="E522" s="89" t="s">
        <v>50</v>
      </c>
      <c r="F522" s="89" t="s">
        <v>50</v>
      </c>
      <c r="G522" s="89"/>
      <c r="H522" s="89"/>
      <c r="I522" s="89"/>
      <c r="J522" s="89">
        <v>1899</v>
      </c>
      <c r="K522" s="89">
        <v>12</v>
      </c>
    </row>
    <row r="523" spans="2:11" x14ac:dyDescent="0.15">
      <c r="B523" s="86">
        <v>520</v>
      </c>
      <c r="C523" s="100"/>
      <c r="D523" s="90"/>
      <c r="E523" s="90" t="s">
        <v>50</v>
      </c>
      <c r="F523" s="90" t="s">
        <v>50</v>
      </c>
      <c r="G523" s="90"/>
      <c r="H523" s="90"/>
      <c r="I523" s="90"/>
      <c r="J523" s="90">
        <v>1899</v>
      </c>
      <c r="K523" s="90">
        <v>12</v>
      </c>
    </row>
    <row r="524" spans="2:11" x14ac:dyDescent="0.15">
      <c r="B524" s="86">
        <v>521</v>
      </c>
      <c r="C524" s="99"/>
      <c r="D524" s="89"/>
      <c r="E524" s="89" t="s">
        <v>50</v>
      </c>
      <c r="F524" s="89" t="s">
        <v>50</v>
      </c>
      <c r="G524" s="89"/>
      <c r="H524" s="89"/>
      <c r="I524" s="89"/>
      <c r="J524" s="89">
        <v>1899</v>
      </c>
      <c r="K524" s="89">
        <v>12</v>
      </c>
    </row>
    <row r="525" spans="2:11" x14ac:dyDescent="0.15">
      <c r="B525" s="86">
        <v>522</v>
      </c>
      <c r="C525" s="100"/>
      <c r="D525" s="90"/>
      <c r="E525" s="90" t="s">
        <v>50</v>
      </c>
      <c r="F525" s="90" t="s">
        <v>50</v>
      </c>
      <c r="G525" s="90"/>
      <c r="H525" s="90"/>
      <c r="I525" s="90"/>
      <c r="J525" s="90">
        <v>1899</v>
      </c>
      <c r="K525" s="90">
        <v>12</v>
      </c>
    </row>
    <row r="526" spans="2:11" x14ac:dyDescent="0.15">
      <c r="B526" s="86">
        <v>523</v>
      </c>
      <c r="C526" s="99"/>
      <c r="D526" s="89"/>
      <c r="E526" s="89" t="s">
        <v>50</v>
      </c>
      <c r="F526" s="89" t="s">
        <v>50</v>
      </c>
      <c r="G526" s="89"/>
      <c r="H526" s="89"/>
      <c r="I526" s="89"/>
      <c r="J526" s="89">
        <v>1899</v>
      </c>
      <c r="K526" s="89">
        <v>12</v>
      </c>
    </row>
    <row r="527" spans="2:11" x14ac:dyDescent="0.15">
      <c r="B527" s="86">
        <v>524</v>
      </c>
      <c r="C527" s="100"/>
      <c r="D527" s="90"/>
      <c r="E527" s="90" t="s">
        <v>50</v>
      </c>
      <c r="F527" s="90" t="s">
        <v>50</v>
      </c>
      <c r="G527" s="90"/>
      <c r="H527" s="90"/>
      <c r="I527" s="90"/>
      <c r="J527" s="90">
        <v>1899</v>
      </c>
      <c r="K527" s="90">
        <v>12</v>
      </c>
    </row>
    <row r="528" spans="2:11" x14ac:dyDescent="0.15">
      <c r="B528" s="86">
        <v>525</v>
      </c>
      <c r="C528" s="99"/>
      <c r="D528" s="89"/>
      <c r="E528" s="89" t="s">
        <v>50</v>
      </c>
      <c r="F528" s="89" t="s">
        <v>50</v>
      </c>
      <c r="G528" s="89"/>
      <c r="H528" s="89"/>
      <c r="I528" s="89"/>
      <c r="J528" s="89">
        <v>1899</v>
      </c>
      <c r="K528" s="89">
        <v>12</v>
      </c>
    </row>
    <row r="529" spans="2:11" x14ac:dyDescent="0.15">
      <c r="B529" s="86">
        <v>526</v>
      </c>
      <c r="C529" s="100"/>
      <c r="D529" s="90"/>
      <c r="E529" s="90" t="s">
        <v>50</v>
      </c>
      <c r="F529" s="90" t="s">
        <v>50</v>
      </c>
      <c r="G529" s="90"/>
      <c r="H529" s="90"/>
      <c r="I529" s="90"/>
      <c r="J529" s="90">
        <v>1899</v>
      </c>
      <c r="K529" s="90">
        <v>12</v>
      </c>
    </row>
    <row r="530" spans="2:11" x14ac:dyDescent="0.15">
      <c r="B530" s="86">
        <v>527</v>
      </c>
      <c r="C530" s="99"/>
      <c r="D530" s="89"/>
      <c r="E530" s="89" t="s">
        <v>50</v>
      </c>
      <c r="F530" s="89" t="s">
        <v>50</v>
      </c>
      <c r="G530" s="89"/>
      <c r="H530" s="89"/>
      <c r="I530" s="89"/>
      <c r="J530" s="89">
        <v>1899</v>
      </c>
      <c r="K530" s="89">
        <v>12</v>
      </c>
    </row>
    <row r="531" spans="2:11" x14ac:dyDescent="0.15">
      <c r="B531" s="86">
        <v>528</v>
      </c>
      <c r="C531" s="100"/>
      <c r="D531" s="90"/>
      <c r="E531" s="90" t="s">
        <v>50</v>
      </c>
      <c r="F531" s="90" t="s">
        <v>50</v>
      </c>
      <c r="G531" s="90"/>
      <c r="H531" s="90"/>
      <c r="I531" s="90"/>
      <c r="J531" s="90">
        <v>1899</v>
      </c>
      <c r="K531" s="90">
        <v>12</v>
      </c>
    </row>
    <row r="532" spans="2:11" x14ac:dyDescent="0.15">
      <c r="B532" s="86">
        <v>529</v>
      </c>
      <c r="C532" s="99"/>
      <c r="D532" s="89"/>
      <c r="E532" s="89" t="s">
        <v>50</v>
      </c>
      <c r="F532" s="89" t="s">
        <v>50</v>
      </c>
      <c r="G532" s="89"/>
      <c r="H532" s="89"/>
      <c r="I532" s="89"/>
      <c r="J532" s="89">
        <v>1899</v>
      </c>
      <c r="K532" s="89">
        <v>12</v>
      </c>
    </row>
    <row r="533" spans="2:11" x14ac:dyDescent="0.15">
      <c r="B533" s="86">
        <v>530</v>
      </c>
      <c r="C533" s="100"/>
      <c r="D533" s="90"/>
      <c r="E533" s="90" t="s">
        <v>50</v>
      </c>
      <c r="F533" s="90" t="s">
        <v>50</v>
      </c>
      <c r="G533" s="90"/>
      <c r="H533" s="90"/>
      <c r="I533" s="90"/>
      <c r="J533" s="90">
        <v>1899</v>
      </c>
      <c r="K533" s="90">
        <v>12</v>
      </c>
    </row>
    <row r="534" spans="2:11" x14ac:dyDescent="0.15">
      <c r="B534" s="86">
        <v>531</v>
      </c>
      <c r="C534" s="99"/>
      <c r="D534" s="89"/>
      <c r="E534" s="89" t="s">
        <v>50</v>
      </c>
      <c r="F534" s="89" t="s">
        <v>50</v>
      </c>
      <c r="G534" s="89"/>
      <c r="H534" s="89"/>
      <c r="I534" s="89"/>
      <c r="J534" s="89">
        <v>1899</v>
      </c>
      <c r="K534" s="89">
        <v>12</v>
      </c>
    </row>
    <row r="535" spans="2:11" x14ac:dyDescent="0.15">
      <c r="B535" s="86">
        <v>532</v>
      </c>
      <c r="C535" s="100"/>
      <c r="D535" s="90"/>
      <c r="E535" s="90" t="s">
        <v>50</v>
      </c>
      <c r="F535" s="90" t="s">
        <v>50</v>
      </c>
      <c r="G535" s="90"/>
      <c r="H535" s="90"/>
      <c r="I535" s="90"/>
      <c r="J535" s="90">
        <v>1899</v>
      </c>
      <c r="K535" s="90">
        <v>12</v>
      </c>
    </row>
    <row r="536" spans="2:11" x14ac:dyDescent="0.15">
      <c r="B536" s="86">
        <v>533</v>
      </c>
      <c r="C536" s="99"/>
      <c r="D536" s="89"/>
      <c r="E536" s="89" t="s">
        <v>50</v>
      </c>
      <c r="F536" s="89" t="s">
        <v>50</v>
      </c>
      <c r="G536" s="89"/>
      <c r="H536" s="89"/>
      <c r="I536" s="89"/>
      <c r="J536" s="89">
        <v>1899</v>
      </c>
      <c r="K536" s="89">
        <v>12</v>
      </c>
    </row>
    <row r="537" spans="2:11" x14ac:dyDescent="0.15">
      <c r="B537" s="86">
        <v>534</v>
      </c>
      <c r="C537" s="100"/>
      <c r="D537" s="90"/>
      <c r="E537" s="90" t="s">
        <v>50</v>
      </c>
      <c r="F537" s="90" t="s">
        <v>50</v>
      </c>
      <c r="G537" s="90"/>
      <c r="H537" s="90"/>
      <c r="I537" s="90"/>
      <c r="J537" s="90">
        <v>1899</v>
      </c>
      <c r="K537" s="90">
        <v>12</v>
      </c>
    </row>
    <row r="538" spans="2:11" x14ac:dyDescent="0.15">
      <c r="B538" s="86">
        <v>535</v>
      </c>
      <c r="C538" s="99"/>
      <c r="D538" s="89"/>
      <c r="E538" s="89" t="s">
        <v>50</v>
      </c>
      <c r="F538" s="89" t="s">
        <v>50</v>
      </c>
      <c r="G538" s="89"/>
      <c r="H538" s="89"/>
      <c r="I538" s="89"/>
      <c r="J538" s="89">
        <v>1899</v>
      </c>
      <c r="K538" s="89">
        <v>12</v>
      </c>
    </row>
    <row r="539" spans="2:11" x14ac:dyDescent="0.15">
      <c r="B539" s="86">
        <v>536</v>
      </c>
      <c r="C539" s="100"/>
      <c r="D539" s="90"/>
      <c r="E539" s="90" t="s">
        <v>50</v>
      </c>
      <c r="F539" s="90" t="s">
        <v>50</v>
      </c>
      <c r="G539" s="90"/>
      <c r="H539" s="90"/>
      <c r="I539" s="90"/>
      <c r="J539" s="90">
        <v>1899</v>
      </c>
      <c r="K539" s="90">
        <v>12</v>
      </c>
    </row>
    <row r="540" spans="2:11" x14ac:dyDescent="0.15">
      <c r="B540" s="86">
        <v>537</v>
      </c>
      <c r="C540" s="99"/>
      <c r="D540" s="89"/>
      <c r="E540" s="89" t="s">
        <v>50</v>
      </c>
      <c r="F540" s="89" t="s">
        <v>50</v>
      </c>
      <c r="G540" s="89"/>
      <c r="H540" s="89"/>
      <c r="I540" s="89"/>
      <c r="J540" s="89">
        <v>1899</v>
      </c>
      <c r="K540" s="89">
        <v>12</v>
      </c>
    </row>
    <row r="541" spans="2:11" x14ac:dyDescent="0.15">
      <c r="B541" s="86">
        <v>538</v>
      </c>
      <c r="C541" s="100"/>
      <c r="D541" s="90"/>
      <c r="E541" s="90" t="s">
        <v>50</v>
      </c>
      <c r="F541" s="90" t="s">
        <v>50</v>
      </c>
      <c r="G541" s="90"/>
      <c r="H541" s="90"/>
      <c r="I541" s="90"/>
      <c r="J541" s="90">
        <v>1899</v>
      </c>
      <c r="K541" s="90">
        <v>12</v>
      </c>
    </row>
    <row r="542" spans="2:11" x14ac:dyDescent="0.15">
      <c r="B542" s="86">
        <v>539</v>
      </c>
      <c r="C542" s="99"/>
      <c r="D542" s="89"/>
      <c r="E542" s="89" t="s">
        <v>50</v>
      </c>
      <c r="F542" s="89" t="s">
        <v>50</v>
      </c>
      <c r="G542" s="89"/>
      <c r="H542" s="89"/>
      <c r="I542" s="89"/>
      <c r="J542" s="89">
        <v>1899</v>
      </c>
      <c r="K542" s="89">
        <v>12</v>
      </c>
    </row>
    <row r="543" spans="2:11" x14ac:dyDescent="0.15">
      <c r="B543" s="86">
        <v>540</v>
      </c>
      <c r="C543" s="100"/>
      <c r="D543" s="90"/>
      <c r="E543" s="90" t="s">
        <v>50</v>
      </c>
      <c r="F543" s="90" t="s">
        <v>50</v>
      </c>
      <c r="G543" s="90"/>
      <c r="H543" s="90"/>
      <c r="I543" s="90"/>
      <c r="J543" s="90">
        <v>1899</v>
      </c>
      <c r="K543" s="90">
        <v>12</v>
      </c>
    </row>
    <row r="544" spans="2:11" x14ac:dyDescent="0.15">
      <c r="B544" s="86">
        <v>541</v>
      </c>
      <c r="C544" s="99"/>
      <c r="D544" s="89"/>
      <c r="E544" s="89" t="s">
        <v>50</v>
      </c>
      <c r="F544" s="89" t="s">
        <v>50</v>
      </c>
      <c r="G544" s="89"/>
      <c r="H544" s="89"/>
      <c r="I544" s="89"/>
      <c r="J544" s="89">
        <v>1899</v>
      </c>
      <c r="K544" s="89">
        <v>12</v>
      </c>
    </row>
    <row r="545" spans="2:11" x14ac:dyDescent="0.15">
      <c r="B545" s="86">
        <v>542</v>
      </c>
      <c r="C545" s="100"/>
      <c r="D545" s="90"/>
      <c r="E545" s="90" t="s">
        <v>50</v>
      </c>
      <c r="F545" s="90" t="s">
        <v>50</v>
      </c>
      <c r="G545" s="90"/>
      <c r="H545" s="90"/>
      <c r="I545" s="90"/>
      <c r="J545" s="90">
        <v>1899</v>
      </c>
      <c r="K545" s="90">
        <v>12</v>
      </c>
    </row>
    <row r="546" spans="2:11" x14ac:dyDescent="0.15">
      <c r="B546" s="86">
        <v>543</v>
      </c>
      <c r="C546" s="99"/>
      <c r="D546" s="89"/>
      <c r="E546" s="89" t="s">
        <v>50</v>
      </c>
      <c r="F546" s="89" t="s">
        <v>50</v>
      </c>
      <c r="G546" s="89"/>
      <c r="H546" s="89"/>
      <c r="I546" s="89"/>
      <c r="J546" s="89">
        <v>1899</v>
      </c>
      <c r="K546" s="89">
        <v>12</v>
      </c>
    </row>
    <row r="547" spans="2:11" x14ac:dyDescent="0.15">
      <c r="B547" s="86">
        <v>544</v>
      </c>
      <c r="C547" s="100"/>
      <c r="D547" s="90"/>
      <c r="E547" s="90" t="s">
        <v>50</v>
      </c>
      <c r="F547" s="90" t="s">
        <v>50</v>
      </c>
      <c r="G547" s="90"/>
      <c r="H547" s="90"/>
      <c r="I547" s="90"/>
      <c r="J547" s="90">
        <v>1899</v>
      </c>
      <c r="K547" s="90">
        <v>12</v>
      </c>
    </row>
    <row r="548" spans="2:11" x14ac:dyDescent="0.15">
      <c r="B548" s="86">
        <v>545</v>
      </c>
      <c r="C548" s="99"/>
      <c r="D548" s="89"/>
      <c r="E548" s="89" t="s">
        <v>50</v>
      </c>
      <c r="F548" s="89" t="s">
        <v>50</v>
      </c>
      <c r="G548" s="89"/>
      <c r="H548" s="89"/>
      <c r="I548" s="89"/>
      <c r="J548" s="89">
        <v>1899</v>
      </c>
      <c r="K548" s="89">
        <v>12</v>
      </c>
    </row>
    <row r="549" spans="2:11" x14ac:dyDescent="0.15">
      <c r="B549" s="86">
        <v>546</v>
      </c>
      <c r="C549" s="100"/>
      <c r="D549" s="90"/>
      <c r="E549" s="90" t="s">
        <v>50</v>
      </c>
      <c r="F549" s="90" t="s">
        <v>50</v>
      </c>
      <c r="G549" s="90"/>
      <c r="H549" s="90"/>
      <c r="I549" s="90"/>
      <c r="J549" s="90">
        <v>1899</v>
      </c>
      <c r="K549" s="90">
        <v>12</v>
      </c>
    </row>
    <row r="550" spans="2:11" x14ac:dyDescent="0.15">
      <c r="B550" s="86">
        <v>547</v>
      </c>
      <c r="C550" s="99"/>
      <c r="D550" s="89"/>
      <c r="E550" s="89" t="s">
        <v>50</v>
      </c>
      <c r="F550" s="89" t="s">
        <v>50</v>
      </c>
      <c r="G550" s="89"/>
      <c r="H550" s="89"/>
      <c r="I550" s="89"/>
      <c r="J550" s="89">
        <v>1899</v>
      </c>
      <c r="K550" s="89">
        <v>12</v>
      </c>
    </row>
    <row r="551" spans="2:11" x14ac:dyDescent="0.15">
      <c r="B551" s="86">
        <v>548</v>
      </c>
      <c r="C551" s="100"/>
      <c r="D551" s="90"/>
      <c r="E551" s="90" t="s">
        <v>50</v>
      </c>
      <c r="F551" s="90" t="s">
        <v>50</v>
      </c>
      <c r="G551" s="90"/>
      <c r="H551" s="90"/>
      <c r="I551" s="90"/>
      <c r="J551" s="90">
        <v>1899</v>
      </c>
      <c r="K551" s="90">
        <v>12</v>
      </c>
    </row>
    <row r="552" spans="2:11" x14ac:dyDescent="0.15">
      <c r="B552" s="86">
        <v>549</v>
      </c>
      <c r="C552" s="99"/>
      <c r="D552" s="89"/>
      <c r="E552" s="89" t="s">
        <v>50</v>
      </c>
      <c r="F552" s="89" t="s">
        <v>50</v>
      </c>
      <c r="G552" s="89"/>
      <c r="H552" s="89"/>
      <c r="I552" s="89"/>
      <c r="J552" s="89">
        <v>1899</v>
      </c>
      <c r="K552" s="89">
        <v>12</v>
      </c>
    </row>
    <row r="553" spans="2:11" x14ac:dyDescent="0.15">
      <c r="B553" s="86">
        <v>550</v>
      </c>
      <c r="C553" s="100"/>
      <c r="D553" s="90"/>
      <c r="E553" s="90" t="s">
        <v>50</v>
      </c>
      <c r="F553" s="90" t="s">
        <v>50</v>
      </c>
      <c r="G553" s="90"/>
      <c r="H553" s="90"/>
      <c r="I553" s="90"/>
      <c r="J553" s="90">
        <v>1899</v>
      </c>
      <c r="K553" s="90">
        <v>12</v>
      </c>
    </row>
    <row r="554" spans="2:11" x14ac:dyDescent="0.15">
      <c r="B554" s="86">
        <v>551</v>
      </c>
      <c r="C554" s="99"/>
      <c r="D554" s="89"/>
      <c r="E554" s="89" t="s">
        <v>50</v>
      </c>
      <c r="F554" s="89" t="s">
        <v>50</v>
      </c>
      <c r="G554" s="89"/>
      <c r="H554" s="89"/>
      <c r="I554" s="89"/>
      <c r="J554" s="89">
        <v>1899</v>
      </c>
      <c r="K554" s="89">
        <v>12</v>
      </c>
    </row>
    <row r="555" spans="2:11" x14ac:dyDescent="0.15">
      <c r="B555" s="86">
        <v>552</v>
      </c>
      <c r="C555" s="100"/>
      <c r="D555" s="90"/>
      <c r="E555" s="90" t="s">
        <v>50</v>
      </c>
      <c r="F555" s="90" t="s">
        <v>50</v>
      </c>
      <c r="G555" s="90"/>
      <c r="H555" s="90"/>
      <c r="I555" s="90"/>
      <c r="J555" s="90">
        <v>1899</v>
      </c>
      <c r="K555" s="90">
        <v>12</v>
      </c>
    </row>
    <row r="556" spans="2:11" x14ac:dyDescent="0.15">
      <c r="B556" s="86">
        <v>553</v>
      </c>
      <c r="C556" s="99"/>
      <c r="D556" s="89"/>
      <c r="E556" s="89" t="s">
        <v>50</v>
      </c>
      <c r="F556" s="89" t="s">
        <v>50</v>
      </c>
      <c r="G556" s="89"/>
      <c r="H556" s="89"/>
      <c r="I556" s="89"/>
      <c r="J556" s="89">
        <v>1899</v>
      </c>
      <c r="K556" s="89">
        <v>12</v>
      </c>
    </row>
    <row r="557" spans="2:11" x14ac:dyDescent="0.15">
      <c r="B557" s="86">
        <v>554</v>
      </c>
      <c r="C557" s="100"/>
      <c r="D557" s="90"/>
      <c r="E557" s="90" t="s">
        <v>50</v>
      </c>
      <c r="F557" s="90" t="s">
        <v>50</v>
      </c>
      <c r="G557" s="90"/>
      <c r="H557" s="90"/>
      <c r="I557" s="90"/>
      <c r="J557" s="90">
        <v>1899</v>
      </c>
      <c r="K557" s="90">
        <v>12</v>
      </c>
    </row>
    <row r="558" spans="2:11" x14ac:dyDescent="0.15">
      <c r="B558" s="86">
        <v>555</v>
      </c>
      <c r="C558" s="99"/>
      <c r="D558" s="89"/>
      <c r="E558" s="89" t="s">
        <v>50</v>
      </c>
      <c r="F558" s="89" t="s">
        <v>50</v>
      </c>
      <c r="G558" s="89"/>
      <c r="H558" s="89"/>
      <c r="I558" s="89"/>
      <c r="J558" s="89">
        <v>1899</v>
      </c>
      <c r="K558" s="89">
        <v>12</v>
      </c>
    </row>
    <row r="559" spans="2:11" x14ac:dyDescent="0.15">
      <c r="B559" s="86">
        <v>556</v>
      </c>
      <c r="C559" s="100"/>
      <c r="D559" s="90"/>
      <c r="E559" s="90" t="s">
        <v>50</v>
      </c>
      <c r="F559" s="90" t="s">
        <v>50</v>
      </c>
      <c r="G559" s="90"/>
      <c r="H559" s="90"/>
      <c r="I559" s="90"/>
      <c r="J559" s="90">
        <v>1899</v>
      </c>
      <c r="K559" s="90">
        <v>12</v>
      </c>
    </row>
    <row r="560" spans="2:11" x14ac:dyDescent="0.15">
      <c r="B560" s="86">
        <v>557</v>
      </c>
      <c r="C560" s="99"/>
      <c r="D560" s="89"/>
      <c r="E560" s="89" t="s">
        <v>50</v>
      </c>
      <c r="F560" s="89" t="s">
        <v>50</v>
      </c>
      <c r="G560" s="89"/>
      <c r="H560" s="89"/>
      <c r="I560" s="89"/>
      <c r="J560" s="89">
        <v>1899</v>
      </c>
      <c r="K560" s="89">
        <v>12</v>
      </c>
    </row>
    <row r="561" spans="2:11" x14ac:dyDescent="0.15">
      <c r="B561" s="86">
        <v>558</v>
      </c>
      <c r="C561" s="100"/>
      <c r="D561" s="90"/>
      <c r="E561" s="90" t="s">
        <v>50</v>
      </c>
      <c r="F561" s="90" t="s">
        <v>50</v>
      </c>
      <c r="G561" s="90"/>
      <c r="H561" s="90"/>
      <c r="I561" s="90"/>
      <c r="J561" s="90">
        <v>1899</v>
      </c>
      <c r="K561" s="90">
        <v>12</v>
      </c>
    </row>
    <row r="562" spans="2:11" x14ac:dyDescent="0.15">
      <c r="B562" s="86">
        <v>559</v>
      </c>
      <c r="C562" s="99"/>
      <c r="D562" s="89"/>
      <c r="E562" s="89" t="s">
        <v>50</v>
      </c>
      <c r="F562" s="89" t="s">
        <v>50</v>
      </c>
      <c r="G562" s="89"/>
      <c r="H562" s="89"/>
      <c r="I562" s="89"/>
      <c r="J562" s="89">
        <v>1899</v>
      </c>
      <c r="K562" s="89">
        <v>12</v>
      </c>
    </row>
    <row r="563" spans="2:11" x14ac:dyDescent="0.15">
      <c r="B563" s="86">
        <v>560</v>
      </c>
      <c r="C563" s="100"/>
      <c r="D563" s="90"/>
      <c r="E563" s="90" t="s">
        <v>50</v>
      </c>
      <c r="F563" s="90" t="s">
        <v>50</v>
      </c>
      <c r="G563" s="90"/>
      <c r="H563" s="90"/>
      <c r="I563" s="90"/>
      <c r="J563" s="90">
        <v>1899</v>
      </c>
      <c r="K563" s="90">
        <v>12</v>
      </c>
    </row>
    <row r="564" spans="2:11" x14ac:dyDescent="0.15">
      <c r="B564" s="86">
        <v>561</v>
      </c>
      <c r="C564" s="99"/>
      <c r="D564" s="89"/>
      <c r="E564" s="89" t="s">
        <v>50</v>
      </c>
      <c r="F564" s="89" t="s">
        <v>50</v>
      </c>
      <c r="G564" s="89"/>
      <c r="H564" s="89"/>
      <c r="I564" s="89"/>
      <c r="J564" s="89">
        <v>1899</v>
      </c>
      <c r="K564" s="89">
        <v>12</v>
      </c>
    </row>
    <row r="565" spans="2:11" x14ac:dyDescent="0.15">
      <c r="B565" s="86">
        <v>562</v>
      </c>
      <c r="C565" s="100"/>
      <c r="D565" s="90"/>
      <c r="E565" s="90" t="s">
        <v>50</v>
      </c>
      <c r="F565" s="90" t="s">
        <v>50</v>
      </c>
      <c r="G565" s="90"/>
      <c r="H565" s="90"/>
      <c r="I565" s="90"/>
      <c r="J565" s="90">
        <v>1899</v>
      </c>
      <c r="K565" s="90">
        <v>12</v>
      </c>
    </row>
    <row r="566" spans="2:11" x14ac:dyDescent="0.15">
      <c r="B566" s="86">
        <v>563</v>
      </c>
      <c r="C566" s="99"/>
      <c r="D566" s="89"/>
      <c r="E566" s="89" t="s">
        <v>50</v>
      </c>
      <c r="F566" s="89" t="s">
        <v>50</v>
      </c>
      <c r="G566" s="89"/>
      <c r="H566" s="89"/>
      <c r="I566" s="89"/>
      <c r="J566" s="89">
        <v>1899</v>
      </c>
      <c r="K566" s="89">
        <v>12</v>
      </c>
    </row>
    <row r="567" spans="2:11" x14ac:dyDescent="0.15">
      <c r="B567" s="86">
        <v>564</v>
      </c>
      <c r="C567" s="100"/>
      <c r="D567" s="90"/>
      <c r="E567" s="90" t="s">
        <v>50</v>
      </c>
      <c r="F567" s="90" t="s">
        <v>50</v>
      </c>
      <c r="G567" s="90"/>
      <c r="H567" s="90"/>
      <c r="I567" s="90"/>
      <c r="J567" s="90">
        <v>1899</v>
      </c>
      <c r="K567" s="90">
        <v>12</v>
      </c>
    </row>
    <row r="568" spans="2:11" x14ac:dyDescent="0.15">
      <c r="B568" s="86">
        <v>565</v>
      </c>
      <c r="C568" s="99"/>
      <c r="D568" s="89"/>
      <c r="E568" s="89" t="s">
        <v>50</v>
      </c>
      <c r="F568" s="89" t="s">
        <v>50</v>
      </c>
      <c r="G568" s="89"/>
      <c r="H568" s="89"/>
      <c r="I568" s="89"/>
      <c r="J568" s="89">
        <v>1899</v>
      </c>
      <c r="K568" s="89">
        <v>12</v>
      </c>
    </row>
    <row r="569" spans="2:11" x14ac:dyDescent="0.15">
      <c r="B569" s="86">
        <v>566</v>
      </c>
      <c r="C569" s="100"/>
      <c r="D569" s="90"/>
      <c r="E569" s="90" t="s">
        <v>50</v>
      </c>
      <c r="F569" s="90" t="s">
        <v>50</v>
      </c>
      <c r="G569" s="90"/>
      <c r="H569" s="90"/>
      <c r="I569" s="90"/>
      <c r="J569" s="90">
        <v>1899</v>
      </c>
      <c r="K569" s="90">
        <v>12</v>
      </c>
    </row>
    <row r="570" spans="2:11" x14ac:dyDescent="0.15">
      <c r="B570" s="86">
        <v>567</v>
      </c>
      <c r="C570" s="99"/>
      <c r="D570" s="89"/>
      <c r="E570" s="89" t="s">
        <v>50</v>
      </c>
      <c r="F570" s="89" t="s">
        <v>50</v>
      </c>
      <c r="G570" s="89"/>
      <c r="H570" s="89"/>
      <c r="I570" s="89"/>
      <c r="J570" s="89">
        <v>1899</v>
      </c>
      <c r="K570" s="89">
        <v>12</v>
      </c>
    </row>
    <row r="571" spans="2:11" x14ac:dyDescent="0.15">
      <c r="B571" s="86">
        <v>568</v>
      </c>
      <c r="C571" s="100"/>
      <c r="D571" s="90"/>
      <c r="E571" s="90" t="s">
        <v>50</v>
      </c>
      <c r="F571" s="90" t="s">
        <v>50</v>
      </c>
      <c r="G571" s="90"/>
      <c r="H571" s="90"/>
      <c r="I571" s="90"/>
      <c r="J571" s="90">
        <v>1899</v>
      </c>
      <c r="K571" s="90">
        <v>12</v>
      </c>
    </row>
    <row r="572" spans="2:11" x14ac:dyDescent="0.15">
      <c r="B572" s="86">
        <v>569</v>
      </c>
      <c r="C572" s="99"/>
      <c r="D572" s="89"/>
      <c r="E572" s="89" t="s">
        <v>50</v>
      </c>
      <c r="F572" s="89" t="s">
        <v>50</v>
      </c>
      <c r="G572" s="89"/>
      <c r="H572" s="89"/>
      <c r="I572" s="89"/>
      <c r="J572" s="89">
        <v>1899</v>
      </c>
      <c r="K572" s="89">
        <v>12</v>
      </c>
    </row>
    <row r="573" spans="2:11" x14ac:dyDescent="0.15">
      <c r="B573" s="86">
        <v>570</v>
      </c>
      <c r="C573" s="100"/>
      <c r="D573" s="90"/>
      <c r="E573" s="90" t="s">
        <v>50</v>
      </c>
      <c r="F573" s="90" t="s">
        <v>50</v>
      </c>
      <c r="G573" s="90"/>
      <c r="H573" s="90"/>
      <c r="I573" s="90"/>
      <c r="J573" s="90">
        <v>1899</v>
      </c>
      <c r="K573" s="90">
        <v>12</v>
      </c>
    </row>
    <row r="574" spans="2:11" x14ac:dyDescent="0.15">
      <c r="B574" s="86">
        <v>571</v>
      </c>
      <c r="C574" s="99"/>
      <c r="D574" s="89"/>
      <c r="E574" s="89" t="s">
        <v>50</v>
      </c>
      <c r="F574" s="89" t="s">
        <v>50</v>
      </c>
      <c r="G574" s="89"/>
      <c r="H574" s="89"/>
      <c r="I574" s="89"/>
      <c r="J574" s="89">
        <v>1899</v>
      </c>
      <c r="K574" s="89">
        <v>12</v>
      </c>
    </row>
    <row r="575" spans="2:11" x14ac:dyDescent="0.15">
      <c r="B575" s="86">
        <v>572</v>
      </c>
      <c r="C575" s="100"/>
      <c r="D575" s="90"/>
      <c r="E575" s="90" t="s">
        <v>50</v>
      </c>
      <c r="F575" s="90" t="s">
        <v>50</v>
      </c>
      <c r="G575" s="90"/>
      <c r="H575" s="90"/>
      <c r="I575" s="90"/>
      <c r="J575" s="90">
        <v>1899</v>
      </c>
      <c r="K575" s="90">
        <v>12</v>
      </c>
    </row>
    <row r="576" spans="2:11" x14ac:dyDescent="0.15">
      <c r="B576" s="86">
        <v>573</v>
      </c>
      <c r="C576" s="99"/>
      <c r="D576" s="89"/>
      <c r="E576" s="89" t="s">
        <v>50</v>
      </c>
      <c r="F576" s="89" t="s">
        <v>50</v>
      </c>
      <c r="G576" s="89"/>
      <c r="H576" s="89"/>
      <c r="I576" s="89"/>
      <c r="J576" s="89">
        <v>1899</v>
      </c>
      <c r="K576" s="89">
        <v>12</v>
      </c>
    </row>
    <row r="577" spans="2:11" x14ac:dyDescent="0.15">
      <c r="B577" s="86">
        <v>574</v>
      </c>
      <c r="C577" s="100"/>
      <c r="D577" s="90"/>
      <c r="E577" s="90" t="s">
        <v>50</v>
      </c>
      <c r="F577" s="90" t="s">
        <v>50</v>
      </c>
      <c r="G577" s="90"/>
      <c r="H577" s="90"/>
      <c r="I577" s="90"/>
      <c r="J577" s="90">
        <v>1899</v>
      </c>
      <c r="K577" s="90">
        <v>12</v>
      </c>
    </row>
    <row r="578" spans="2:11" x14ac:dyDescent="0.15">
      <c r="B578" s="86">
        <v>575</v>
      </c>
      <c r="C578" s="99"/>
      <c r="D578" s="89"/>
      <c r="E578" s="89" t="s">
        <v>50</v>
      </c>
      <c r="F578" s="89" t="s">
        <v>50</v>
      </c>
      <c r="G578" s="89"/>
      <c r="H578" s="89"/>
      <c r="I578" s="89"/>
      <c r="J578" s="89">
        <v>1899</v>
      </c>
      <c r="K578" s="89">
        <v>12</v>
      </c>
    </row>
    <row r="579" spans="2:11" x14ac:dyDescent="0.15">
      <c r="B579" s="86">
        <v>576</v>
      </c>
      <c r="C579" s="100"/>
      <c r="D579" s="90"/>
      <c r="E579" s="90" t="s">
        <v>50</v>
      </c>
      <c r="F579" s="90" t="s">
        <v>50</v>
      </c>
      <c r="G579" s="90"/>
      <c r="H579" s="90"/>
      <c r="I579" s="90"/>
      <c r="J579" s="90">
        <v>1899</v>
      </c>
      <c r="K579" s="90">
        <v>12</v>
      </c>
    </row>
    <row r="580" spans="2:11" x14ac:dyDescent="0.15">
      <c r="B580" s="86">
        <v>577</v>
      </c>
      <c r="C580" s="99"/>
      <c r="D580" s="89"/>
      <c r="E580" s="89" t="s">
        <v>50</v>
      </c>
      <c r="F580" s="89" t="s">
        <v>50</v>
      </c>
      <c r="G580" s="89"/>
      <c r="H580" s="89"/>
      <c r="I580" s="89"/>
      <c r="J580" s="89">
        <v>1899</v>
      </c>
      <c r="K580" s="89">
        <v>12</v>
      </c>
    </row>
    <row r="581" spans="2:11" x14ac:dyDescent="0.15">
      <c r="B581" s="86">
        <v>578</v>
      </c>
      <c r="C581" s="100"/>
      <c r="D581" s="90"/>
      <c r="E581" s="90" t="s">
        <v>50</v>
      </c>
      <c r="F581" s="90" t="s">
        <v>50</v>
      </c>
      <c r="G581" s="90"/>
      <c r="H581" s="90"/>
      <c r="I581" s="90"/>
      <c r="J581" s="90">
        <v>1899</v>
      </c>
      <c r="K581" s="90">
        <v>12</v>
      </c>
    </row>
    <row r="582" spans="2:11" x14ac:dyDescent="0.15">
      <c r="B582" s="86">
        <v>579</v>
      </c>
      <c r="C582" s="99"/>
      <c r="D582" s="89"/>
      <c r="E582" s="89" t="s">
        <v>50</v>
      </c>
      <c r="F582" s="89" t="s">
        <v>50</v>
      </c>
      <c r="G582" s="89"/>
      <c r="H582" s="89"/>
      <c r="I582" s="89"/>
      <c r="J582" s="89">
        <v>1899</v>
      </c>
      <c r="K582" s="89">
        <v>12</v>
      </c>
    </row>
    <row r="583" spans="2:11" x14ac:dyDescent="0.15">
      <c r="B583" s="86">
        <v>580</v>
      </c>
      <c r="C583" s="100"/>
      <c r="D583" s="90"/>
      <c r="E583" s="90" t="s">
        <v>50</v>
      </c>
      <c r="F583" s="90" t="s">
        <v>50</v>
      </c>
      <c r="G583" s="90"/>
      <c r="H583" s="90"/>
      <c r="I583" s="90"/>
      <c r="J583" s="90">
        <v>1899</v>
      </c>
      <c r="K583" s="90">
        <v>12</v>
      </c>
    </row>
    <row r="584" spans="2:11" x14ac:dyDescent="0.15">
      <c r="B584" s="86">
        <v>581</v>
      </c>
      <c r="C584" s="99"/>
      <c r="D584" s="89"/>
      <c r="E584" s="89" t="s">
        <v>50</v>
      </c>
      <c r="F584" s="89" t="s">
        <v>50</v>
      </c>
      <c r="G584" s="89"/>
      <c r="H584" s="89"/>
      <c r="I584" s="89"/>
      <c r="J584" s="89">
        <v>1899</v>
      </c>
      <c r="K584" s="89">
        <v>12</v>
      </c>
    </row>
    <row r="585" spans="2:11" x14ac:dyDescent="0.15">
      <c r="B585" s="86">
        <v>582</v>
      </c>
      <c r="C585" s="100"/>
      <c r="D585" s="90"/>
      <c r="E585" s="90" t="s">
        <v>50</v>
      </c>
      <c r="F585" s="90" t="s">
        <v>50</v>
      </c>
      <c r="G585" s="90"/>
      <c r="H585" s="90"/>
      <c r="I585" s="90"/>
      <c r="J585" s="90">
        <v>1899</v>
      </c>
      <c r="K585" s="90">
        <v>12</v>
      </c>
    </row>
    <row r="586" spans="2:11" x14ac:dyDescent="0.15">
      <c r="B586" s="86">
        <v>583</v>
      </c>
      <c r="C586" s="99"/>
      <c r="D586" s="89"/>
      <c r="E586" s="89" t="s">
        <v>50</v>
      </c>
      <c r="F586" s="89" t="s">
        <v>50</v>
      </c>
      <c r="G586" s="89"/>
      <c r="H586" s="89"/>
      <c r="I586" s="89"/>
      <c r="J586" s="89">
        <v>1899</v>
      </c>
      <c r="K586" s="89">
        <v>12</v>
      </c>
    </row>
    <row r="587" spans="2:11" x14ac:dyDescent="0.15">
      <c r="B587" s="86">
        <v>584</v>
      </c>
      <c r="C587" s="100"/>
      <c r="D587" s="90"/>
      <c r="E587" s="90" t="s">
        <v>50</v>
      </c>
      <c r="F587" s="90" t="s">
        <v>50</v>
      </c>
      <c r="G587" s="90"/>
      <c r="H587" s="90"/>
      <c r="I587" s="90"/>
      <c r="J587" s="90">
        <v>1899</v>
      </c>
      <c r="K587" s="90">
        <v>12</v>
      </c>
    </row>
    <row r="588" spans="2:11" x14ac:dyDescent="0.15">
      <c r="B588" s="86">
        <v>585</v>
      </c>
      <c r="C588" s="99"/>
      <c r="D588" s="89"/>
      <c r="E588" s="89" t="s">
        <v>50</v>
      </c>
      <c r="F588" s="89" t="s">
        <v>50</v>
      </c>
      <c r="G588" s="89"/>
      <c r="H588" s="89"/>
      <c r="I588" s="89"/>
      <c r="J588" s="89">
        <v>1899</v>
      </c>
      <c r="K588" s="89">
        <v>12</v>
      </c>
    </row>
    <row r="589" spans="2:11" x14ac:dyDescent="0.15">
      <c r="B589" s="86">
        <v>586</v>
      </c>
      <c r="C589" s="100"/>
      <c r="D589" s="90"/>
      <c r="E589" s="90" t="s">
        <v>50</v>
      </c>
      <c r="F589" s="90" t="s">
        <v>50</v>
      </c>
      <c r="G589" s="90"/>
      <c r="H589" s="90"/>
      <c r="I589" s="90"/>
      <c r="J589" s="90">
        <v>1899</v>
      </c>
      <c r="K589" s="90">
        <v>12</v>
      </c>
    </row>
    <row r="590" spans="2:11" x14ac:dyDescent="0.15">
      <c r="B590" s="86">
        <v>587</v>
      </c>
      <c r="C590" s="99"/>
      <c r="D590" s="89"/>
      <c r="E590" s="89" t="s">
        <v>50</v>
      </c>
      <c r="F590" s="89" t="s">
        <v>50</v>
      </c>
      <c r="G590" s="89"/>
      <c r="H590" s="89"/>
      <c r="I590" s="89"/>
      <c r="J590" s="89">
        <v>1899</v>
      </c>
      <c r="K590" s="89">
        <v>12</v>
      </c>
    </row>
    <row r="591" spans="2:11" x14ac:dyDescent="0.15">
      <c r="B591" s="86">
        <v>588</v>
      </c>
      <c r="C591" s="100"/>
      <c r="D591" s="90"/>
      <c r="E591" s="90" t="s">
        <v>50</v>
      </c>
      <c r="F591" s="90" t="s">
        <v>50</v>
      </c>
      <c r="G591" s="90"/>
      <c r="H591" s="90"/>
      <c r="I591" s="90"/>
      <c r="J591" s="90">
        <v>1899</v>
      </c>
      <c r="K591" s="90">
        <v>12</v>
      </c>
    </row>
    <row r="592" spans="2:11" x14ac:dyDescent="0.15">
      <c r="B592" s="86">
        <v>589</v>
      </c>
      <c r="C592" s="99"/>
      <c r="D592" s="89"/>
      <c r="E592" s="89" t="s">
        <v>50</v>
      </c>
      <c r="F592" s="89" t="s">
        <v>50</v>
      </c>
      <c r="G592" s="89"/>
      <c r="H592" s="89"/>
      <c r="I592" s="89"/>
      <c r="J592" s="89">
        <v>1899</v>
      </c>
      <c r="K592" s="89">
        <v>12</v>
      </c>
    </row>
    <row r="593" spans="2:11" x14ac:dyDescent="0.15">
      <c r="B593" s="86">
        <v>590</v>
      </c>
      <c r="C593" s="100"/>
      <c r="D593" s="90"/>
      <c r="E593" s="90" t="s">
        <v>50</v>
      </c>
      <c r="F593" s="90" t="s">
        <v>50</v>
      </c>
      <c r="G593" s="90"/>
      <c r="H593" s="90"/>
      <c r="I593" s="90"/>
      <c r="J593" s="90">
        <v>1899</v>
      </c>
      <c r="K593" s="90">
        <v>12</v>
      </c>
    </row>
    <row r="594" spans="2:11" x14ac:dyDescent="0.15">
      <c r="B594" s="86">
        <v>591</v>
      </c>
      <c r="C594" s="99"/>
      <c r="D594" s="89"/>
      <c r="E594" s="89" t="s">
        <v>50</v>
      </c>
      <c r="F594" s="89" t="s">
        <v>50</v>
      </c>
      <c r="G594" s="89"/>
      <c r="H594" s="89"/>
      <c r="I594" s="89"/>
      <c r="J594" s="89">
        <v>1899</v>
      </c>
      <c r="K594" s="89">
        <v>12</v>
      </c>
    </row>
    <row r="595" spans="2:11" x14ac:dyDescent="0.15">
      <c r="B595" s="86">
        <v>592</v>
      </c>
      <c r="C595" s="100"/>
      <c r="D595" s="90"/>
      <c r="E595" s="90" t="s">
        <v>50</v>
      </c>
      <c r="F595" s="90" t="s">
        <v>50</v>
      </c>
      <c r="G595" s="90"/>
      <c r="H595" s="90"/>
      <c r="I595" s="90"/>
      <c r="J595" s="90">
        <v>1899</v>
      </c>
      <c r="K595" s="90">
        <v>12</v>
      </c>
    </row>
    <row r="596" spans="2:11" x14ac:dyDescent="0.15">
      <c r="B596" s="86">
        <v>593</v>
      </c>
      <c r="C596" s="99"/>
      <c r="D596" s="89"/>
      <c r="E596" s="89" t="s">
        <v>50</v>
      </c>
      <c r="F596" s="89" t="s">
        <v>50</v>
      </c>
      <c r="G596" s="89"/>
      <c r="H596" s="89"/>
      <c r="I596" s="89"/>
      <c r="J596" s="89">
        <v>1899</v>
      </c>
      <c r="K596" s="89">
        <v>12</v>
      </c>
    </row>
    <row r="597" spans="2:11" x14ac:dyDescent="0.15">
      <c r="B597" s="86">
        <v>594</v>
      </c>
      <c r="C597" s="100"/>
      <c r="D597" s="90"/>
      <c r="E597" s="90" t="s">
        <v>50</v>
      </c>
      <c r="F597" s="90" t="s">
        <v>50</v>
      </c>
      <c r="G597" s="90"/>
      <c r="H597" s="90"/>
      <c r="I597" s="90"/>
      <c r="J597" s="90">
        <v>1899</v>
      </c>
      <c r="K597" s="90">
        <v>12</v>
      </c>
    </row>
    <row r="598" spans="2:11" x14ac:dyDescent="0.15">
      <c r="B598" s="86">
        <v>595</v>
      </c>
      <c r="C598" s="99"/>
      <c r="D598" s="89"/>
      <c r="E598" s="89" t="s">
        <v>50</v>
      </c>
      <c r="F598" s="89" t="s">
        <v>50</v>
      </c>
      <c r="G598" s="89"/>
      <c r="H598" s="89"/>
      <c r="I598" s="89"/>
      <c r="J598" s="89">
        <v>1899</v>
      </c>
      <c r="K598" s="89">
        <v>12</v>
      </c>
    </row>
    <row r="599" spans="2:11" x14ac:dyDescent="0.15">
      <c r="B599" s="86">
        <v>596</v>
      </c>
      <c r="C599" s="100"/>
      <c r="D599" s="90"/>
      <c r="E599" s="90" t="s">
        <v>50</v>
      </c>
      <c r="F599" s="90" t="s">
        <v>50</v>
      </c>
      <c r="G599" s="90"/>
      <c r="H599" s="90"/>
      <c r="I599" s="90"/>
      <c r="J599" s="90">
        <v>1899</v>
      </c>
      <c r="K599" s="90">
        <v>12</v>
      </c>
    </row>
    <row r="600" spans="2:11" x14ac:dyDescent="0.15">
      <c r="B600" s="86">
        <v>597</v>
      </c>
      <c r="C600" s="99"/>
      <c r="D600" s="89"/>
      <c r="E600" s="89" t="s">
        <v>50</v>
      </c>
      <c r="F600" s="89" t="s">
        <v>50</v>
      </c>
      <c r="G600" s="89"/>
      <c r="H600" s="89"/>
      <c r="I600" s="89"/>
      <c r="J600" s="89">
        <v>1899</v>
      </c>
      <c r="K600" s="89">
        <v>12</v>
      </c>
    </row>
    <row r="601" spans="2:11" x14ac:dyDescent="0.15">
      <c r="B601" s="86">
        <v>598</v>
      </c>
      <c r="C601" s="100"/>
      <c r="D601" s="90"/>
      <c r="E601" s="90" t="s">
        <v>50</v>
      </c>
      <c r="F601" s="90" t="s">
        <v>50</v>
      </c>
      <c r="G601" s="90"/>
      <c r="H601" s="90"/>
      <c r="I601" s="90"/>
      <c r="J601" s="90">
        <v>1899</v>
      </c>
      <c r="K601" s="90">
        <v>12</v>
      </c>
    </row>
    <row r="602" spans="2:11" x14ac:dyDescent="0.15">
      <c r="B602" s="86">
        <v>599</v>
      </c>
      <c r="C602" s="99"/>
      <c r="D602" s="89"/>
      <c r="E602" s="89" t="s">
        <v>50</v>
      </c>
      <c r="F602" s="89" t="s">
        <v>50</v>
      </c>
      <c r="G602" s="89"/>
      <c r="H602" s="89"/>
      <c r="I602" s="89"/>
      <c r="J602" s="89">
        <v>1899</v>
      </c>
      <c r="K602" s="89">
        <v>12</v>
      </c>
    </row>
    <row r="603" spans="2:11" x14ac:dyDescent="0.15">
      <c r="B603" s="86">
        <v>600</v>
      </c>
      <c r="C603" s="100"/>
      <c r="D603" s="90"/>
      <c r="E603" s="90" t="s">
        <v>50</v>
      </c>
      <c r="F603" s="90" t="s">
        <v>50</v>
      </c>
      <c r="G603" s="90"/>
      <c r="H603" s="90"/>
      <c r="I603" s="90"/>
      <c r="J603" s="90">
        <v>1899</v>
      </c>
      <c r="K603" s="90">
        <v>12</v>
      </c>
    </row>
    <row r="604" spans="2:11" x14ac:dyDescent="0.15">
      <c r="B604" s="86">
        <v>601</v>
      </c>
      <c r="C604" s="99"/>
      <c r="D604" s="89"/>
      <c r="E604" s="89" t="s">
        <v>50</v>
      </c>
      <c r="F604" s="89" t="s">
        <v>50</v>
      </c>
      <c r="G604" s="89"/>
      <c r="H604" s="89"/>
      <c r="I604" s="89"/>
      <c r="J604" s="89">
        <v>1899</v>
      </c>
      <c r="K604" s="89">
        <v>12</v>
      </c>
    </row>
    <row r="605" spans="2:11" x14ac:dyDescent="0.15">
      <c r="B605" s="86">
        <v>602</v>
      </c>
      <c r="C605" s="100"/>
      <c r="D605" s="90"/>
      <c r="E605" s="90" t="s">
        <v>50</v>
      </c>
      <c r="F605" s="90" t="s">
        <v>50</v>
      </c>
      <c r="G605" s="90"/>
      <c r="H605" s="90"/>
      <c r="I605" s="90"/>
      <c r="J605" s="90">
        <v>1899</v>
      </c>
      <c r="K605" s="90">
        <v>12</v>
      </c>
    </row>
    <row r="606" spans="2:11" x14ac:dyDescent="0.15">
      <c r="B606" s="86">
        <v>603</v>
      </c>
      <c r="C606" s="99"/>
      <c r="D606" s="89"/>
      <c r="E606" s="89" t="s">
        <v>50</v>
      </c>
      <c r="F606" s="89" t="s">
        <v>50</v>
      </c>
      <c r="G606" s="89"/>
      <c r="H606" s="89"/>
      <c r="I606" s="89"/>
      <c r="J606" s="89">
        <v>1899</v>
      </c>
      <c r="K606" s="89">
        <v>12</v>
      </c>
    </row>
    <row r="607" spans="2:11" x14ac:dyDescent="0.15">
      <c r="B607" s="86">
        <v>604</v>
      </c>
      <c r="C607" s="100"/>
      <c r="D607" s="90"/>
      <c r="E607" s="90" t="s">
        <v>50</v>
      </c>
      <c r="F607" s="90" t="s">
        <v>50</v>
      </c>
      <c r="G607" s="90"/>
      <c r="H607" s="90"/>
      <c r="I607" s="90"/>
      <c r="J607" s="90">
        <v>1899</v>
      </c>
      <c r="K607" s="90">
        <v>12</v>
      </c>
    </row>
    <row r="608" spans="2:11" x14ac:dyDescent="0.15">
      <c r="B608" s="86">
        <v>605</v>
      </c>
      <c r="C608" s="99"/>
      <c r="D608" s="89"/>
      <c r="E608" s="89" t="s">
        <v>50</v>
      </c>
      <c r="F608" s="89" t="s">
        <v>50</v>
      </c>
      <c r="G608" s="89"/>
      <c r="H608" s="89"/>
      <c r="I608" s="89"/>
      <c r="J608" s="89">
        <v>1899</v>
      </c>
      <c r="K608" s="89">
        <v>12</v>
      </c>
    </row>
    <row r="609" spans="2:11" x14ac:dyDescent="0.15">
      <c r="B609" s="86">
        <v>606</v>
      </c>
      <c r="C609" s="100"/>
      <c r="D609" s="90"/>
      <c r="E609" s="90" t="s">
        <v>50</v>
      </c>
      <c r="F609" s="90" t="s">
        <v>50</v>
      </c>
      <c r="G609" s="90"/>
      <c r="H609" s="90"/>
      <c r="I609" s="90"/>
      <c r="J609" s="90">
        <v>1899</v>
      </c>
      <c r="K609" s="90">
        <v>12</v>
      </c>
    </row>
    <row r="610" spans="2:11" x14ac:dyDescent="0.15">
      <c r="B610" s="86">
        <v>607</v>
      </c>
      <c r="C610" s="99"/>
      <c r="D610" s="89"/>
      <c r="E610" s="89" t="s">
        <v>50</v>
      </c>
      <c r="F610" s="89" t="s">
        <v>50</v>
      </c>
      <c r="G610" s="89"/>
      <c r="H610" s="89"/>
      <c r="I610" s="89"/>
      <c r="J610" s="89">
        <v>1899</v>
      </c>
      <c r="K610" s="89">
        <v>12</v>
      </c>
    </row>
    <row r="611" spans="2:11" x14ac:dyDescent="0.15">
      <c r="B611" s="86">
        <v>608</v>
      </c>
      <c r="C611" s="100"/>
      <c r="D611" s="90"/>
      <c r="E611" s="90" t="s">
        <v>50</v>
      </c>
      <c r="F611" s="90" t="s">
        <v>50</v>
      </c>
      <c r="G611" s="90"/>
      <c r="H611" s="90"/>
      <c r="I611" s="90"/>
      <c r="J611" s="90">
        <v>1899</v>
      </c>
      <c r="K611" s="90">
        <v>12</v>
      </c>
    </row>
    <row r="612" spans="2:11" x14ac:dyDescent="0.15">
      <c r="B612" s="86">
        <v>609</v>
      </c>
      <c r="C612" s="99"/>
      <c r="D612" s="89"/>
      <c r="E612" s="89" t="s">
        <v>50</v>
      </c>
      <c r="F612" s="89" t="s">
        <v>50</v>
      </c>
      <c r="G612" s="89"/>
      <c r="H612" s="89"/>
      <c r="I612" s="89"/>
      <c r="J612" s="89">
        <v>1899</v>
      </c>
      <c r="K612" s="89">
        <v>12</v>
      </c>
    </row>
    <row r="613" spans="2:11" x14ac:dyDescent="0.15">
      <c r="B613" s="86">
        <v>610</v>
      </c>
      <c r="C613" s="100"/>
      <c r="D613" s="90"/>
      <c r="E613" s="90" t="s">
        <v>50</v>
      </c>
      <c r="F613" s="90" t="s">
        <v>50</v>
      </c>
      <c r="G613" s="90"/>
      <c r="H613" s="90"/>
      <c r="I613" s="90"/>
      <c r="J613" s="90">
        <v>1899</v>
      </c>
      <c r="K613" s="90">
        <v>12</v>
      </c>
    </row>
    <row r="614" spans="2:11" x14ac:dyDescent="0.15">
      <c r="B614" s="86">
        <v>611</v>
      </c>
      <c r="C614" s="99"/>
      <c r="D614" s="89"/>
      <c r="E614" s="89" t="s">
        <v>50</v>
      </c>
      <c r="F614" s="89" t="s">
        <v>50</v>
      </c>
      <c r="G614" s="89"/>
      <c r="H614" s="89"/>
      <c r="I614" s="89"/>
      <c r="J614" s="89">
        <v>1899</v>
      </c>
      <c r="K614" s="89">
        <v>12</v>
      </c>
    </row>
    <row r="615" spans="2:11" x14ac:dyDescent="0.15">
      <c r="B615" s="86">
        <v>612</v>
      </c>
      <c r="C615" s="100"/>
      <c r="D615" s="90"/>
      <c r="E615" s="90" t="s">
        <v>50</v>
      </c>
      <c r="F615" s="90" t="s">
        <v>50</v>
      </c>
      <c r="G615" s="90"/>
      <c r="H615" s="90"/>
      <c r="I615" s="90"/>
      <c r="J615" s="90">
        <v>1899</v>
      </c>
      <c r="K615" s="90">
        <v>12</v>
      </c>
    </row>
    <row r="616" spans="2:11" x14ac:dyDescent="0.15">
      <c r="B616" s="86">
        <v>613</v>
      </c>
      <c r="C616" s="99"/>
      <c r="D616" s="89"/>
      <c r="E616" s="89" t="s">
        <v>50</v>
      </c>
      <c r="F616" s="89" t="s">
        <v>50</v>
      </c>
      <c r="G616" s="89"/>
      <c r="H616" s="89"/>
      <c r="I616" s="89"/>
      <c r="J616" s="89">
        <v>1899</v>
      </c>
      <c r="K616" s="89">
        <v>12</v>
      </c>
    </row>
    <row r="617" spans="2:11" x14ac:dyDescent="0.15">
      <c r="B617" s="86">
        <v>614</v>
      </c>
      <c r="C617" s="100"/>
      <c r="D617" s="90"/>
      <c r="E617" s="90" t="s">
        <v>50</v>
      </c>
      <c r="F617" s="90" t="s">
        <v>50</v>
      </c>
      <c r="G617" s="90"/>
      <c r="H617" s="90"/>
      <c r="I617" s="90"/>
      <c r="J617" s="90">
        <v>1899</v>
      </c>
      <c r="K617" s="90">
        <v>12</v>
      </c>
    </row>
    <row r="618" spans="2:11" x14ac:dyDescent="0.15">
      <c r="B618" s="86">
        <v>615</v>
      </c>
      <c r="C618" s="99"/>
      <c r="D618" s="89"/>
      <c r="E618" s="89" t="s">
        <v>50</v>
      </c>
      <c r="F618" s="89" t="s">
        <v>50</v>
      </c>
      <c r="G618" s="89"/>
      <c r="H618" s="89"/>
      <c r="I618" s="89"/>
      <c r="J618" s="89">
        <v>1899</v>
      </c>
      <c r="K618" s="89">
        <v>12</v>
      </c>
    </row>
    <row r="619" spans="2:11" x14ac:dyDescent="0.15">
      <c r="B619" s="86">
        <v>616</v>
      </c>
      <c r="C619" s="100"/>
      <c r="D619" s="90"/>
      <c r="E619" s="90" t="s">
        <v>50</v>
      </c>
      <c r="F619" s="90" t="s">
        <v>50</v>
      </c>
      <c r="G619" s="90"/>
      <c r="H619" s="90"/>
      <c r="I619" s="90"/>
      <c r="J619" s="90">
        <v>1899</v>
      </c>
      <c r="K619" s="90">
        <v>12</v>
      </c>
    </row>
    <row r="620" spans="2:11" x14ac:dyDescent="0.15">
      <c r="B620" s="86">
        <v>617</v>
      </c>
      <c r="C620" s="99"/>
      <c r="D620" s="89"/>
      <c r="E620" s="89" t="s">
        <v>50</v>
      </c>
      <c r="F620" s="89" t="s">
        <v>50</v>
      </c>
      <c r="G620" s="89"/>
      <c r="H620" s="89"/>
      <c r="I620" s="89"/>
      <c r="J620" s="89">
        <v>1899</v>
      </c>
      <c r="K620" s="89">
        <v>12</v>
      </c>
    </row>
    <row r="621" spans="2:11" x14ac:dyDescent="0.15">
      <c r="B621" s="86">
        <v>618</v>
      </c>
      <c r="C621" s="100"/>
      <c r="D621" s="90"/>
      <c r="E621" s="90" t="s">
        <v>50</v>
      </c>
      <c r="F621" s="90" t="s">
        <v>50</v>
      </c>
      <c r="G621" s="90"/>
      <c r="H621" s="90"/>
      <c r="I621" s="90"/>
      <c r="J621" s="90">
        <v>1899</v>
      </c>
      <c r="K621" s="90">
        <v>12</v>
      </c>
    </row>
    <row r="622" spans="2:11" x14ac:dyDescent="0.15">
      <c r="B622" s="86">
        <v>619</v>
      </c>
      <c r="C622" s="99"/>
      <c r="D622" s="89"/>
      <c r="E622" s="89" t="s">
        <v>50</v>
      </c>
      <c r="F622" s="89" t="s">
        <v>50</v>
      </c>
      <c r="G622" s="89"/>
      <c r="H622" s="89"/>
      <c r="I622" s="89"/>
      <c r="J622" s="89">
        <v>1899</v>
      </c>
      <c r="K622" s="89">
        <v>12</v>
      </c>
    </row>
    <row r="623" spans="2:11" x14ac:dyDescent="0.15">
      <c r="B623" s="86">
        <v>620</v>
      </c>
      <c r="C623" s="100"/>
      <c r="D623" s="90"/>
      <c r="E623" s="90" t="s">
        <v>50</v>
      </c>
      <c r="F623" s="90" t="s">
        <v>50</v>
      </c>
      <c r="G623" s="90"/>
      <c r="H623" s="90"/>
      <c r="I623" s="90"/>
      <c r="J623" s="90">
        <v>1899</v>
      </c>
      <c r="K623" s="90">
        <v>12</v>
      </c>
    </row>
    <row r="624" spans="2:11" x14ac:dyDescent="0.15">
      <c r="B624" s="86">
        <v>621</v>
      </c>
      <c r="C624" s="99"/>
      <c r="D624" s="89"/>
      <c r="E624" s="89" t="s">
        <v>50</v>
      </c>
      <c r="F624" s="89" t="s">
        <v>50</v>
      </c>
      <c r="G624" s="89"/>
      <c r="H624" s="89"/>
      <c r="I624" s="89"/>
      <c r="J624" s="89">
        <v>1899</v>
      </c>
      <c r="K624" s="89">
        <v>12</v>
      </c>
    </row>
    <row r="625" spans="2:11" x14ac:dyDescent="0.15">
      <c r="B625" s="86">
        <v>622</v>
      </c>
      <c r="C625" s="100"/>
      <c r="D625" s="90"/>
      <c r="E625" s="90" t="s">
        <v>50</v>
      </c>
      <c r="F625" s="90" t="s">
        <v>50</v>
      </c>
      <c r="G625" s="90"/>
      <c r="H625" s="90"/>
      <c r="I625" s="90"/>
      <c r="J625" s="90">
        <v>1899</v>
      </c>
      <c r="K625" s="90">
        <v>12</v>
      </c>
    </row>
    <row r="626" spans="2:11" x14ac:dyDescent="0.15">
      <c r="B626" s="86">
        <v>623</v>
      </c>
      <c r="C626" s="99"/>
      <c r="D626" s="89"/>
      <c r="E626" s="89" t="s">
        <v>50</v>
      </c>
      <c r="F626" s="89" t="s">
        <v>50</v>
      </c>
      <c r="G626" s="89"/>
      <c r="H626" s="89"/>
      <c r="I626" s="89"/>
      <c r="J626" s="89">
        <v>1899</v>
      </c>
      <c r="K626" s="89">
        <v>12</v>
      </c>
    </row>
    <row r="627" spans="2:11" x14ac:dyDescent="0.15">
      <c r="B627" s="86">
        <v>624</v>
      </c>
      <c r="C627" s="100"/>
      <c r="D627" s="90"/>
      <c r="E627" s="90" t="s">
        <v>50</v>
      </c>
      <c r="F627" s="90" t="s">
        <v>50</v>
      </c>
      <c r="G627" s="90"/>
      <c r="H627" s="90"/>
      <c r="I627" s="90"/>
      <c r="J627" s="90">
        <v>1899</v>
      </c>
      <c r="K627" s="90">
        <v>12</v>
      </c>
    </row>
    <row r="628" spans="2:11" x14ac:dyDescent="0.15">
      <c r="B628" s="86">
        <v>625</v>
      </c>
      <c r="C628" s="99"/>
      <c r="D628" s="89"/>
      <c r="E628" s="89" t="s">
        <v>50</v>
      </c>
      <c r="F628" s="89" t="s">
        <v>50</v>
      </c>
      <c r="G628" s="89"/>
      <c r="H628" s="89"/>
      <c r="I628" s="89"/>
      <c r="J628" s="89">
        <v>1899</v>
      </c>
      <c r="K628" s="89">
        <v>12</v>
      </c>
    </row>
    <row r="629" spans="2:11" x14ac:dyDescent="0.15">
      <c r="B629" s="86">
        <v>626</v>
      </c>
      <c r="C629" s="100"/>
      <c r="D629" s="90"/>
      <c r="E629" s="90" t="s">
        <v>50</v>
      </c>
      <c r="F629" s="90" t="s">
        <v>50</v>
      </c>
      <c r="G629" s="90"/>
      <c r="H629" s="90"/>
      <c r="I629" s="90"/>
      <c r="J629" s="90">
        <v>1899</v>
      </c>
      <c r="K629" s="90">
        <v>12</v>
      </c>
    </row>
    <row r="630" spans="2:11" x14ac:dyDescent="0.15">
      <c r="B630" s="86">
        <v>627</v>
      </c>
      <c r="C630" s="99"/>
      <c r="D630" s="89"/>
      <c r="E630" s="89" t="s">
        <v>50</v>
      </c>
      <c r="F630" s="89" t="s">
        <v>50</v>
      </c>
      <c r="G630" s="89"/>
      <c r="H630" s="89"/>
      <c r="I630" s="89"/>
      <c r="J630" s="89">
        <v>1899</v>
      </c>
      <c r="K630" s="89">
        <v>12</v>
      </c>
    </row>
    <row r="631" spans="2:11" x14ac:dyDescent="0.15">
      <c r="B631" s="86">
        <v>628</v>
      </c>
      <c r="C631" s="100"/>
      <c r="D631" s="90"/>
      <c r="E631" s="90" t="s">
        <v>50</v>
      </c>
      <c r="F631" s="90" t="s">
        <v>50</v>
      </c>
      <c r="G631" s="90"/>
      <c r="H631" s="90"/>
      <c r="I631" s="90"/>
      <c r="J631" s="90">
        <v>1899</v>
      </c>
      <c r="K631" s="90">
        <v>12</v>
      </c>
    </row>
    <row r="632" spans="2:11" x14ac:dyDescent="0.15">
      <c r="B632" s="86">
        <v>629</v>
      </c>
      <c r="C632" s="99"/>
      <c r="D632" s="89"/>
      <c r="E632" s="89" t="s">
        <v>50</v>
      </c>
      <c r="F632" s="89" t="s">
        <v>50</v>
      </c>
      <c r="G632" s="89"/>
      <c r="H632" s="89"/>
      <c r="I632" s="89"/>
      <c r="J632" s="89">
        <v>1899</v>
      </c>
      <c r="K632" s="89">
        <v>12</v>
      </c>
    </row>
    <row r="633" spans="2:11" x14ac:dyDescent="0.15">
      <c r="B633" s="86">
        <v>630</v>
      </c>
      <c r="C633" s="100"/>
      <c r="D633" s="90"/>
      <c r="E633" s="90" t="s">
        <v>50</v>
      </c>
      <c r="F633" s="90" t="s">
        <v>50</v>
      </c>
      <c r="G633" s="90"/>
      <c r="H633" s="90"/>
      <c r="I633" s="90"/>
      <c r="J633" s="90">
        <v>1899</v>
      </c>
      <c r="K633" s="90">
        <v>12</v>
      </c>
    </row>
    <row r="634" spans="2:11" x14ac:dyDescent="0.15">
      <c r="B634" s="86">
        <v>631</v>
      </c>
      <c r="C634" s="99"/>
      <c r="D634" s="89"/>
      <c r="E634" s="89" t="s">
        <v>50</v>
      </c>
      <c r="F634" s="89" t="s">
        <v>50</v>
      </c>
      <c r="G634" s="89"/>
      <c r="H634" s="89"/>
      <c r="I634" s="89"/>
      <c r="J634" s="89">
        <v>1899</v>
      </c>
      <c r="K634" s="89">
        <v>12</v>
      </c>
    </row>
    <row r="635" spans="2:11" x14ac:dyDescent="0.15">
      <c r="B635" s="86">
        <v>632</v>
      </c>
      <c r="C635" s="100"/>
      <c r="D635" s="90"/>
      <c r="E635" s="90" t="s">
        <v>50</v>
      </c>
      <c r="F635" s="90" t="s">
        <v>50</v>
      </c>
      <c r="G635" s="90"/>
      <c r="H635" s="90"/>
      <c r="I635" s="90"/>
      <c r="J635" s="90">
        <v>1899</v>
      </c>
      <c r="K635" s="90">
        <v>12</v>
      </c>
    </row>
    <row r="636" spans="2:11" x14ac:dyDescent="0.15">
      <c r="B636" s="86">
        <v>633</v>
      </c>
      <c r="C636" s="99"/>
      <c r="D636" s="89"/>
      <c r="E636" s="89" t="s">
        <v>50</v>
      </c>
      <c r="F636" s="89" t="s">
        <v>50</v>
      </c>
      <c r="G636" s="89"/>
      <c r="H636" s="89"/>
      <c r="I636" s="89"/>
      <c r="J636" s="89">
        <v>1899</v>
      </c>
      <c r="K636" s="89">
        <v>12</v>
      </c>
    </row>
    <row r="637" spans="2:11" x14ac:dyDescent="0.15">
      <c r="B637" s="86">
        <v>634</v>
      </c>
      <c r="C637" s="100"/>
      <c r="D637" s="90"/>
      <c r="E637" s="90" t="s">
        <v>50</v>
      </c>
      <c r="F637" s="90" t="s">
        <v>50</v>
      </c>
      <c r="G637" s="90"/>
      <c r="H637" s="90"/>
      <c r="I637" s="90"/>
      <c r="J637" s="90">
        <v>1899</v>
      </c>
      <c r="K637" s="90">
        <v>12</v>
      </c>
    </row>
    <row r="638" spans="2:11" x14ac:dyDescent="0.15">
      <c r="B638" s="86">
        <v>635</v>
      </c>
      <c r="C638" s="99"/>
      <c r="D638" s="89"/>
      <c r="E638" s="89" t="s">
        <v>50</v>
      </c>
      <c r="F638" s="89" t="s">
        <v>50</v>
      </c>
      <c r="G638" s="89"/>
      <c r="H638" s="89"/>
      <c r="I638" s="89"/>
      <c r="J638" s="89">
        <v>1899</v>
      </c>
      <c r="K638" s="89">
        <v>12</v>
      </c>
    </row>
    <row r="639" spans="2:11" x14ac:dyDescent="0.15">
      <c r="B639" s="86">
        <v>636</v>
      </c>
      <c r="C639" s="100"/>
      <c r="D639" s="90"/>
      <c r="E639" s="90" t="s">
        <v>50</v>
      </c>
      <c r="F639" s="90" t="s">
        <v>50</v>
      </c>
      <c r="G639" s="90"/>
      <c r="H639" s="90"/>
      <c r="I639" s="90"/>
      <c r="J639" s="90">
        <v>1899</v>
      </c>
      <c r="K639" s="90">
        <v>12</v>
      </c>
    </row>
    <row r="640" spans="2:11" x14ac:dyDescent="0.15">
      <c r="B640" s="86">
        <v>637</v>
      </c>
      <c r="C640" s="99"/>
      <c r="D640" s="89"/>
      <c r="E640" s="89" t="s">
        <v>50</v>
      </c>
      <c r="F640" s="89" t="s">
        <v>50</v>
      </c>
      <c r="G640" s="89"/>
      <c r="H640" s="89"/>
      <c r="I640" s="89"/>
      <c r="J640" s="89">
        <v>1899</v>
      </c>
      <c r="K640" s="89">
        <v>12</v>
      </c>
    </row>
    <row r="641" spans="2:11" x14ac:dyDescent="0.15">
      <c r="B641" s="86">
        <v>638</v>
      </c>
      <c r="C641" s="100"/>
      <c r="D641" s="90"/>
      <c r="E641" s="90" t="s">
        <v>50</v>
      </c>
      <c r="F641" s="90" t="s">
        <v>50</v>
      </c>
      <c r="G641" s="90"/>
      <c r="H641" s="90"/>
      <c r="I641" s="90"/>
      <c r="J641" s="90">
        <v>1899</v>
      </c>
      <c r="K641" s="90">
        <v>12</v>
      </c>
    </row>
    <row r="642" spans="2:11" x14ac:dyDescent="0.15">
      <c r="B642" s="86">
        <v>639</v>
      </c>
      <c r="C642" s="99"/>
      <c r="D642" s="89"/>
      <c r="E642" s="89" t="s">
        <v>50</v>
      </c>
      <c r="F642" s="89" t="s">
        <v>50</v>
      </c>
      <c r="G642" s="89"/>
      <c r="H642" s="89"/>
      <c r="I642" s="89"/>
      <c r="J642" s="89">
        <v>1899</v>
      </c>
      <c r="K642" s="89">
        <v>12</v>
      </c>
    </row>
    <row r="643" spans="2:11" x14ac:dyDescent="0.15">
      <c r="B643" s="86">
        <v>640</v>
      </c>
      <c r="C643" s="100"/>
      <c r="D643" s="90"/>
      <c r="E643" s="90" t="s">
        <v>50</v>
      </c>
      <c r="F643" s="90" t="s">
        <v>50</v>
      </c>
      <c r="G643" s="90"/>
      <c r="H643" s="90"/>
      <c r="I643" s="90"/>
      <c r="J643" s="90">
        <v>1899</v>
      </c>
      <c r="K643" s="90">
        <v>12</v>
      </c>
    </row>
    <row r="644" spans="2:11" x14ac:dyDescent="0.15">
      <c r="B644" s="86">
        <v>641</v>
      </c>
      <c r="C644" s="99"/>
      <c r="D644" s="89"/>
      <c r="E644" s="89" t="s">
        <v>50</v>
      </c>
      <c r="F644" s="89" t="s">
        <v>50</v>
      </c>
      <c r="G644" s="89"/>
      <c r="H644" s="89"/>
      <c r="I644" s="89"/>
      <c r="J644" s="89">
        <v>1899</v>
      </c>
      <c r="K644" s="89">
        <v>12</v>
      </c>
    </row>
    <row r="645" spans="2:11" x14ac:dyDescent="0.15">
      <c r="B645" s="86">
        <v>642</v>
      </c>
      <c r="C645" s="100"/>
      <c r="D645" s="90"/>
      <c r="E645" s="90" t="s">
        <v>50</v>
      </c>
      <c r="F645" s="90" t="s">
        <v>50</v>
      </c>
      <c r="G645" s="90"/>
      <c r="H645" s="90"/>
      <c r="I645" s="90"/>
      <c r="J645" s="90">
        <v>1899</v>
      </c>
      <c r="K645" s="90">
        <v>12</v>
      </c>
    </row>
    <row r="646" spans="2:11" x14ac:dyDescent="0.15">
      <c r="B646" s="86">
        <v>643</v>
      </c>
      <c r="C646" s="99"/>
      <c r="D646" s="89"/>
      <c r="E646" s="89" t="s">
        <v>50</v>
      </c>
      <c r="F646" s="89" t="s">
        <v>50</v>
      </c>
      <c r="G646" s="89"/>
      <c r="H646" s="89"/>
      <c r="I646" s="89"/>
      <c r="J646" s="89">
        <v>1899</v>
      </c>
      <c r="K646" s="89">
        <v>12</v>
      </c>
    </row>
    <row r="647" spans="2:11" x14ac:dyDescent="0.15">
      <c r="B647" s="86">
        <v>644</v>
      </c>
      <c r="C647" s="100"/>
      <c r="D647" s="90"/>
      <c r="E647" s="90" t="s">
        <v>50</v>
      </c>
      <c r="F647" s="90" t="s">
        <v>50</v>
      </c>
      <c r="G647" s="90"/>
      <c r="H647" s="90"/>
      <c r="I647" s="90"/>
      <c r="J647" s="90">
        <v>1899</v>
      </c>
      <c r="K647" s="90">
        <v>12</v>
      </c>
    </row>
    <row r="648" spans="2:11" x14ac:dyDescent="0.15">
      <c r="B648" s="86">
        <v>645</v>
      </c>
      <c r="C648" s="99"/>
      <c r="D648" s="89"/>
      <c r="E648" s="89" t="s">
        <v>50</v>
      </c>
      <c r="F648" s="89" t="s">
        <v>50</v>
      </c>
      <c r="G648" s="89"/>
      <c r="H648" s="89"/>
      <c r="I648" s="89"/>
      <c r="J648" s="89">
        <v>1899</v>
      </c>
      <c r="K648" s="89">
        <v>12</v>
      </c>
    </row>
    <row r="649" spans="2:11" x14ac:dyDescent="0.15">
      <c r="B649" s="86">
        <v>646</v>
      </c>
      <c r="C649" s="100"/>
      <c r="D649" s="90"/>
      <c r="E649" s="90" t="s">
        <v>50</v>
      </c>
      <c r="F649" s="90" t="s">
        <v>50</v>
      </c>
      <c r="G649" s="90"/>
      <c r="H649" s="90"/>
      <c r="I649" s="90"/>
      <c r="J649" s="90">
        <v>1899</v>
      </c>
      <c r="K649" s="90">
        <v>12</v>
      </c>
    </row>
    <row r="650" spans="2:11" x14ac:dyDescent="0.15">
      <c r="B650" s="86">
        <v>647</v>
      </c>
      <c r="C650" s="99"/>
      <c r="D650" s="89"/>
      <c r="E650" s="89" t="s">
        <v>50</v>
      </c>
      <c r="F650" s="89" t="s">
        <v>50</v>
      </c>
      <c r="G650" s="89"/>
      <c r="H650" s="89"/>
      <c r="I650" s="89"/>
      <c r="J650" s="89">
        <v>1899</v>
      </c>
      <c r="K650" s="89">
        <v>12</v>
      </c>
    </row>
    <row r="651" spans="2:11" x14ac:dyDescent="0.15">
      <c r="B651" s="86">
        <v>648</v>
      </c>
      <c r="C651" s="100"/>
      <c r="D651" s="90"/>
      <c r="E651" s="90" t="s">
        <v>50</v>
      </c>
      <c r="F651" s="90" t="s">
        <v>50</v>
      </c>
      <c r="G651" s="90"/>
      <c r="H651" s="90"/>
      <c r="I651" s="90"/>
      <c r="J651" s="90">
        <v>1899</v>
      </c>
      <c r="K651" s="90">
        <v>12</v>
      </c>
    </row>
    <row r="652" spans="2:11" x14ac:dyDescent="0.15">
      <c r="B652" s="86">
        <v>649</v>
      </c>
      <c r="C652" s="99"/>
      <c r="D652" s="89"/>
      <c r="E652" s="89" t="s">
        <v>50</v>
      </c>
      <c r="F652" s="89" t="s">
        <v>50</v>
      </c>
      <c r="G652" s="89"/>
      <c r="H652" s="89"/>
      <c r="I652" s="89"/>
      <c r="J652" s="89">
        <v>1899</v>
      </c>
      <c r="K652" s="89">
        <v>12</v>
      </c>
    </row>
    <row r="653" spans="2:11" x14ac:dyDescent="0.15">
      <c r="B653" s="86">
        <v>650</v>
      </c>
      <c r="C653" s="100"/>
      <c r="D653" s="90"/>
      <c r="E653" s="90" t="s">
        <v>50</v>
      </c>
      <c r="F653" s="90" t="s">
        <v>50</v>
      </c>
      <c r="G653" s="90"/>
      <c r="H653" s="90"/>
      <c r="I653" s="90"/>
      <c r="J653" s="90">
        <v>1899</v>
      </c>
      <c r="K653" s="90">
        <v>12</v>
      </c>
    </row>
    <row r="654" spans="2:11" x14ac:dyDescent="0.15">
      <c r="B654" s="86">
        <v>651</v>
      </c>
      <c r="C654" s="99"/>
      <c r="D654" s="89"/>
      <c r="E654" s="89" t="s">
        <v>50</v>
      </c>
      <c r="F654" s="89" t="s">
        <v>50</v>
      </c>
      <c r="G654" s="89"/>
      <c r="H654" s="89"/>
      <c r="I654" s="89"/>
      <c r="J654" s="89">
        <v>1899</v>
      </c>
      <c r="K654" s="89">
        <v>12</v>
      </c>
    </row>
    <row r="655" spans="2:11" x14ac:dyDescent="0.15">
      <c r="B655" s="86">
        <v>652</v>
      </c>
      <c r="C655" s="100"/>
      <c r="D655" s="90"/>
      <c r="E655" s="90" t="s">
        <v>50</v>
      </c>
      <c r="F655" s="90" t="s">
        <v>50</v>
      </c>
      <c r="G655" s="90"/>
      <c r="H655" s="90"/>
      <c r="I655" s="90"/>
      <c r="J655" s="90">
        <v>1899</v>
      </c>
      <c r="K655" s="90">
        <v>12</v>
      </c>
    </row>
    <row r="656" spans="2:11" x14ac:dyDescent="0.15">
      <c r="B656" s="86">
        <v>653</v>
      </c>
      <c r="C656" s="99"/>
      <c r="D656" s="89"/>
      <c r="E656" s="89" t="s">
        <v>50</v>
      </c>
      <c r="F656" s="89" t="s">
        <v>50</v>
      </c>
      <c r="G656" s="89"/>
      <c r="H656" s="89"/>
      <c r="I656" s="89"/>
      <c r="J656" s="89">
        <v>1899</v>
      </c>
      <c r="K656" s="89">
        <v>12</v>
      </c>
    </row>
    <row r="657" spans="2:11" x14ac:dyDescent="0.15">
      <c r="B657" s="86">
        <v>654</v>
      </c>
      <c r="C657" s="100"/>
      <c r="D657" s="90"/>
      <c r="E657" s="90" t="s">
        <v>50</v>
      </c>
      <c r="F657" s="90" t="s">
        <v>50</v>
      </c>
      <c r="G657" s="90"/>
      <c r="H657" s="90"/>
      <c r="I657" s="90"/>
      <c r="J657" s="90">
        <v>1899</v>
      </c>
      <c r="K657" s="90">
        <v>12</v>
      </c>
    </row>
    <row r="658" spans="2:11" x14ac:dyDescent="0.15">
      <c r="B658" s="86">
        <v>655</v>
      </c>
      <c r="C658" s="99"/>
      <c r="D658" s="89"/>
      <c r="E658" s="89" t="s">
        <v>50</v>
      </c>
      <c r="F658" s="89" t="s">
        <v>50</v>
      </c>
      <c r="G658" s="89"/>
      <c r="H658" s="89"/>
      <c r="I658" s="89"/>
      <c r="J658" s="89">
        <v>1899</v>
      </c>
      <c r="K658" s="89">
        <v>12</v>
      </c>
    </row>
    <row r="659" spans="2:11" x14ac:dyDescent="0.15">
      <c r="B659" s="86">
        <v>656</v>
      </c>
      <c r="C659" s="100"/>
      <c r="D659" s="90"/>
      <c r="E659" s="90" t="s">
        <v>50</v>
      </c>
      <c r="F659" s="90" t="s">
        <v>50</v>
      </c>
      <c r="G659" s="90"/>
      <c r="H659" s="90"/>
      <c r="I659" s="90"/>
      <c r="J659" s="90">
        <v>1899</v>
      </c>
      <c r="K659" s="90">
        <v>12</v>
      </c>
    </row>
    <row r="660" spans="2:11" x14ac:dyDescent="0.15">
      <c r="B660" s="86">
        <v>657</v>
      </c>
      <c r="C660" s="99"/>
      <c r="D660" s="89"/>
      <c r="E660" s="89" t="s">
        <v>50</v>
      </c>
      <c r="F660" s="89" t="s">
        <v>50</v>
      </c>
      <c r="G660" s="89"/>
      <c r="H660" s="89"/>
      <c r="I660" s="89"/>
      <c r="J660" s="89">
        <v>1899</v>
      </c>
      <c r="K660" s="89">
        <v>12</v>
      </c>
    </row>
    <row r="661" spans="2:11" x14ac:dyDescent="0.15">
      <c r="B661" s="86">
        <v>658</v>
      </c>
      <c r="C661" s="100"/>
      <c r="D661" s="90"/>
      <c r="E661" s="90" t="s">
        <v>50</v>
      </c>
      <c r="F661" s="90" t="s">
        <v>50</v>
      </c>
      <c r="G661" s="90"/>
      <c r="H661" s="90"/>
      <c r="I661" s="90"/>
      <c r="J661" s="90">
        <v>1899</v>
      </c>
      <c r="K661" s="90">
        <v>12</v>
      </c>
    </row>
    <row r="662" spans="2:11" x14ac:dyDescent="0.15">
      <c r="B662" s="86">
        <v>659</v>
      </c>
      <c r="C662" s="99"/>
      <c r="D662" s="89"/>
      <c r="E662" s="89" t="s">
        <v>50</v>
      </c>
      <c r="F662" s="89" t="s">
        <v>50</v>
      </c>
      <c r="G662" s="89"/>
      <c r="H662" s="89"/>
      <c r="I662" s="89"/>
      <c r="J662" s="89">
        <v>1899</v>
      </c>
      <c r="K662" s="89">
        <v>12</v>
      </c>
    </row>
    <row r="663" spans="2:11" x14ac:dyDescent="0.15">
      <c r="B663" s="86">
        <v>660</v>
      </c>
      <c r="C663" s="100"/>
      <c r="D663" s="90"/>
      <c r="E663" s="90" t="s">
        <v>50</v>
      </c>
      <c r="F663" s="90" t="s">
        <v>50</v>
      </c>
      <c r="G663" s="90"/>
      <c r="H663" s="90"/>
      <c r="I663" s="90"/>
      <c r="J663" s="90">
        <v>1899</v>
      </c>
      <c r="K663" s="90">
        <v>12</v>
      </c>
    </row>
    <row r="664" spans="2:11" x14ac:dyDescent="0.15">
      <c r="B664" s="86">
        <v>661</v>
      </c>
      <c r="C664" s="99"/>
      <c r="D664" s="89"/>
      <c r="E664" s="89" t="s">
        <v>50</v>
      </c>
      <c r="F664" s="89" t="s">
        <v>50</v>
      </c>
      <c r="G664" s="89"/>
      <c r="H664" s="89"/>
      <c r="I664" s="89"/>
      <c r="J664" s="89">
        <v>1899</v>
      </c>
      <c r="K664" s="89">
        <v>12</v>
      </c>
    </row>
    <row r="665" spans="2:11" x14ac:dyDescent="0.15">
      <c r="B665" s="86">
        <v>662</v>
      </c>
      <c r="C665" s="100"/>
      <c r="D665" s="90"/>
      <c r="E665" s="90" t="s">
        <v>50</v>
      </c>
      <c r="F665" s="90" t="s">
        <v>50</v>
      </c>
      <c r="G665" s="90"/>
      <c r="H665" s="90"/>
      <c r="I665" s="90"/>
      <c r="J665" s="90">
        <v>1899</v>
      </c>
      <c r="K665" s="90">
        <v>12</v>
      </c>
    </row>
    <row r="666" spans="2:11" x14ac:dyDescent="0.15">
      <c r="B666" s="86">
        <v>663</v>
      </c>
      <c r="C666" s="99"/>
      <c r="D666" s="89"/>
      <c r="E666" s="89" t="s">
        <v>50</v>
      </c>
      <c r="F666" s="89" t="s">
        <v>50</v>
      </c>
      <c r="G666" s="89"/>
      <c r="H666" s="89"/>
      <c r="I666" s="89"/>
      <c r="J666" s="89">
        <v>1899</v>
      </c>
      <c r="K666" s="89">
        <v>12</v>
      </c>
    </row>
    <row r="667" spans="2:11" x14ac:dyDescent="0.15">
      <c r="B667" s="86">
        <v>664</v>
      </c>
      <c r="C667" s="100"/>
      <c r="D667" s="90"/>
      <c r="E667" s="90" t="s">
        <v>50</v>
      </c>
      <c r="F667" s="90" t="s">
        <v>50</v>
      </c>
      <c r="G667" s="90"/>
      <c r="H667" s="90"/>
      <c r="I667" s="90"/>
      <c r="J667" s="90">
        <v>1899</v>
      </c>
      <c r="K667" s="90">
        <v>12</v>
      </c>
    </row>
    <row r="668" spans="2:11" x14ac:dyDescent="0.15">
      <c r="B668" s="86">
        <v>665</v>
      </c>
      <c r="C668" s="99"/>
      <c r="D668" s="89"/>
      <c r="E668" s="89" t="s">
        <v>50</v>
      </c>
      <c r="F668" s="89" t="s">
        <v>50</v>
      </c>
      <c r="G668" s="89"/>
      <c r="H668" s="89"/>
      <c r="I668" s="89"/>
      <c r="J668" s="89">
        <v>1899</v>
      </c>
      <c r="K668" s="89">
        <v>12</v>
      </c>
    </row>
    <row r="669" spans="2:11" x14ac:dyDescent="0.15">
      <c r="B669" s="86">
        <v>666</v>
      </c>
      <c r="C669" s="100"/>
      <c r="D669" s="90"/>
      <c r="E669" s="90" t="s">
        <v>50</v>
      </c>
      <c r="F669" s="90" t="s">
        <v>50</v>
      </c>
      <c r="G669" s="90"/>
      <c r="H669" s="90"/>
      <c r="I669" s="90"/>
      <c r="J669" s="90">
        <v>1899</v>
      </c>
      <c r="K669" s="90">
        <v>12</v>
      </c>
    </row>
    <row r="670" spans="2:11" x14ac:dyDescent="0.15">
      <c r="B670" s="86">
        <v>667</v>
      </c>
      <c r="C670" s="99"/>
      <c r="D670" s="89"/>
      <c r="E670" s="89" t="s">
        <v>50</v>
      </c>
      <c r="F670" s="89" t="s">
        <v>50</v>
      </c>
      <c r="G670" s="89"/>
      <c r="H670" s="89"/>
      <c r="I670" s="89"/>
      <c r="J670" s="89">
        <v>1899</v>
      </c>
      <c r="K670" s="89">
        <v>12</v>
      </c>
    </row>
    <row r="671" spans="2:11" x14ac:dyDescent="0.15">
      <c r="B671" s="86">
        <v>668</v>
      </c>
      <c r="C671" s="100"/>
      <c r="D671" s="90"/>
      <c r="E671" s="90" t="s">
        <v>50</v>
      </c>
      <c r="F671" s="90" t="s">
        <v>50</v>
      </c>
      <c r="G671" s="90"/>
      <c r="H671" s="90"/>
      <c r="I671" s="90"/>
      <c r="J671" s="90">
        <v>1899</v>
      </c>
      <c r="K671" s="90">
        <v>12</v>
      </c>
    </row>
    <row r="672" spans="2:11" x14ac:dyDescent="0.15">
      <c r="B672" s="86">
        <v>669</v>
      </c>
      <c r="C672" s="99"/>
      <c r="D672" s="89"/>
      <c r="E672" s="89" t="s">
        <v>50</v>
      </c>
      <c r="F672" s="89" t="s">
        <v>50</v>
      </c>
      <c r="G672" s="89"/>
      <c r="H672" s="89"/>
      <c r="I672" s="89"/>
      <c r="J672" s="89">
        <v>1899</v>
      </c>
      <c r="K672" s="89">
        <v>12</v>
      </c>
    </row>
    <row r="673" spans="2:11" x14ac:dyDescent="0.15">
      <c r="B673" s="86">
        <v>670</v>
      </c>
      <c r="C673" s="100"/>
      <c r="D673" s="90"/>
      <c r="E673" s="90" t="s">
        <v>50</v>
      </c>
      <c r="F673" s="90" t="s">
        <v>50</v>
      </c>
      <c r="G673" s="90"/>
      <c r="H673" s="90"/>
      <c r="I673" s="90"/>
      <c r="J673" s="90">
        <v>1899</v>
      </c>
      <c r="K673" s="90">
        <v>12</v>
      </c>
    </row>
    <row r="674" spans="2:11" x14ac:dyDescent="0.15">
      <c r="B674" s="86">
        <v>671</v>
      </c>
      <c r="C674" s="99"/>
      <c r="D674" s="89"/>
      <c r="E674" s="89" t="s">
        <v>50</v>
      </c>
      <c r="F674" s="89" t="s">
        <v>50</v>
      </c>
      <c r="G674" s="89"/>
      <c r="H674" s="89"/>
      <c r="I674" s="89"/>
      <c r="J674" s="89">
        <v>1899</v>
      </c>
      <c r="K674" s="89">
        <v>12</v>
      </c>
    </row>
    <row r="675" spans="2:11" x14ac:dyDescent="0.15">
      <c r="B675" s="86">
        <v>672</v>
      </c>
      <c r="C675" s="100"/>
      <c r="D675" s="90"/>
      <c r="E675" s="90" t="s">
        <v>50</v>
      </c>
      <c r="F675" s="90" t="s">
        <v>50</v>
      </c>
      <c r="G675" s="90"/>
      <c r="H675" s="90"/>
      <c r="I675" s="90"/>
      <c r="J675" s="90">
        <v>1899</v>
      </c>
      <c r="K675" s="90">
        <v>12</v>
      </c>
    </row>
    <row r="676" spans="2:11" x14ac:dyDescent="0.15">
      <c r="B676" s="86">
        <v>673</v>
      </c>
      <c r="C676" s="99"/>
      <c r="D676" s="89"/>
      <c r="E676" s="89" t="s">
        <v>50</v>
      </c>
      <c r="F676" s="89" t="s">
        <v>50</v>
      </c>
      <c r="G676" s="89"/>
      <c r="H676" s="89"/>
      <c r="I676" s="89"/>
      <c r="J676" s="89">
        <v>1899</v>
      </c>
      <c r="K676" s="89">
        <v>12</v>
      </c>
    </row>
    <row r="677" spans="2:11" x14ac:dyDescent="0.15">
      <c r="B677" s="86">
        <v>674</v>
      </c>
      <c r="C677" s="100"/>
      <c r="D677" s="90"/>
      <c r="E677" s="90" t="s">
        <v>50</v>
      </c>
      <c r="F677" s="90" t="s">
        <v>50</v>
      </c>
      <c r="G677" s="90"/>
      <c r="H677" s="90"/>
      <c r="I677" s="90"/>
      <c r="J677" s="90">
        <v>1899</v>
      </c>
      <c r="K677" s="90">
        <v>12</v>
      </c>
    </row>
    <row r="678" spans="2:11" x14ac:dyDescent="0.15">
      <c r="B678" s="86">
        <v>675</v>
      </c>
      <c r="C678" s="99"/>
      <c r="D678" s="89"/>
      <c r="E678" s="89" t="s">
        <v>50</v>
      </c>
      <c r="F678" s="89" t="s">
        <v>50</v>
      </c>
      <c r="G678" s="89"/>
      <c r="H678" s="89"/>
      <c r="I678" s="89"/>
      <c r="J678" s="89">
        <v>1899</v>
      </c>
      <c r="K678" s="89">
        <v>12</v>
      </c>
    </row>
    <row r="679" spans="2:11" x14ac:dyDescent="0.15">
      <c r="B679" s="86">
        <v>676</v>
      </c>
      <c r="C679" s="100"/>
      <c r="D679" s="90"/>
      <c r="E679" s="90" t="s">
        <v>50</v>
      </c>
      <c r="F679" s="90" t="s">
        <v>50</v>
      </c>
      <c r="G679" s="90"/>
      <c r="H679" s="90"/>
      <c r="I679" s="90"/>
      <c r="J679" s="90">
        <v>1899</v>
      </c>
      <c r="K679" s="90">
        <v>12</v>
      </c>
    </row>
    <row r="680" spans="2:11" x14ac:dyDescent="0.15">
      <c r="B680" s="86">
        <v>677</v>
      </c>
      <c r="C680" s="99"/>
      <c r="D680" s="89"/>
      <c r="E680" s="89" t="s">
        <v>50</v>
      </c>
      <c r="F680" s="89" t="s">
        <v>50</v>
      </c>
      <c r="G680" s="89"/>
      <c r="H680" s="89"/>
      <c r="I680" s="89"/>
      <c r="J680" s="89">
        <v>1899</v>
      </c>
      <c r="K680" s="89">
        <v>12</v>
      </c>
    </row>
    <row r="681" spans="2:11" x14ac:dyDescent="0.15">
      <c r="B681" s="86">
        <v>678</v>
      </c>
      <c r="C681" s="100"/>
      <c r="D681" s="90"/>
      <c r="E681" s="90" t="s">
        <v>50</v>
      </c>
      <c r="F681" s="90" t="s">
        <v>50</v>
      </c>
      <c r="G681" s="90"/>
      <c r="H681" s="90"/>
      <c r="I681" s="90"/>
      <c r="J681" s="90">
        <v>1899</v>
      </c>
      <c r="K681" s="90">
        <v>12</v>
      </c>
    </row>
    <row r="682" spans="2:11" x14ac:dyDescent="0.15">
      <c r="B682" s="86">
        <v>679</v>
      </c>
      <c r="C682" s="99"/>
      <c r="D682" s="89"/>
      <c r="E682" s="89" t="s">
        <v>50</v>
      </c>
      <c r="F682" s="89" t="s">
        <v>50</v>
      </c>
      <c r="G682" s="89"/>
      <c r="H682" s="89"/>
      <c r="I682" s="89"/>
      <c r="J682" s="89">
        <v>1899</v>
      </c>
      <c r="K682" s="89">
        <v>12</v>
      </c>
    </row>
    <row r="683" spans="2:11" x14ac:dyDescent="0.15">
      <c r="B683" s="86">
        <v>680</v>
      </c>
      <c r="C683" s="100"/>
      <c r="D683" s="90"/>
      <c r="E683" s="90" t="s">
        <v>50</v>
      </c>
      <c r="F683" s="90" t="s">
        <v>50</v>
      </c>
      <c r="G683" s="90"/>
      <c r="H683" s="90"/>
      <c r="I683" s="90"/>
      <c r="J683" s="90">
        <v>1899</v>
      </c>
      <c r="K683" s="90">
        <v>12</v>
      </c>
    </row>
    <row r="684" spans="2:11" x14ac:dyDescent="0.15">
      <c r="B684" s="86">
        <v>681</v>
      </c>
      <c r="C684" s="99"/>
      <c r="D684" s="89"/>
      <c r="E684" s="89" t="s">
        <v>50</v>
      </c>
      <c r="F684" s="89" t="s">
        <v>50</v>
      </c>
      <c r="G684" s="89"/>
      <c r="H684" s="89"/>
      <c r="I684" s="89"/>
      <c r="J684" s="89">
        <v>1899</v>
      </c>
      <c r="K684" s="89">
        <v>12</v>
      </c>
    </row>
    <row r="685" spans="2:11" x14ac:dyDescent="0.15">
      <c r="B685" s="86">
        <v>682</v>
      </c>
      <c r="C685" s="100"/>
      <c r="D685" s="90"/>
      <c r="E685" s="90" t="s">
        <v>50</v>
      </c>
      <c r="F685" s="90" t="s">
        <v>50</v>
      </c>
      <c r="G685" s="90"/>
      <c r="H685" s="90"/>
      <c r="I685" s="90"/>
      <c r="J685" s="90">
        <v>1899</v>
      </c>
      <c r="K685" s="90">
        <v>12</v>
      </c>
    </row>
    <row r="686" spans="2:11" x14ac:dyDescent="0.15">
      <c r="B686" s="86">
        <v>683</v>
      </c>
      <c r="C686" s="99"/>
      <c r="D686" s="89"/>
      <c r="E686" s="89" t="s">
        <v>50</v>
      </c>
      <c r="F686" s="89" t="s">
        <v>50</v>
      </c>
      <c r="G686" s="89"/>
      <c r="H686" s="89"/>
      <c r="I686" s="89"/>
      <c r="J686" s="89">
        <v>1899</v>
      </c>
      <c r="K686" s="89">
        <v>12</v>
      </c>
    </row>
    <row r="687" spans="2:11" x14ac:dyDescent="0.15">
      <c r="B687" s="86">
        <v>684</v>
      </c>
      <c r="C687" s="100"/>
      <c r="D687" s="90"/>
      <c r="E687" s="90" t="s">
        <v>50</v>
      </c>
      <c r="F687" s="90" t="s">
        <v>50</v>
      </c>
      <c r="G687" s="90"/>
      <c r="H687" s="90"/>
      <c r="I687" s="90"/>
      <c r="J687" s="90">
        <v>1899</v>
      </c>
      <c r="K687" s="90">
        <v>12</v>
      </c>
    </row>
    <row r="688" spans="2:11" x14ac:dyDescent="0.15">
      <c r="B688" s="86">
        <v>685</v>
      </c>
      <c r="C688" s="99"/>
      <c r="D688" s="89"/>
      <c r="E688" s="89" t="s">
        <v>50</v>
      </c>
      <c r="F688" s="89" t="s">
        <v>50</v>
      </c>
      <c r="G688" s="89"/>
      <c r="H688" s="89"/>
      <c r="I688" s="89"/>
      <c r="J688" s="89">
        <v>1899</v>
      </c>
      <c r="K688" s="89">
        <v>12</v>
      </c>
    </row>
    <row r="689" spans="2:11" x14ac:dyDescent="0.15">
      <c r="B689" s="86">
        <v>686</v>
      </c>
      <c r="C689" s="100"/>
      <c r="D689" s="90"/>
      <c r="E689" s="90" t="s">
        <v>50</v>
      </c>
      <c r="F689" s="90" t="s">
        <v>50</v>
      </c>
      <c r="G689" s="90"/>
      <c r="H689" s="90"/>
      <c r="I689" s="90"/>
      <c r="J689" s="90">
        <v>1899</v>
      </c>
      <c r="K689" s="90">
        <v>12</v>
      </c>
    </row>
    <row r="690" spans="2:11" x14ac:dyDescent="0.15">
      <c r="B690" s="86">
        <v>687</v>
      </c>
      <c r="C690" s="99"/>
      <c r="D690" s="89"/>
      <c r="E690" s="89" t="s">
        <v>50</v>
      </c>
      <c r="F690" s="89" t="s">
        <v>50</v>
      </c>
      <c r="G690" s="89"/>
      <c r="H690" s="89"/>
      <c r="I690" s="89"/>
      <c r="J690" s="89">
        <v>1899</v>
      </c>
      <c r="K690" s="89">
        <v>12</v>
      </c>
    </row>
    <row r="691" spans="2:11" x14ac:dyDescent="0.15">
      <c r="B691" s="86">
        <v>688</v>
      </c>
      <c r="C691" s="100"/>
      <c r="D691" s="90"/>
      <c r="E691" s="90" t="s">
        <v>50</v>
      </c>
      <c r="F691" s="90" t="s">
        <v>50</v>
      </c>
      <c r="G691" s="90"/>
      <c r="H691" s="90"/>
      <c r="I691" s="90"/>
      <c r="J691" s="90">
        <v>1899</v>
      </c>
      <c r="K691" s="90">
        <v>12</v>
      </c>
    </row>
    <row r="692" spans="2:11" x14ac:dyDescent="0.15">
      <c r="B692" s="86">
        <v>689</v>
      </c>
      <c r="C692" s="99"/>
      <c r="D692" s="89"/>
      <c r="E692" s="89" t="s">
        <v>50</v>
      </c>
      <c r="F692" s="89" t="s">
        <v>50</v>
      </c>
      <c r="G692" s="89"/>
      <c r="H692" s="89"/>
      <c r="I692" s="89"/>
      <c r="J692" s="89">
        <v>1899</v>
      </c>
      <c r="K692" s="89">
        <v>12</v>
      </c>
    </row>
    <row r="693" spans="2:11" x14ac:dyDescent="0.15">
      <c r="B693" s="86">
        <v>690</v>
      </c>
      <c r="C693" s="100"/>
      <c r="D693" s="90"/>
      <c r="E693" s="90" t="s">
        <v>50</v>
      </c>
      <c r="F693" s="90" t="s">
        <v>50</v>
      </c>
      <c r="G693" s="90"/>
      <c r="H693" s="90"/>
      <c r="I693" s="90"/>
      <c r="J693" s="90">
        <v>1899</v>
      </c>
      <c r="K693" s="90">
        <v>12</v>
      </c>
    </row>
    <row r="694" spans="2:11" x14ac:dyDescent="0.15">
      <c r="B694" s="86">
        <v>691</v>
      </c>
      <c r="C694" s="99"/>
      <c r="D694" s="89"/>
      <c r="E694" s="89" t="s">
        <v>50</v>
      </c>
      <c r="F694" s="89" t="s">
        <v>50</v>
      </c>
      <c r="G694" s="89"/>
      <c r="H694" s="89"/>
      <c r="I694" s="89"/>
      <c r="J694" s="89">
        <v>1899</v>
      </c>
      <c r="K694" s="89">
        <v>12</v>
      </c>
    </row>
    <row r="695" spans="2:11" x14ac:dyDescent="0.15">
      <c r="B695" s="86">
        <v>692</v>
      </c>
      <c r="C695" s="100"/>
      <c r="D695" s="90"/>
      <c r="E695" s="90" t="s">
        <v>50</v>
      </c>
      <c r="F695" s="90" t="s">
        <v>50</v>
      </c>
      <c r="G695" s="90"/>
      <c r="H695" s="90"/>
      <c r="I695" s="90"/>
      <c r="J695" s="90">
        <v>1899</v>
      </c>
      <c r="K695" s="90">
        <v>12</v>
      </c>
    </row>
    <row r="696" spans="2:11" x14ac:dyDescent="0.15">
      <c r="B696" s="86">
        <v>693</v>
      </c>
      <c r="C696" s="99"/>
      <c r="D696" s="89"/>
      <c r="E696" s="89" t="s">
        <v>50</v>
      </c>
      <c r="F696" s="89" t="s">
        <v>50</v>
      </c>
      <c r="G696" s="89"/>
      <c r="H696" s="89"/>
      <c r="I696" s="89"/>
      <c r="J696" s="89">
        <v>1899</v>
      </c>
      <c r="K696" s="89">
        <v>12</v>
      </c>
    </row>
    <row r="697" spans="2:11" x14ac:dyDescent="0.15">
      <c r="B697" s="86">
        <v>694</v>
      </c>
      <c r="C697" s="100"/>
      <c r="D697" s="90"/>
      <c r="E697" s="90" t="s">
        <v>50</v>
      </c>
      <c r="F697" s="90" t="s">
        <v>50</v>
      </c>
      <c r="G697" s="90"/>
      <c r="H697" s="90"/>
      <c r="I697" s="90"/>
      <c r="J697" s="90">
        <v>1899</v>
      </c>
      <c r="K697" s="90">
        <v>12</v>
      </c>
    </row>
    <row r="698" spans="2:11" x14ac:dyDescent="0.15">
      <c r="B698" s="86">
        <v>695</v>
      </c>
      <c r="C698" s="99"/>
      <c r="D698" s="89"/>
      <c r="E698" s="89" t="s">
        <v>50</v>
      </c>
      <c r="F698" s="89" t="s">
        <v>50</v>
      </c>
      <c r="G698" s="89"/>
      <c r="H698" s="89"/>
      <c r="I698" s="89"/>
      <c r="J698" s="89">
        <v>1899</v>
      </c>
      <c r="K698" s="89">
        <v>12</v>
      </c>
    </row>
    <row r="699" spans="2:11" x14ac:dyDescent="0.15">
      <c r="B699" s="86">
        <v>696</v>
      </c>
      <c r="C699" s="100"/>
      <c r="D699" s="90"/>
      <c r="E699" s="90" t="s">
        <v>50</v>
      </c>
      <c r="F699" s="90" t="s">
        <v>50</v>
      </c>
      <c r="G699" s="90"/>
      <c r="H699" s="90"/>
      <c r="I699" s="90"/>
      <c r="J699" s="90">
        <v>1899</v>
      </c>
      <c r="K699" s="90">
        <v>12</v>
      </c>
    </row>
    <row r="700" spans="2:11" x14ac:dyDescent="0.15">
      <c r="B700" s="86">
        <v>697</v>
      </c>
      <c r="C700" s="99"/>
      <c r="D700" s="89"/>
      <c r="E700" s="89" t="s">
        <v>50</v>
      </c>
      <c r="F700" s="89" t="s">
        <v>50</v>
      </c>
      <c r="G700" s="89"/>
      <c r="H700" s="89"/>
      <c r="I700" s="89"/>
      <c r="J700" s="89">
        <v>1899</v>
      </c>
      <c r="K700" s="89">
        <v>12</v>
      </c>
    </row>
    <row r="701" spans="2:11" x14ac:dyDescent="0.15">
      <c r="B701" s="86">
        <v>698</v>
      </c>
      <c r="C701" s="100"/>
      <c r="D701" s="90"/>
      <c r="E701" s="90" t="s">
        <v>50</v>
      </c>
      <c r="F701" s="90" t="s">
        <v>50</v>
      </c>
      <c r="G701" s="90"/>
      <c r="H701" s="90"/>
      <c r="I701" s="90"/>
      <c r="J701" s="90">
        <v>1899</v>
      </c>
      <c r="K701" s="90">
        <v>12</v>
      </c>
    </row>
    <row r="702" spans="2:11" x14ac:dyDescent="0.15">
      <c r="B702" s="86">
        <v>699</v>
      </c>
      <c r="C702" s="99"/>
      <c r="D702" s="89"/>
      <c r="E702" s="89" t="s">
        <v>50</v>
      </c>
      <c r="F702" s="89" t="s">
        <v>50</v>
      </c>
      <c r="G702" s="89"/>
      <c r="H702" s="89"/>
      <c r="I702" s="89"/>
      <c r="J702" s="89">
        <v>1899</v>
      </c>
      <c r="K702" s="89">
        <v>12</v>
      </c>
    </row>
    <row r="703" spans="2:11" x14ac:dyDescent="0.15">
      <c r="B703" s="86">
        <v>700</v>
      </c>
      <c r="C703" s="100"/>
      <c r="D703" s="90"/>
      <c r="E703" s="90" t="s">
        <v>50</v>
      </c>
      <c r="F703" s="90" t="s">
        <v>50</v>
      </c>
      <c r="G703" s="90"/>
      <c r="H703" s="90"/>
      <c r="I703" s="90"/>
      <c r="J703" s="90">
        <v>1899</v>
      </c>
      <c r="K703" s="90">
        <v>12</v>
      </c>
    </row>
    <row r="704" spans="2:11" x14ac:dyDescent="0.15">
      <c r="B704" s="86">
        <v>701</v>
      </c>
      <c r="C704" s="99"/>
      <c r="D704" s="89"/>
      <c r="E704" s="89" t="s">
        <v>50</v>
      </c>
      <c r="F704" s="89" t="s">
        <v>50</v>
      </c>
      <c r="G704" s="89"/>
      <c r="H704" s="89"/>
      <c r="I704" s="89"/>
      <c r="J704" s="89">
        <v>1899</v>
      </c>
      <c r="K704" s="89">
        <v>12</v>
      </c>
    </row>
    <row r="705" spans="2:11" x14ac:dyDescent="0.15">
      <c r="B705" s="86">
        <v>702</v>
      </c>
      <c r="C705" s="100"/>
      <c r="D705" s="90"/>
      <c r="E705" s="90" t="s">
        <v>50</v>
      </c>
      <c r="F705" s="90" t="s">
        <v>50</v>
      </c>
      <c r="G705" s="90"/>
      <c r="H705" s="90"/>
      <c r="I705" s="90"/>
      <c r="J705" s="90">
        <v>1899</v>
      </c>
      <c r="K705" s="90">
        <v>12</v>
      </c>
    </row>
    <row r="706" spans="2:11" x14ac:dyDescent="0.15">
      <c r="B706" s="86">
        <v>703</v>
      </c>
      <c r="C706" s="99"/>
      <c r="D706" s="89"/>
      <c r="E706" s="89" t="s">
        <v>50</v>
      </c>
      <c r="F706" s="89" t="s">
        <v>50</v>
      </c>
      <c r="G706" s="89"/>
      <c r="H706" s="89"/>
      <c r="I706" s="89"/>
      <c r="J706" s="89">
        <v>1899</v>
      </c>
      <c r="K706" s="89">
        <v>12</v>
      </c>
    </row>
    <row r="707" spans="2:11" x14ac:dyDescent="0.15">
      <c r="B707" s="86">
        <v>704</v>
      </c>
      <c r="C707" s="100"/>
      <c r="D707" s="90"/>
      <c r="E707" s="90" t="s">
        <v>50</v>
      </c>
      <c r="F707" s="90" t="s">
        <v>50</v>
      </c>
      <c r="G707" s="90"/>
      <c r="H707" s="90"/>
      <c r="I707" s="90"/>
      <c r="J707" s="90">
        <v>1899</v>
      </c>
      <c r="K707" s="90">
        <v>12</v>
      </c>
    </row>
    <row r="708" spans="2:11" x14ac:dyDescent="0.15">
      <c r="B708" s="86">
        <v>705</v>
      </c>
      <c r="C708" s="99"/>
      <c r="D708" s="89"/>
      <c r="E708" s="89" t="s">
        <v>50</v>
      </c>
      <c r="F708" s="89" t="s">
        <v>50</v>
      </c>
      <c r="G708" s="89"/>
      <c r="H708" s="89"/>
      <c r="I708" s="89"/>
      <c r="J708" s="89">
        <v>1899</v>
      </c>
      <c r="K708" s="89">
        <v>12</v>
      </c>
    </row>
    <row r="709" spans="2:11" x14ac:dyDescent="0.15">
      <c r="B709" s="86">
        <v>706</v>
      </c>
      <c r="C709" s="100"/>
      <c r="D709" s="90"/>
      <c r="E709" s="90" t="s">
        <v>50</v>
      </c>
      <c r="F709" s="90" t="s">
        <v>50</v>
      </c>
      <c r="G709" s="90"/>
      <c r="H709" s="90"/>
      <c r="I709" s="90"/>
      <c r="J709" s="90">
        <v>1899</v>
      </c>
      <c r="K709" s="90">
        <v>12</v>
      </c>
    </row>
    <row r="710" spans="2:11" x14ac:dyDescent="0.15">
      <c r="B710" s="86">
        <v>707</v>
      </c>
      <c r="C710" s="99"/>
      <c r="D710" s="89"/>
      <c r="E710" s="89" t="s">
        <v>50</v>
      </c>
      <c r="F710" s="89" t="s">
        <v>50</v>
      </c>
      <c r="G710" s="89"/>
      <c r="H710" s="89"/>
      <c r="I710" s="89"/>
      <c r="J710" s="89">
        <v>1899</v>
      </c>
      <c r="K710" s="89">
        <v>12</v>
      </c>
    </row>
    <row r="711" spans="2:11" x14ac:dyDescent="0.15">
      <c r="B711" s="86">
        <v>708</v>
      </c>
      <c r="C711" s="100"/>
      <c r="D711" s="90"/>
      <c r="E711" s="90" t="s">
        <v>50</v>
      </c>
      <c r="F711" s="90" t="s">
        <v>50</v>
      </c>
      <c r="G711" s="90"/>
      <c r="H711" s="90"/>
      <c r="I711" s="90"/>
      <c r="J711" s="90">
        <v>1899</v>
      </c>
      <c r="K711" s="90">
        <v>12</v>
      </c>
    </row>
    <row r="712" spans="2:11" x14ac:dyDescent="0.15">
      <c r="B712" s="86">
        <v>709</v>
      </c>
      <c r="C712" s="99"/>
      <c r="D712" s="89"/>
      <c r="E712" s="89" t="s">
        <v>50</v>
      </c>
      <c r="F712" s="89" t="s">
        <v>50</v>
      </c>
      <c r="G712" s="89"/>
      <c r="H712" s="89"/>
      <c r="I712" s="89"/>
      <c r="J712" s="89">
        <v>1899</v>
      </c>
      <c r="K712" s="89">
        <v>12</v>
      </c>
    </row>
    <row r="713" spans="2:11" x14ac:dyDescent="0.15">
      <c r="B713" s="86">
        <v>710</v>
      </c>
      <c r="C713" s="100"/>
      <c r="D713" s="90"/>
      <c r="E713" s="90" t="s">
        <v>50</v>
      </c>
      <c r="F713" s="90" t="s">
        <v>50</v>
      </c>
      <c r="G713" s="90"/>
      <c r="H713" s="90"/>
      <c r="I713" s="90"/>
      <c r="J713" s="90">
        <v>1899</v>
      </c>
      <c r="K713" s="90">
        <v>12</v>
      </c>
    </row>
    <row r="714" spans="2:11" x14ac:dyDescent="0.15">
      <c r="B714" s="86">
        <v>711</v>
      </c>
      <c r="C714" s="99"/>
      <c r="D714" s="89"/>
      <c r="E714" s="89" t="s">
        <v>50</v>
      </c>
      <c r="F714" s="89" t="s">
        <v>50</v>
      </c>
      <c r="G714" s="89"/>
      <c r="H714" s="89"/>
      <c r="I714" s="89"/>
      <c r="J714" s="89">
        <v>1899</v>
      </c>
      <c r="K714" s="89">
        <v>12</v>
      </c>
    </row>
    <row r="715" spans="2:11" x14ac:dyDescent="0.15">
      <c r="B715" s="86">
        <v>712</v>
      </c>
      <c r="C715" s="100"/>
      <c r="D715" s="90"/>
      <c r="E715" s="90" t="s">
        <v>50</v>
      </c>
      <c r="F715" s="90" t="s">
        <v>50</v>
      </c>
      <c r="G715" s="90"/>
      <c r="H715" s="90"/>
      <c r="I715" s="90"/>
      <c r="J715" s="90">
        <v>1899</v>
      </c>
      <c r="K715" s="90">
        <v>12</v>
      </c>
    </row>
    <row r="716" spans="2:11" x14ac:dyDescent="0.15">
      <c r="B716" s="86">
        <v>713</v>
      </c>
      <c r="C716" s="99"/>
      <c r="D716" s="89"/>
      <c r="E716" s="89" t="s">
        <v>50</v>
      </c>
      <c r="F716" s="89" t="s">
        <v>50</v>
      </c>
      <c r="G716" s="89"/>
      <c r="H716" s="89"/>
      <c r="I716" s="89"/>
      <c r="J716" s="89">
        <v>1899</v>
      </c>
      <c r="K716" s="89">
        <v>12</v>
      </c>
    </row>
    <row r="717" spans="2:11" x14ac:dyDescent="0.15">
      <c r="B717" s="86">
        <v>714</v>
      </c>
      <c r="C717" s="100"/>
      <c r="D717" s="90"/>
      <c r="E717" s="90" t="s">
        <v>50</v>
      </c>
      <c r="F717" s="90" t="s">
        <v>50</v>
      </c>
      <c r="G717" s="90"/>
      <c r="H717" s="90"/>
      <c r="I717" s="90"/>
      <c r="J717" s="90">
        <v>1899</v>
      </c>
      <c r="K717" s="90">
        <v>12</v>
      </c>
    </row>
    <row r="718" spans="2:11" x14ac:dyDescent="0.15">
      <c r="B718" s="86">
        <v>715</v>
      </c>
      <c r="C718" s="99"/>
      <c r="D718" s="89"/>
      <c r="E718" s="89" t="s">
        <v>50</v>
      </c>
      <c r="F718" s="89" t="s">
        <v>50</v>
      </c>
      <c r="G718" s="89"/>
      <c r="H718" s="89"/>
      <c r="I718" s="89"/>
      <c r="J718" s="89">
        <v>1899</v>
      </c>
      <c r="K718" s="89">
        <v>12</v>
      </c>
    </row>
    <row r="719" spans="2:11" x14ac:dyDescent="0.15">
      <c r="B719" s="86">
        <v>716</v>
      </c>
      <c r="C719" s="100"/>
      <c r="D719" s="90"/>
      <c r="E719" s="90" t="s">
        <v>50</v>
      </c>
      <c r="F719" s="90" t="s">
        <v>50</v>
      </c>
      <c r="G719" s="90"/>
      <c r="H719" s="90"/>
      <c r="I719" s="90"/>
      <c r="J719" s="90">
        <v>1899</v>
      </c>
      <c r="K719" s="90">
        <v>12</v>
      </c>
    </row>
    <row r="720" spans="2:11" x14ac:dyDescent="0.15">
      <c r="B720" s="86">
        <v>717</v>
      </c>
      <c r="C720" s="99"/>
      <c r="D720" s="89"/>
      <c r="E720" s="89" t="s">
        <v>50</v>
      </c>
      <c r="F720" s="89" t="s">
        <v>50</v>
      </c>
      <c r="G720" s="89"/>
      <c r="H720" s="89"/>
      <c r="I720" s="89"/>
      <c r="J720" s="89">
        <v>1899</v>
      </c>
      <c r="K720" s="89">
        <v>12</v>
      </c>
    </row>
    <row r="721" spans="2:11" x14ac:dyDescent="0.15">
      <c r="B721" s="86">
        <v>718</v>
      </c>
      <c r="C721" s="100"/>
      <c r="D721" s="90"/>
      <c r="E721" s="90" t="s">
        <v>50</v>
      </c>
      <c r="F721" s="90" t="s">
        <v>50</v>
      </c>
      <c r="G721" s="90"/>
      <c r="H721" s="90"/>
      <c r="I721" s="90"/>
      <c r="J721" s="90">
        <v>1899</v>
      </c>
      <c r="K721" s="90">
        <v>12</v>
      </c>
    </row>
    <row r="722" spans="2:11" x14ac:dyDescent="0.15">
      <c r="B722" s="86">
        <v>719</v>
      </c>
      <c r="C722" s="99"/>
      <c r="D722" s="89"/>
      <c r="E722" s="89" t="s">
        <v>50</v>
      </c>
      <c r="F722" s="89" t="s">
        <v>50</v>
      </c>
      <c r="G722" s="89"/>
      <c r="H722" s="89"/>
      <c r="I722" s="89"/>
      <c r="J722" s="89">
        <v>1899</v>
      </c>
      <c r="K722" s="89">
        <v>12</v>
      </c>
    </row>
    <row r="723" spans="2:11" x14ac:dyDescent="0.15">
      <c r="B723" s="86">
        <v>720</v>
      </c>
      <c r="C723" s="100"/>
      <c r="D723" s="90"/>
      <c r="E723" s="90" t="s">
        <v>50</v>
      </c>
      <c r="F723" s="90" t="s">
        <v>50</v>
      </c>
      <c r="G723" s="90"/>
      <c r="H723" s="90"/>
      <c r="I723" s="90"/>
      <c r="J723" s="90">
        <v>1899</v>
      </c>
      <c r="K723" s="90">
        <v>12</v>
      </c>
    </row>
    <row r="724" spans="2:11" x14ac:dyDescent="0.15">
      <c r="B724" s="86">
        <v>721</v>
      </c>
      <c r="C724" s="99"/>
      <c r="D724" s="89"/>
      <c r="E724" s="89" t="s">
        <v>50</v>
      </c>
      <c r="F724" s="89" t="s">
        <v>50</v>
      </c>
      <c r="G724" s="89"/>
      <c r="H724" s="89"/>
      <c r="I724" s="89"/>
      <c r="J724" s="89">
        <v>1899</v>
      </c>
      <c r="K724" s="89">
        <v>12</v>
      </c>
    </row>
    <row r="725" spans="2:11" x14ac:dyDescent="0.15">
      <c r="B725" s="86">
        <v>722</v>
      </c>
      <c r="C725" s="100"/>
      <c r="D725" s="90"/>
      <c r="E725" s="90" t="s">
        <v>50</v>
      </c>
      <c r="F725" s="90" t="s">
        <v>50</v>
      </c>
      <c r="G725" s="90"/>
      <c r="H725" s="90"/>
      <c r="I725" s="90"/>
      <c r="J725" s="90">
        <v>1899</v>
      </c>
      <c r="K725" s="90">
        <v>12</v>
      </c>
    </row>
    <row r="726" spans="2:11" x14ac:dyDescent="0.15">
      <c r="B726" s="86">
        <v>723</v>
      </c>
      <c r="C726" s="99"/>
      <c r="D726" s="89"/>
      <c r="E726" s="89" t="s">
        <v>50</v>
      </c>
      <c r="F726" s="89" t="s">
        <v>50</v>
      </c>
      <c r="G726" s="89"/>
      <c r="H726" s="89"/>
      <c r="I726" s="89"/>
      <c r="J726" s="89">
        <v>1899</v>
      </c>
      <c r="K726" s="89">
        <v>12</v>
      </c>
    </row>
    <row r="727" spans="2:11" x14ac:dyDescent="0.15">
      <c r="B727" s="86">
        <v>724</v>
      </c>
      <c r="C727" s="100"/>
      <c r="D727" s="90"/>
      <c r="E727" s="90" t="s">
        <v>50</v>
      </c>
      <c r="F727" s="90" t="s">
        <v>50</v>
      </c>
      <c r="G727" s="90"/>
      <c r="H727" s="90"/>
      <c r="I727" s="90"/>
      <c r="J727" s="90">
        <v>1899</v>
      </c>
      <c r="K727" s="90">
        <v>12</v>
      </c>
    </row>
    <row r="728" spans="2:11" x14ac:dyDescent="0.15">
      <c r="B728" s="86">
        <v>725</v>
      </c>
      <c r="C728" s="99"/>
      <c r="D728" s="89"/>
      <c r="E728" s="89" t="s">
        <v>50</v>
      </c>
      <c r="F728" s="89" t="s">
        <v>50</v>
      </c>
      <c r="G728" s="89"/>
      <c r="H728" s="89"/>
      <c r="I728" s="89"/>
      <c r="J728" s="89">
        <v>1899</v>
      </c>
      <c r="K728" s="89">
        <v>12</v>
      </c>
    </row>
    <row r="729" spans="2:11" x14ac:dyDescent="0.15">
      <c r="B729" s="86">
        <v>726</v>
      </c>
      <c r="C729" s="100"/>
      <c r="D729" s="90"/>
      <c r="E729" s="90" t="s">
        <v>50</v>
      </c>
      <c r="F729" s="90" t="s">
        <v>50</v>
      </c>
      <c r="G729" s="90"/>
      <c r="H729" s="90"/>
      <c r="I729" s="90"/>
      <c r="J729" s="90">
        <v>1899</v>
      </c>
      <c r="K729" s="90">
        <v>12</v>
      </c>
    </row>
    <row r="730" spans="2:11" x14ac:dyDescent="0.15">
      <c r="B730" s="86">
        <v>727</v>
      </c>
      <c r="C730" s="99"/>
      <c r="D730" s="89"/>
      <c r="E730" s="89" t="s">
        <v>50</v>
      </c>
      <c r="F730" s="89" t="s">
        <v>50</v>
      </c>
      <c r="G730" s="89"/>
      <c r="H730" s="89"/>
      <c r="I730" s="89"/>
      <c r="J730" s="89">
        <v>1899</v>
      </c>
      <c r="K730" s="89">
        <v>12</v>
      </c>
    </row>
    <row r="731" spans="2:11" x14ac:dyDescent="0.15">
      <c r="B731" s="86">
        <v>728</v>
      </c>
      <c r="C731" s="100"/>
      <c r="D731" s="90"/>
      <c r="E731" s="90" t="s">
        <v>50</v>
      </c>
      <c r="F731" s="90" t="s">
        <v>50</v>
      </c>
      <c r="G731" s="90"/>
      <c r="H731" s="90"/>
      <c r="I731" s="90"/>
      <c r="J731" s="90">
        <v>1899</v>
      </c>
      <c r="K731" s="90">
        <v>12</v>
      </c>
    </row>
    <row r="732" spans="2:11" x14ac:dyDescent="0.15">
      <c r="B732" s="86">
        <v>729</v>
      </c>
      <c r="C732" s="99"/>
      <c r="D732" s="89"/>
      <c r="E732" s="89" t="s">
        <v>50</v>
      </c>
      <c r="F732" s="89" t="s">
        <v>50</v>
      </c>
      <c r="G732" s="89"/>
      <c r="H732" s="89"/>
      <c r="I732" s="89"/>
      <c r="J732" s="89">
        <v>1899</v>
      </c>
      <c r="K732" s="89">
        <v>12</v>
      </c>
    </row>
    <row r="733" spans="2:11" x14ac:dyDescent="0.15">
      <c r="B733" s="86">
        <v>730</v>
      </c>
      <c r="C733" s="100"/>
      <c r="D733" s="90"/>
      <c r="E733" s="90" t="s">
        <v>50</v>
      </c>
      <c r="F733" s="90" t="s">
        <v>50</v>
      </c>
      <c r="G733" s="90"/>
      <c r="H733" s="90"/>
      <c r="I733" s="90"/>
      <c r="J733" s="90">
        <v>1899</v>
      </c>
      <c r="K733" s="90">
        <v>12</v>
      </c>
    </row>
    <row r="734" spans="2:11" x14ac:dyDescent="0.15">
      <c r="B734" s="86">
        <v>731</v>
      </c>
      <c r="C734" s="99"/>
      <c r="D734" s="89"/>
      <c r="E734" s="89" t="s">
        <v>50</v>
      </c>
      <c r="F734" s="89" t="s">
        <v>50</v>
      </c>
      <c r="G734" s="89"/>
      <c r="H734" s="89"/>
      <c r="I734" s="89"/>
      <c r="J734" s="89">
        <v>1899</v>
      </c>
      <c r="K734" s="89">
        <v>12</v>
      </c>
    </row>
    <row r="735" spans="2:11" x14ac:dyDescent="0.15">
      <c r="B735" s="86">
        <v>732</v>
      </c>
      <c r="C735" s="100"/>
      <c r="D735" s="90"/>
      <c r="E735" s="90" t="s">
        <v>50</v>
      </c>
      <c r="F735" s="90" t="s">
        <v>50</v>
      </c>
      <c r="G735" s="90"/>
      <c r="H735" s="90"/>
      <c r="I735" s="90"/>
      <c r="J735" s="90">
        <v>1899</v>
      </c>
      <c r="K735" s="90">
        <v>12</v>
      </c>
    </row>
    <row r="736" spans="2:11" x14ac:dyDescent="0.15">
      <c r="B736" s="86">
        <v>733</v>
      </c>
      <c r="C736" s="99"/>
      <c r="D736" s="89"/>
      <c r="E736" s="89" t="s">
        <v>50</v>
      </c>
      <c r="F736" s="89" t="s">
        <v>50</v>
      </c>
      <c r="G736" s="89"/>
      <c r="H736" s="89"/>
      <c r="I736" s="89"/>
      <c r="J736" s="89">
        <v>1899</v>
      </c>
      <c r="K736" s="89">
        <v>12</v>
      </c>
    </row>
    <row r="737" spans="2:11" x14ac:dyDescent="0.15">
      <c r="B737" s="86">
        <v>734</v>
      </c>
      <c r="C737" s="100"/>
      <c r="D737" s="90"/>
      <c r="E737" s="90" t="s">
        <v>50</v>
      </c>
      <c r="F737" s="90" t="s">
        <v>50</v>
      </c>
      <c r="G737" s="90"/>
      <c r="H737" s="90"/>
      <c r="I737" s="90"/>
      <c r="J737" s="90">
        <v>1899</v>
      </c>
      <c r="K737" s="90">
        <v>12</v>
      </c>
    </row>
    <row r="738" spans="2:11" x14ac:dyDescent="0.15">
      <c r="B738" s="86">
        <v>735</v>
      </c>
      <c r="C738" s="99"/>
      <c r="D738" s="89"/>
      <c r="E738" s="89" t="s">
        <v>50</v>
      </c>
      <c r="F738" s="89" t="s">
        <v>50</v>
      </c>
      <c r="G738" s="89"/>
      <c r="H738" s="89"/>
      <c r="I738" s="89"/>
      <c r="J738" s="89">
        <v>1899</v>
      </c>
      <c r="K738" s="89">
        <v>12</v>
      </c>
    </row>
    <row r="739" spans="2:11" x14ac:dyDescent="0.15">
      <c r="B739" s="86">
        <v>736</v>
      </c>
      <c r="C739" s="100"/>
      <c r="D739" s="90"/>
      <c r="E739" s="90" t="s">
        <v>50</v>
      </c>
      <c r="F739" s="90" t="s">
        <v>50</v>
      </c>
      <c r="G739" s="90"/>
      <c r="H739" s="90"/>
      <c r="I739" s="90"/>
      <c r="J739" s="90">
        <v>1899</v>
      </c>
      <c r="K739" s="90">
        <v>12</v>
      </c>
    </row>
    <row r="740" spans="2:11" x14ac:dyDescent="0.15">
      <c r="B740" s="86">
        <v>737</v>
      </c>
      <c r="C740" s="99"/>
      <c r="D740" s="89"/>
      <c r="E740" s="89" t="s">
        <v>50</v>
      </c>
      <c r="F740" s="89" t="s">
        <v>50</v>
      </c>
      <c r="G740" s="89"/>
      <c r="H740" s="89"/>
      <c r="I740" s="89"/>
      <c r="J740" s="89">
        <v>1899</v>
      </c>
      <c r="K740" s="89">
        <v>12</v>
      </c>
    </row>
    <row r="741" spans="2:11" x14ac:dyDescent="0.15">
      <c r="B741" s="86">
        <v>738</v>
      </c>
      <c r="C741" s="100"/>
      <c r="D741" s="90"/>
      <c r="E741" s="90" t="s">
        <v>50</v>
      </c>
      <c r="F741" s="90" t="s">
        <v>50</v>
      </c>
      <c r="G741" s="90"/>
      <c r="H741" s="90"/>
      <c r="I741" s="90"/>
      <c r="J741" s="90">
        <v>1899</v>
      </c>
      <c r="K741" s="90">
        <v>12</v>
      </c>
    </row>
    <row r="742" spans="2:11" x14ac:dyDescent="0.15">
      <c r="B742" s="86">
        <v>739</v>
      </c>
      <c r="C742" s="99"/>
      <c r="D742" s="89"/>
      <c r="E742" s="89" t="s">
        <v>50</v>
      </c>
      <c r="F742" s="89" t="s">
        <v>50</v>
      </c>
      <c r="G742" s="89"/>
      <c r="H742" s="89"/>
      <c r="I742" s="89"/>
      <c r="J742" s="89">
        <v>1899</v>
      </c>
      <c r="K742" s="89">
        <v>12</v>
      </c>
    </row>
    <row r="743" spans="2:11" x14ac:dyDescent="0.15">
      <c r="B743" s="86">
        <v>740</v>
      </c>
      <c r="C743" s="100"/>
      <c r="D743" s="90"/>
      <c r="E743" s="90" t="s">
        <v>50</v>
      </c>
      <c r="F743" s="90" t="s">
        <v>50</v>
      </c>
      <c r="G743" s="90"/>
      <c r="H743" s="90"/>
      <c r="I743" s="90"/>
      <c r="J743" s="90">
        <v>1899</v>
      </c>
      <c r="K743" s="90">
        <v>12</v>
      </c>
    </row>
    <row r="744" spans="2:11" x14ac:dyDescent="0.15">
      <c r="B744" s="86">
        <v>741</v>
      </c>
      <c r="C744" s="99"/>
      <c r="D744" s="89"/>
      <c r="E744" s="89" t="s">
        <v>50</v>
      </c>
      <c r="F744" s="89" t="s">
        <v>50</v>
      </c>
      <c r="G744" s="89"/>
      <c r="H744" s="89"/>
      <c r="I744" s="89"/>
      <c r="J744" s="89">
        <v>1899</v>
      </c>
      <c r="K744" s="89">
        <v>12</v>
      </c>
    </row>
    <row r="745" spans="2:11" x14ac:dyDescent="0.15">
      <c r="B745" s="86">
        <v>742</v>
      </c>
      <c r="C745" s="100"/>
      <c r="D745" s="90"/>
      <c r="E745" s="90" t="s">
        <v>50</v>
      </c>
      <c r="F745" s="90" t="s">
        <v>50</v>
      </c>
      <c r="G745" s="90"/>
      <c r="H745" s="90"/>
      <c r="I745" s="90"/>
      <c r="J745" s="90">
        <v>1899</v>
      </c>
      <c r="K745" s="90">
        <v>12</v>
      </c>
    </row>
    <row r="746" spans="2:11" x14ac:dyDescent="0.15">
      <c r="B746" s="86">
        <v>743</v>
      </c>
      <c r="C746" s="99"/>
      <c r="D746" s="89"/>
      <c r="E746" s="89" t="s">
        <v>50</v>
      </c>
      <c r="F746" s="89" t="s">
        <v>50</v>
      </c>
      <c r="G746" s="89"/>
      <c r="H746" s="89"/>
      <c r="I746" s="89"/>
      <c r="J746" s="89">
        <v>1899</v>
      </c>
      <c r="K746" s="89">
        <v>12</v>
      </c>
    </row>
    <row r="747" spans="2:11" x14ac:dyDescent="0.15">
      <c r="B747" s="86">
        <v>744</v>
      </c>
      <c r="C747" s="100"/>
      <c r="D747" s="90"/>
      <c r="E747" s="90" t="s">
        <v>50</v>
      </c>
      <c r="F747" s="90" t="s">
        <v>50</v>
      </c>
      <c r="G747" s="90"/>
      <c r="H747" s="90"/>
      <c r="I747" s="90"/>
      <c r="J747" s="90">
        <v>1899</v>
      </c>
      <c r="K747" s="90">
        <v>12</v>
      </c>
    </row>
    <row r="748" spans="2:11" x14ac:dyDescent="0.15">
      <c r="B748" s="86">
        <v>745</v>
      </c>
      <c r="C748" s="99"/>
      <c r="D748" s="89"/>
      <c r="E748" s="89" t="s">
        <v>50</v>
      </c>
      <c r="F748" s="89" t="s">
        <v>50</v>
      </c>
      <c r="G748" s="89"/>
      <c r="H748" s="89"/>
      <c r="I748" s="89"/>
      <c r="J748" s="89">
        <v>1899</v>
      </c>
      <c r="K748" s="89">
        <v>12</v>
      </c>
    </row>
    <row r="749" spans="2:11" x14ac:dyDescent="0.15">
      <c r="B749" s="86">
        <v>746</v>
      </c>
      <c r="C749" s="100"/>
      <c r="D749" s="90"/>
      <c r="E749" s="90" t="s">
        <v>50</v>
      </c>
      <c r="F749" s="90" t="s">
        <v>50</v>
      </c>
      <c r="G749" s="90"/>
      <c r="H749" s="90"/>
      <c r="I749" s="90"/>
      <c r="J749" s="90">
        <v>1899</v>
      </c>
      <c r="K749" s="90">
        <v>12</v>
      </c>
    </row>
    <row r="750" spans="2:11" x14ac:dyDescent="0.15">
      <c r="B750" s="86">
        <v>747</v>
      </c>
      <c r="C750" s="99"/>
      <c r="D750" s="89"/>
      <c r="E750" s="89" t="s">
        <v>50</v>
      </c>
      <c r="F750" s="89" t="s">
        <v>50</v>
      </c>
      <c r="G750" s="89"/>
      <c r="H750" s="89"/>
      <c r="I750" s="89"/>
      <c r="J750" s="89">
        <v>1899</v>
      </c>
      <c r="K750" s="89">
        <v>12</v>
      </c>
    </row>
    <row r="751" spans="2:11" x14ac:dyDescent="0.15">
      <c r="B751" s="86">
        <v>748</v>
      </c>
      <c r="C751" s="100"/>
      <c r="D751" s="90"/>
      <c r="E751" s="90" t="s">
        <v>50</v>
      </c>
      <c r="F751" s="90" t="s">
        <v>50</v>
      </c>
      <c r="G751" s="90"/>
      <c r="H751" s="90"/>
      <c r="I751" s="90"/>
      <c r="J751" s="90">
        <v>1899</v>
      </c>
      <c r="K751" s="90">
        <v>12</v>
      </c>
    </row>
    <row r="752" spans="2:11" x14ac:dyDescent="0.15">
      <c r="B752" s="86">
        <v>749</v>
      </c>
      <c r="C752" s="99"/>
      <c r="D752" s="89"/>
      <c r="E752" s="89" t="s">
        <v>50</v>
      </c>
      <c r="F752" s="89" t="s">
        <v>50</v>
      </c>
      <c r="G752" s="89"/>
      <c r="H752" s="89"/>
      <c r="I752" s="89"/>
      <c r="J752" s="89">
        <v>1899</v>
      </c>
      <c r="K752" s="89">
        <v>12</v>
      </c>
    </row>
    <row r="753" spans="2:11" x14ac:dyDescent="0.15">
      <c r="B753" s="86">
        <v>750</v>
      </c>
      <c r="C753" s="100"/>
      <c r="D753" s="90"/>
      <c r="E753" s="90" t="s">
        <v>50</v>
      </c>
      <c r="F753" s="90" t="s">
        <v>50</v>
      </c>
      <c r="G753" s="90"/>
      <c r="H753" s="90"/>
      <c r="I753" s="90"/>
      <c r="J753" s="90">
        <v>1899</v>
      </c>
      <c r="K753" s="90">
        <v>12</v>
      </c>
    </row>
    <row r="754" spans="2:11" x14ac:dyDescent="0.15">
      <c r="B754" s="86">
        <v>751</v>
      </c>
      <c r="C754" s="99"/>
      <c r="D754" s="89"/>
      <c r="E754" s="89" t="s">
        <v>50</v>
      </c>
      <c r="F754" s="89" t="s">
        <v>50</v>
      </c>
      <c r="G754" s="89"/>
      <c r="H754" s="89"/>
      <c r="I754" s="89"/>
      <c r="J754" s="89">
        <v>1899</v>
      </c>
      <c r="K754" s="89">
        <v>12</v>
      </c>
    </row>
    <row r="755" spans="2:11" x14ac:dyDescent="0.15">
      <c r="B755" s="86">
        <v>752</v>
      </c>
      <c r="C755" s="100"/>
      <c r="D755" s="90"/>
      <c r="E755" s="90" t="s">
        <v>50</v>
      </c>
      <c r="F755" s="90" t="s">
        <v>50</v>
      </c>
      <c r="G755" s="90"/>
      <c r="H755" s="90"/>
      <c r="I755" s="90"/>
      <c r="J755" s="90">
        <v>1899</v>
      </c>
      <c r="K755" s="90">
        <v>12</v>
      </c>
    </row>
    <row r="756" spans="2:11" x14ac:dyDescent="0.15">
      <c r="B756" s="86">
        <v>753</v>
      </c>
      <c r="C756" s="99"/>
      <c r="D756" s="89"/>
      <c r="E756" s="89" t="s">
        <v>50</v>
      </c>
      <c r="F756" s="89" t="s">
        <v>50</v>
      </c>
      <c r="G756" s="89"/>
      <c r="H756" s="89"/>
      <c r="I756" s="89"/>
      <c r="J756" s="89">
        <v>1899</v>
      </c>
      <c r="K756" s="89">
        <v>12</v>
      </c>
    </row>
    <row r="757" spans="2:11" x14ac:dyDescent="0.15">
      <c r="B757" s="86">
        <v>754</v>
      </c>
      <c r="C757" s="100"/>
      <c r="D757" s="90"/>
      <c r="E757" s="90" t="s">
        <v>50</v>
      </c>
      <c r="F757" s="90" t="s">
        <v>50</v>
      </c>
      <c r="G757" s="90"/>
      <c r="H757" s="90"/>
      <c r="I757" s="90"/>
      <c r="J757" s="90">
        <v>1899</v>
      </c>
      <c r="K757" s="90">
        <v>12</v>
      </c>
    </row>
    <row r="758" spans="2:11" x14ac:dyDescent="0.15">
      <c r="B758" s="86">
        <v>755</v>
      </c>
      <c r="C758" s="99"/>
      <c r="D758" s="89"/>
      <c r="E758" s="89" t="s">
        <v>50</v>
      </c>
      <c r="F758" s="89" t="s">
        <v>50</v>
      </c>
      <c r="G758" s="89"/>
      <c r="H758" s="89"/>
      <c r="I758" s="89"/>
      <c r="J758" s="89">
        <v>1899</v>
      </c>
      <c r="K758" s="89">
        <v>12</v>
      </c>
    </row>
    <row r="759" spans="2:11" x14ac:dyDescent="0.15">
      <c r="B759" s="86">
        <v>756</v>
      </c>
      <c r="C759" s="100"/>
      <c r="D759" s="90"/>
      <c r="E759" s="90" t="s">
        <v>50</v>
      </c>
      <c r="F759" s="90" t="s">
        <v>50</v>
      </c>
      <c r="G759" s="90"/>
      <c r="H759" s="90"/>
      <c r="I759" s="90"/>
      <c r="J759" s="90">
        <v>1899</v>
      </c>
      <c r="K759" s="90">
        <v>12</v>
      </c>
    </row>
    <row r="760" spans="2:11" x14ac:dyDescent="0.15">
      <c r="B760" s="86">
        <v>757</v>
      </c>
      <c r="C760" s="99"/>
      <c r="D760" s="89"/>
      <c r="E760" s="89" t="s">
        <v>50</v>
      </c>
      <c r="F760" s="89" t="s">
        <v>50</v>
      </c>
      <c r="G760" s="89"/>
      <c r="H760" s="89"/>
      <c r="I760" s="89"/>
      <c r="J760" s="89">
        <v>1899</v>
      </c>
      <c r="K760" s="89">
        <v>12</v>
      </c>
    </row>
    <row r="761" spans="2:11" x14ac:dyDescent="0.15">
      <c r="B761" s="86">
        <v>758</v>
      </c>
      <c r="C761" s="100"/>
      <c r="D761" s="90"/>
      <c r="E761" s="90" t="s">
        <v>50</v>
      </c>
      <c r="F761" s="90" t="s">
        <v>50</v>
      </c>
      <c r="G761" s="90"/>
      <c r="H761" s="90"/>
      <c r="I761" s="90"/>
      <c r="J761" s="90">
        <v>1899</v>
      </c>
      <c r="K761" s="90">
        <v>12</v>
      </c>
    </row>
    <row r="762" spans="2:11" x14ac:dyDescent="0.15">
      <c r="B762" s="86">
        <v>759</v>
      </c>
      <c r="C762" s="99"/>
      <c r="D762" s="89"/>
      <c r="E762" s="89" t="s">
        <v>50</v>
      </c>
      <c r="F762" s="89" t="s">
        <v>50</v>
      </c>
      <c r="G762" s="89"/>
      <c r="H762" s="89"/>
      <c r="I762" s="89"/>
      <c r="J762" s="89">
        <v>1899</v>
      </c>
      <c r="K762" s="89">
        <v>12</v>
      </c>
    </row>
    <row r="763" spans="2:11" x14ac:dyDescent="0.15">
      <c r="B763" s="86">
        <v>760</v>
      </c>
      <c r="C763" s="100"/>
      <c r="D763" s="90"/>
      <c r="E763" s="90" t="s">
        <v>50</v>
      </c>
      <c r="F763" s="90" t="s">
        <v>50</v>
      </c>
      <c r="G763" s="90"/>
      <c r="H763" s="90"/>
      <c r="I763" s="90"/>
      <c r="J763" s="90">
        <v>1899</v>
      </c>
      <c r="K763" s="90">
        <v>12</v>
      </c>
    </row>
    <row r="764" spans="2:11" x14ac:dyDescent="0.15">
      <c r="B764" s="86">
        <v>761</v>
      </c>
      <c r="C764" s="99"/>
      <c r="D764" s="89"/>
      <c r="E764" s="89" t="s">
        <v>50</v>
      </c>
      <c r="F764" s="89" t="s">
        <v>50</v>
      </c>
      <c r="G764" s="89"/>
      <c r="H764" s="89"/>
      <c r="I764" s="89"/>
      <c r="J764" s="89">
        <v>1899</v>
      </c>
      <c r="K764" s="89">
        <v>12</v>
      </c>
    </row>
    <row r="765" spans="2:11" x14ac:dyDescent="0.15">
      <c r="B765" s="86">
        <v>762</v>
      </c>
      <c r="C765" s="100"/>
      <c r="D765" s="90"/>
      <c r="E765" s="90" t="s">
        <v>50</v>
      </c>
      <c r="F765" s="90" t="s">
        <v>50</v>
      </c>
      <c r="G765" s="90"/>
      <c r="H765" s="90"/>
      <c r="I765" s="90"/>
      <c r="J765" s="90">
        <v>1899</v>
      </c>
      <c r="K765" s="90">
        <v>12</v>
      </c>
    </row>
    <row r="766" spans="2:11" x14ac:dyDescent="0.15">
      <c r="B766" s="86">
        <v>763</v>
      </c>
      <c r="C766" s="99"/>
      <c r="D766" s="89"/>
      <c r="E766" s="89" t="s">
        <v>50</v>
      </c>
      <c r="F766" s="89" t="s">
        <v>50</v>
      </c>
      <c r="G766" s="89"/>
      <c r="H766" s="89"/>
      <c r="I766" s="89"/>
      <c r="J766" s="89">
        <v>1899</v>
      </c>
      <c r="K766" s="89">
        <v>12</v>
      </c>
    </row>
    <row r="767" spans="2:11" x14ac:dyDescent="0.15">
      <c r="B767" s="86">
        <v>764</v>
      </c>
      <c r="C767" s="100"/>
      <c r="D767" s="90"/>
      <c r="E767" s="90" t="s">
        <v>50</v>
      </c>
      <c r="F767" s="90" t="s">
        <v>50</v>
      </c>
      <c r="G767" s="90"/>
      <c r="H767" s="90"/>
      <c r="I767" s="90"/>
      <c r="J767" s="90">
        <v>1899</v>
      </c>
      <c r="K767" s="90">
        <v>12</v>
      </c>
    </row>
    <row r="768" spans="2:11" x14ac:dyDescent="0.15">
      <c r="B768" s="86">
        <v>765</v>
      </c>
      <c r="C768" s="99"/>
      <c r="D768" s="89"/>
      <c r="E768" s="89" t="s">
        <v>50</v>
      </c>
      <c r="F768" s="89" t="s">
        <v>50</v>
      </c>
      <c r="G768" s="89"/>
      <c r="H768" s="89"/>
      <c r="I768" s="89"/>
      <c r="J768" s="89">
        <v>1899</v>
      </c>
      <c r="K768" s="89">
        <v>12</v>
      </c>
    </row>
    <row r="769" spans="2:11" x14ac:dyDescent="0.15">
      <c r="B769" s="86">
        <v>766</v>
      </c>
      <c r="C769" s="100"/>
      <c r="D769" s="90"/>
      <c r="E769" s="90" t="s">
        <v>50</v>
      </c>
      <c r="F769" s="90" t="s">
        <v>50</v>
      </c>
      <c r="G769" s="90"/>
      <c r="H769" s="90"/>
      <c r="I769" s="90"/>
      <c r="J769" s="90">
        <v>1899</v>
      </c>
      <c r="K769" s="90">
        <v>12</v>
      </c>
    </row>
    <row r="770" spans="2:11" x14ac:dyDescent="0.15">
      <c r="B770" s="86">
        <v>767</v>
      </c>
      <c r="C770" s="99"/>
      <c r="D770" s="89"/>
      <c r="E770" s="89" t="s">
        <v>50</v>
      </c>
      <c r="F770" s="89" t="s">
        <v>50</v>
      </c>
      <c r="G770" s="89"/>
      <c r="H770" s="89"/>
      <c r="I770" s="89"/>
      <c r="J770" s="89">
        <v>1899</v>
      </c>
      <c r="K770" s="89">
        <v>12</v>
      </c>
    </row>
    <row r="771" spans="2:11" x14ac:dyDescent="0.15">
      <c r="B771" s="86">
        <v>768</v>
      </c>
      <c r="C771" s="100"/>
      <c r="D771" s="90"/>
      <c r="E771" s="90" t="s">
        <v>50</v>
      </c>
      <c r="F771" s="90" t="s">
        <v>50</v>
      </c>
      <c r="G771" s="90"/>
      <c r="H771" s="90"/>
      <c r="I771" s="90"/>
      <c r="J771" s="90">
        <v>1899</v>
      </c>
      <c r="K771" s="90">
        <v>12</v>
      </c>
    </row>
    <row r="772" spans="2:11" x14ac:dyDescent="0.15">
      <c r="B772" s="86">
        <v>769</v>
      </c>
      <c r="C772" s="99"/>
      <c r="D772" s="89"/>
      <c r="E772" s="89" t="s">
        <v>50</v>
      </c>
      <c r="F772" s="89" t="s">
        <v>50</v>
      </c>
      <c r="G772" s="89"/>
      <c r="H772" s="89"/>
      <c r="I772" s="89"/>
      <c r="J772" s="89">
        <v>1899</v>
      </c>
      <c r="K772" s="89">
        <v>12</v>
      </c>
    </row>
    <row r="773" spans="2:11" x14ac:dyDescent="0.15">
      <c r="B773" s="86">
        <v>770</v>
      </c>
      <c r="C773" s="100"/>
      <c r="D773" s="90"/>
      <c r="E773" s="90" t="s">
        <v>50</v>
      </c>
      <c r="F773" s="90" t="s">
        <v>50</v>
      </c>
      <c r="G773" s="90"/>
      <c r="H773" s="90"/>
      <c r="I773" s="90"/>
      <c r="J773" s="90">
        <v>1899</v>
      </c>
      <c r="K773" s="90">
        <v>12</v>
      </c>
    </row>
    <row r="774" spans="2:11" x14ac:dyDescent="0.15">
      <c r="B774" s="86">
        <v>771</v>
      </c>
      <c r="C774" s="99"/>
      <c r="D774" s="89"/>
      <c r="E774" s="89" t="s">
        <v>50</v>
      </c>
      <c r="F774" s="89" t="s">
        <v>50</v>
      </c>
      <c r="G774" s="89"/>
      <c r="H774" s="89"/>
      <c r="I774" s="89"/>
      <c r="J774" s="89">
        <v>1899</v>
      </c>
      <c r="K774" s="89">
        <v>12</v>
      </c>
    </row>
    <row r="775" spans="2:11" x14ac:dyDescent="0.15">
      <c r="B775" s="86">
        <v>772</v>
      </c>
      <c r="C775" s="100"/>
      <c r="D775" s="90"/>
      <c r="E775" s="90" t="s">
        <v>50</v>
      </c>
      <c r="F775" s="90" t="s">
        <v>50</v>
      </c>
      <c r="G775" s="90"/>
      <c r="H775" s="90"/>
      <c r="I775" s="90"/>
      <c r="J775" s="90">
        <v>1899</v>
      </c>
      <c r="K775" s="90">
        <v>12</v>
      </c>
    </row>
    <row r="776" spans="2:11" x14ac:dyDescent="0.15">
      <c r="B776" s="86">
        <v>773</v>
      </c>
      <c r="C776" s="99"/>
      <c r="D776" s="89"/>
      <c r="E776" s="89" t="s">
        <v>50</v>
      </c>
      <c r="F776" s="89" t="s">
        <v>50</v>
      </c>
      <c r="G776" s="89"/>
      <c r="H776" s="89"/>
      <c r="I776" s="89"/>
      <c r="J776" s="89">
        <v>1899</v>
      </c>
      <c r="K776" s="89">
        <v>12</v>
      </c>
    </row>
    <row r="777" spans="2:11" x14ac:dyDescent="0.15">
      <c r="B777" s="86">
        <v>774</v>
      </c>
      <c r="C777" s="100"/>
      <c r="D777" s="90"/>
      <c r="E777" s="90" t="s">
        <v>50</v>
      </c>
      <c r="F777" s="90" t="s">
        <v>50</v>
      </c>
      <c r="G777" s="90"/>
      <c r="H777" s="90"/>
      <c r="I777" s="90"/>
      <c r="J777" s="90">
        <v>1899</v>
      </c>
      <c r="K777" s="90">
        <v>12</v>
      </c>
    </row>
    <row r="778" spans="2:11" x14ac:dyDescent="0.15">
      <c r="B778" s="86">
        <v>775</v>
      </c>
      <c r="C778" s="99"/>
      <c r="D778" s="89"/>
      <c r="E778" s="89" t="s">
        <v>50</v>
      </c>
      <c r="F778" s="89" t="s">
        <v>50</v>
      </c>
      <c r="G778" s="89"/>
      <c r="H778" s="89"/>
      <c r="I778" s="89"/>
      <c r="J778" s="89">
        <v>1899</v>
      </c>
      <c r="K778" s="89">
        <v>12</v>
      </c>
    </row>
    <row r="779" spans="2:11" x14ac:dyDescent="0.15">
      <c r="B779" s="86">
        <v>776</v>
      </c>
      <c r="C779" s="100"/>
      <c r="D779" s="90"/>
      <c r="E779" s="90" t="s">
        <v>50</v>
      </c>
      <c r="F779" s="90" t="s">
        <v>50</v>
      </c>
      <c r="G779" s="90"/>
      <c r="H779" s="90"/>
      <c r="I779" s="90"/>
      <c r="J779" s="90">
        <v>1899</v>
      </c>
      <c r="K779" s="90">
        <v>12</v>
      </c>
    </row>
    <row r="780" spans="2:11" x14ac:dyDescent="0.15">
      <c r="B780" s="86">
        <v>777</v>
      </c>
      <c r="C780" s="99"/>
      <c r="D780" s="89"/>
      <c r="E780" s="89" t="s">
        <v>50</v>
      </c>
      <c r="F780" s="89" t="s">
        <v>50</v>
      </c>
      <c r="G780" s="89"/>
      <c r="H780" s="89"/>
      <c r="I780" s="89"/>
      <c r="J780" s="89">
        <v>1899</v>
      </c>
      <c r="K780" s="89">
        <v>12</v>
      </c>
    </row>
    <row r="781" spans="2:11" x14ac:dyDescent="0.15">
      <c r="B781" s="86">
        <v>778</v>
      </c>
      <c r="C781" s="100"/>
      <c r="D781" s="90"/>
      <c r="E781" s="90" t="s">
        <v>50</v>
      </c>
      <c r="F781" s="90" t="s">
        <v>50</v>
      </c>
      <c r="G781" s="90"/>
      <c r="H781" s="90"/>
      <c r="I781" s="90"/>
      <c r="J781" s="90">
        <v>1899</v>
      </c>
      <c r="K781" s="90">
        <v>12</v>
      </c>
    </row>
    <row r="782" spans="2:11" x14ac:dyDescent="0.15">
      <c r="B782" s="86">
        <v>779</v>
      </c>
      <c r="C782" s="99"/>
      <c r="D782" s="89"/>
      <c r="E782" s="89" t="s">
        <v>50</v>
      </c>
      <c r="F782" s="89" t="s">
        <v>50</v>
      </c>
      <c r="G782" s="89"/>
      <c r="H782" s="89"/>
      <c r="I782" s="89"/>
      <c r="J782" s="89">
        <v>1899</v>
      </c>
      <c r="K782" s="89">
        <v>12</v>
      </c>
    </row>
    <row r="783" spans="2:11" x14ac:dyDescent="0.15">
      <c r="B783" s="86">
        <v>780</v>
      </c>
      <c r="C783" s="100"/>
      <c r="D783" s="90"/>
      <c r="E783" s="90" t="s">
        <v>50</v>
      </c>
      <c r="F783" s="90" t="s">
        <v>50</v>
      </c>
      <c r="G783" s="90"/>
      <c r="H783" s="90"/>
      <c r="I783" s="90"/>
      <c r="J783" s="90">
        <v>1899</v>
      </c>
      <c r="K783" s="90">
        <v>12</v>
      </c>
    </row>
    <row r="784" spans="2:11" x14ac:dyDescent="0.15">
      <c r="B784" s="86">
        <v>781</v>
      </c>
      <c r="C784" s="99"/>
      <c r="D784" s="89"/>
      <c r="E784" s="89" t="s">
        <v>50</v>
      </c>
      <c r="F784" s="89" t="s">
        <v>50</v>
      </c>
      <c r="G784" s="89"/>
      <c r="H784" s="89"/>
      <c r="I784" s="89"/>
      <c r="J784" s="89">
        <v>1899</v>
      </c>
      <c r="K784" s="89">
        <v>12</v>
      </c>
    </row>
    <row r="785" spans="2:11" x14ac:dyDescent="0.15">
      <c r="B785" s="86">
        <v>782</v>
      </c>
      <c r="C785" s="100"/>
      <c r="D785" s="90"/>
      <c r="E785" s="90" t="s">
        <v>50</v>
      </c>
      <c r="F785" s="90" t="s">
        <v>50</v>
      </c>
      <c r="G785" s="90"/>
      <c r="H785" s="90"/>
      <c r="I785" s="90"/>
      <c r="J785" s="90">
        <v>1899</v>
      </c>
      <c r="K785" s="90">
        <v>12</v>
      </c>
    </row>
    <row r="786" spans="2:11" x14ac:dyDescent="0.15">
      <c r="B786" s="86">
        <v>783</v>
      </c>
      <c r="C786" s="99"/>
      <c r="D786" s="89"/>
      <c r="E786" s="89" t="s">
        <v>50</v>
      </c>
      <c r="F786" s="89" t="s">
        <v>50</v>
      </c>
      <c r="G786" s="89"/>
      <c r="H786" s="89"/>
      <c r="I786" s="89"/>
      <c r="J786" s="89">
        <v>1899</v>
      </c>
      <c r="K786" s="89">
        <v>12</v>
      </c>
    </row>
    <row r="787" spans="2:11" x14ac:dyDescent="0.15">
      <c r="B787" s="86">
        <v>784</v>
      </c>
      <c r="C787" s="100"/>
      <c r="D787" s="90"/>
      <c r="E787" s="90" t="s">
        <v>50</v>
      </c>
      <c r="F787" s="90" t="s">
        <v>50</v>
      </c>
      <c r="G787" s="90"/>
      <c r="H787" s="90"/>
      <c r="I787" s="90"/>
      <c r="J787" s="90">
        <v>1899</v>
      </c>
      <c r="K787" s="90">
        <v>12</v>
      </c>
    </row>
    <row r="788" spans="2:11" x14ac:dyDescent="0.15">
      <c r="B788" s="86">
        <v>785</v>
      </c>
      <c r="C788" s="99"/>
      <c r="D788" s="89"/>
      <c r="E788" s="89" t="s">
        <v>50</v>
      </c>
      <c r="F788" s="89" t="s">
        <v>50</v>
      </c>
      <c r="G788" s="89"/>
      <c r="H788" s="89"/>
      <c r="I788" s="89"/>
      <c r="J788" s="89">
        <v>1899</v>
      </c>
      <c r="K788" s="89">
        <v>12</v>
      </c>
    </row>
    <row r="789" spans="2:11" x14ac:dyDescent="0.15">
      <c r="B789" s="86">
        <v>786</v>
      </c>
      <c r="C789" s="100"/>
      <c r="D789" s="90"/>
      <c r="E789" s="90" t="s">
        <v>50</v>
      </c>
      <c r="F789" s="90" t="s">
        <v>50</v>
      </c>
      <c r="G789" s="90"/>
      <c r="H789" s="90"/>
      <c r="I789" s="90"/>
      <c r="J789" s="90">
        <v>1899</v>
      </c>
      <c r="K789" s="90">
        <v>12</v>
      </c>
    </row>
    <row r="790" spans="2:11" x14ac:dyDescent="0.15">
      <c r="B790" s="86">
        <v>787</v>
      </c>
      <c r="C790" s="99"/>
      <c r="D790" s="89"/>
      <c r="E790" s="89" t="s">
        <v>50</v>
      </c>
      <c r="F790" s="89" t="s">
        <v>50</v>
      </c>
      <c r="G790" s="89"/>
      <c r="H790" s="89"/>
      <c r="I790" s="89"/>
      <c r="J790" s="89">
        <v>1899</v>
      </c>
      <c r="K790" s="89">
        <v>12</v>
      </c>
    </row>
    <row r="791" spans="2:11" x14ac:dyDescent="0.15">
      <c r="B791" s="86">
        <v>788</v>
      </c>
      <c r="C791" s="100"/>
      <c r="D791" s="90"/>
      <c r="E791" s="90" t="s">
        <v>50</v>
      </c>
      <c r="F791" s="90" t="s">
        <v>50</v>
      </c>
      <c r="G791" s="90"/>
      <c r="H791" s="90"/>
      <c r="I791" s="90"/>
      <c r="J791" s="90">
        <v>1899</v>
      </c>
      <c r="K791" s="90">
        <v>12</v>
      </c>
    </row>
    <row r="792" spans="2:11" x14ac:dyDescent="0.15">
      <c r="B792" s="86">
        <v>789</v>
      </c>
      <c r="C792" s="99"/>
      <c r="D792" s="89"/>
      <c r="E792" s="89" t="s">
        <v>50</v>
      </c>
      <c r="F792" s="89" t="s">
        <v>50</v>
      </c>
      <c r="G792" s="89"/>
      <c r="H792" s="89"/>
      <c r="I792" s="89"/>
      <c r="J792" s="89">
        <v>1899</v>
      </c>
      <c r="K792" s="89">
        <v>12</v>
      </c>
    </row>
    <row r="793" spans="2:11" x14ac:dyDescent="0.15">
      <c r="B793" s="86">
        <v>790</v>
      </c>
      <c r="C793" s="100"/>
      <c r="D793" s="90"/>
      <c r="E793" s="90" t="s">
        <v>50</v>
      </c>
      <c r="F793" s="90" t="s">
        <v>50</v>
      </c>
      <c r="G793" s="90"/>
      <c r="H793" s="90"/>
      <c r="I793" s="90"/>
      <c r="J793" s="90">
        <v>1899</v>
      </c>
      <c r="K793" s="90">
        <v>12</v>
      </c>
    </row>
    <row r="794" spans="2:11" x14ac:dyDescent="0.15">
      <c r="B794" s="86">
        <v>791</v>
      </c>
      <c r="C794" s="99"/>
      <c r="D794" s="89"/>
      <c r="E794" s="89" t="s">
        <v>50</v>
      </c>
      <c r="F794" s="89" t="s">
        <v>50</v>
      </c>
      <c r="G794" s="89"/>
      <c r="H794" s="89"/>
      <c r="I794" s="89"/>
      <c r="J794" s="89">
        <v>1899</v>
      </c>
      <c r="K794" s="89">
        <v>12</v>
      </c>
    </row>
    <row r="795" spans="2:11" x14ac:dyDescent="0.15">
      <c r="B795" s="86">
        <v>792</v>
      </c>
      <c r="C795" s="100"/>
      <c r="D795" s="90"/>
      <c r="E795" s="90" t="s">
        <v>50</v>
      </c>
      <c r="F795" s="90" t="s">
        <v>50</v>
      </c>
      <c r="G795" s="90"/>
      <c r="H795" s="90"/>
      <c r="I795" s="90"/>
      <c r="J795" s="90">
        <v>1899</v>
      </c>
      <c r="K795" s="90">
        <v>12</v>
      </c>
    </row>
    <row r="796" spans="2:11" x14ac:dyDescent="0.15">
      <c r="B796" s="86">
        <v>793</v>
      </c>
      <c r="C796" s="99"/>
      <c r="D796" s="89"/>
      <c r="E796" s="89" t="s">
        <v>50</v>
      </c>
      <c r="F796" s="89" t="s">
        <v>50</v>
      </c>
      <c r="G796" s="89"/>
      <c r="H796" s="89"/>
      <c r="I796" s="89"/>
      <c r="J796" s="89">
        <v>1899</v>
      </c>
      <c r="K796" s="89">
        <v>12</v>
      </c>
    </row>
    <row r="797" spans="2:11" x14ac:dyDescent="0.15">
      <c r="B797" s="86">
        <v>794</v>
      </c>
      <c r="C797" s="100"/>
      <c r="D797" s="90"/>
      <c r="E797" s="90" t="s">
        <v>50</v>
      </c>
      <c r="F797" s="90" t="s">
        <v>50</v>
      </c>
      <c r="G797" s="90"/>
      <c r="H797" s="90"/>
      <c r="I797" s="90"/>
      <c r="J797" s="90">
        <v>1899</v>
      </c>
      <c r="K797" s="90">
        <v>12</v>
      </c>
    </row>
    <row r="798" spans="2:11" x14ac:dyDescent="0.15">
      <c r="B798" s="86">
        <v>795</v>
      </c>
      <c r="C798" s="99"/>
      <c r="D798" s="89"/>
      <c r="E798" s="89" t="s">
        <v>50</v>
      </c>
      <c r="F798" s="89" t="s">
        <v>50</v>
      </c>
      <c r="G798" s="89"/>
      <c r="H798" s="89"/>
      <c r="I798" s="89"/>
      <c r="J798" s="89">
        <v>1899</v>
      </c>
      <c r="K798" s="89">
        <v>12</v>
      </c>
    </row>
    <row r="799" spans="2:11" x14ac:dyDescent="0.15">
      <c r="B799" s="86">
        <v>796</v>
      </c>
      <c r="C799" s="100"/>
      <c r="D799" s="90"/>
      <c r="E799" s="90" t="s">
        <v>50</v>
      </c>
      <c r="F799" s="90" t="s">
        <v>50</v>
      </c>
      <c r="G799" s="90"/>
      <c r="H799" s="90"/>
      <c r="I799" s="90"/>
      <c r="J799" s="90">
        <v>1899</v>
      </c>
      <c r="K799" s="90">
        <v>12</v>
      </c>
    </row>
    <row r="800" spans="2:11" x14ac:dyDescent="0.15">
      <c r="B800" s="86">
        <v>797</v>
      </c>
      <c r="C800" s="99"/>
      <c r="D800" s="89"/>
      <c r="E800" s="89" t="s">
        <v>50</v>
      </c>
      <c r="F800" s="89" t="s">
        <v>50</v>
      </c>
      <c r="G800" s="89"/>
      <c r="H800" s="89"/>
      <c r="I800" s="89"/>
      <c r="J800" s="89">
        <v>1899</v>
      </c>
      <c r="K800" s="89">
        <v>12</v>
      </c>
    </row>
    <row r="801" spans="2:11" x14ac:dyDescent="0.15">
      <c r="B801" s="86">
        <v>798</v>
      </c>
      <c r="C801" s="100"/>
      <c r="D801" s="90"/>
      <c r="E801" s="90" t="s">
        <v>50</v>
      </c>
      <c r="F801" s="90" t="s">
        <v>50</v>
      </c>
      <c r="G801" s="90"/>
      <c r="H801" s="90"/>
      <c r="I801" s="90"/>
      <c r="J801" s="90">
        <v>1899</v>
      </c>
      <c r="K801" s="90">
        <v>12</v>
      </c>
    </row>
    <row r="802" spans="2:11" x14ac:dyDescent="0.15">
      <c r="B802" s="86">
        <v>799</v>
      </c>
      <c r="C802" s="99"/>
      <c r="D802" s="89"/>
      <c r="E802" s="89" t="s">
        <v>50</v>
      </c>
      <c r="F802" s="89" t="s">
        <v>50</v>
      </c>
      <c r="G802" s="89"/>
      <c r="H802" s="89"/>
      <c r="I802" s="89"/>
      <c r="J802" s="89">
        <v>1899</v>
      </c>
      <c r="K802" s="89">
        <v>12</v>
      </c>
    </row>
    <row r="803" spans="2:11" x14ac:dyDescent="0.15">
      <c r="B803" s="86">
        <v>800</v>
      </c>
      <c r="C803" s="100"/>
      <c r="D803" s="90"/>
      <c r="E803" s="90" t="s">
        <v>50</v>
      </c>
      <c r="F803" s="90" t="s">
        <v>50</v>
      </c>
      <c r="G803" s="90"/>
      <c r="H803" s="90"/>
      <c r="I803" s="90"/>
      <c r="J803" s="90">
        <v>1899</v>
      </c>
      <c r="K803" s="90">
        <v>12</v>
      </c>
    </row>
    <row r="804" spans="2:11" x14ac:dyDescent="0.15">
      <c r="B804" s="86">
        <v>801</v>
      </c>
      <c r="C804" s="99"/>
      <c r="D804" s="89"/>
      <c r="E804" s="89" t="s">
        <v>50</v>
      </c>
      <c r="F804" s="89" t="s">
        <v>50</v>
      </c>
      <c r="G804" s="89"/>
      <c r="H804" s="89"/>
      <c r="I804" s="89"/>
      <c r="J804" s="89">
        <v>1899</v>
      </c>
      <c r="K804" s="89">
        <v>12</v>
      </c>
    </row>
    <row r="805" spans="2:11" x14ac:dyDescent="0.15">
      <c r="B805" s="86">
        <v>802</v>
      </c>
      <c r="C805" s="100"/>
      <c r="D805" s="90"/>
      <c r="E805" s="90" t="s">
        <v>50</v>
      </c>
      <c r="F805" s="90" t="s">
        <v>50</v>
      </c>
      <c r="G805" s="90"/>
      <c r="H805" s="90"/>
      <c r="I805" s="90"/>
      <c r="J805" s="90">
        <v>1899</v>
      </c>
      <c r="K805" s="90">
        <v>12</v>
      </c>
    </row>
    <row r="806" spans="2:11" x14ac:dyDescent="0.15">
      <c r="B806" s="86">
        <v>803</v>
      </c>
      <c r="C806" s="99"/>
      <c r="D806" s="89"/>
      <c r="E806" s="89" t="s">
        <v>50</v>
      </c>
      <c r="F806" s="89" t="s">
        <v>50</v>
      </c>
      <c r="G806" s="89"/>
      <c r="H806" s="89"/>
      <c r="I806" s="89"/>
      <c r="J806" s="89">
        <v>1899</v>
      </c>
      <c r="K806" s="89">
        <v>12</v>
      </c>
    </row>
    <row r="807" spans="2:11" x14ac:dyDescent="0.15">
      <c r="B807" s="86">
        <v>804</v>
      </c>
      <c r="C807" s="100"/>
      <c r="D807" s="90"/>
      <c r="E807" s="90" t="s">
        <v>50</v>
      </c>
      <c r="F807" s="90" t="s">
        <v>50</v>
      </c>
      <c r="G807" s="90"/>
      <c r="H807" s="90"/>
      <c r="I807" s="90"/>
      <c r="J807" s="90">
        <v>1899</v>
      </c>
      <c r="K807" s="90">
        <v>12</v>
      </c>
    </row>
    <row r="808" spans="2:11" x14ac:dyDescent="0.15">
      <c r="B808" s="86">
        <v>805</v>
      </c>
      <c r="C808" s="99"/>
      <c r="D808" s="89"/>
      <c r="E808" s="89" t="s">
        <v>50</v>
      </c>
      <c r="F808" s="89" t="s">
        <v>50</v>
      </c>
      <c r="G808" s="89"/>
      <c r="H808" s="89"/>
      <c r="I808" s="89"/>
      <c r="J808" s="89">
        <v>1899</v>
      </c>
      <c r="K808" s="89">
        <v>12</v>
      </c>
    </row>
    <row r="809" spans="2:11" x14ac:dyDescent="0.15">
      <c r="B809" s="86">
        <v>806</v>
      </c>
      <c r="C809" s="100"/>
      <c r="D809" s="90"/>
      <c r="E809" s="90" t="s">
        <v>50</v>
      </c>
      <c r="F809" s="90" t="s">
        <v>50</v>
      </c>
      <c r="G809" s="90"/>
      <c r="H809" s="90"/>
      <c r="I809" s="90"/>
      <c r="J809" s="90">
        <v>1899</v>
      </c>
      <c r="K809" s="90">
        <v>12</v>
      </c>
    </row>
    <row r="810" spans="2:11" x14ac:dyDescent="0.15">
      <c r="B810" s="86">
        <v>807</v>
      </c>
      <c r="C810" s="99"/>
      <c r="D810" s="89"/>
      <c r="E810" s="89" t="s">
        <v>50</v>
      </c>
      <c r="F810" s="89" t="s">
        <v>50</v>
      </c>
      <c r="G810" s="89"/>
      <c r="H810" s="89"/>
      <c r="I810" s="89"/>
      <c r="J810" s="89">
        <v>1899</v>
      </c>
      <c r="K810" s="89">
        <v>12</v>
      </c>
    </row>
    <row r="811" spans="2:11" x14ac:dyDescent="0.15">
      <c r="B811" s="86">
        <v>808</v>
      </c>
      <c r="C811" s="100"/>
      <c r="D811" s="90"/>
      <c r="E811" s="90" t="s">
        <v>50</v>
      </c>
      <c r="F811" s="90" t="s">
        <v>50</v>
      </c>
      <c r="G811" s="90"/>
      <c r="H811" s="90"/>
      <c r="I811" s="90"/>
      <c r="J811" s="90">
        <v>1899</v>
      </c>
      <c r="K811" s="90">
        <v>12</v>
      </c>
    </row>
    <row r="812" spans="2:11" x14ac:dyDescent="0.15">
      <c r="B812" s="86">
        <v>809</v>
      </c>
      <c r="C812" s="99"/>
      <c r="D812" s="89"/>
      <c r="E812" s="89" t="s">
        <v>50</v>
      </c>
      <c r="F812" s="89" t="s">
        <v>50</v>
      </c>
      <c r="G812" s="89"/>
      <c r="H812" s="89"/>
      <c r="I812" s="89"/>
      <c r="J812" s="89">
        <v>1899</v>
      </c>
      <c r="K812" s="89">
        <v>12</v>
      </c>
    </row>
    <row r="813" spans="2:11" x14ac:dyDescent="0.15">
      <c r="B813" s="86">
        <v>810</v>
      </c>
      <c r="C813" s="100"/>
      <c r="D813" s="90"/>
      <c r="E813" s="90" t="s">
        <v>50</v>
      </c>
      <c r="F813" s="90" t="s">
        <v>50</v>
      </c>
      <c r="G813" s="90"/>
      <c r="H813" s="90"/>
      <c r="I813" s="90"/>
      <c r="J813" s="90">
        <v>1899</v>
      </c>
      <c r="K813" s="90">
        <v>12</v>
      </c>
    </row>
    <row r="814" spans="2:11" x14ac:dyDescent="0.15">
      <c r="B814" s="86">
        <v>811</v>
      </c>
      <c r="C814" s="99"/>
      <c r="D814" s="89"/>
      <c r="E814" s="89" t="s">
        <v>50</v>
      </c>
      <c r="F814" s="89" t="s">
        <v>50</v>
      </c>
      <c r="G814" s="89"/>
      <c r="H814" s="89"/>
      <c r="I814" s="89"/>
      <c r="J814" s="89">
        <v>1899</v>
      </c>
      <c r="K814" s="89">
        <v>12</v>
      </c>
    </row>
    <row r="815" spans="2:11" x14ac:dyDescent="0.15">
      <c r="B815" s="86">
        <v>812</v>
      </c>
      <c r="C815" s="100"/>
      <c r="D815" s="90"/>
      <c r="E815" s="90" t="s">
        <v>50</v>
      </c>
      <c r="F815" s="90" t="s">
        <v>50</v>
      </c>
      <c r="G815" s="90"/>
      <c r="H815" s="90"/>
      <c r="I815" s="90"/>
      <c r="J815" s="90">
        <v>1899</v>
      </c>
      <c r="K815" s="90">
        <v>12</v>
      </c>
    </row>
    <row r="816" spans="2:11" x14ac:dyDescent="0.15">
      <c r="B816" s="86">
        <v>813</v>
      </c>
      <c r="C816" s="99"/>
      <c r="D816" s="89"/>
      <c r="E816" s="89" t="s">
        <v>50</v>
      </c>
      <c r="F816" s="89" t="s">
        <v>50</v>
      </c>
      <c r="G816" s="89"/>
      <c r="H816" s="89"/>
      <c r="I816" s="89"/>
      <c r="J816" s="89">
        <v>1899</v>
      </c>
      <c r="K816" s="89">
        <v>12</v>
      </c>
    </row>
    <row r="817" spans="2:11" x14ac:dyDescent="0.15">
      <c r="B817" s="86">
        <v>814</v>
      </c>
      <c r="C817" s="100"/>
      <c r="D817" s="90"/>
      <c r="E817" s="90" t="s">
        <v>50</v>
      </c>
      <c r="F817" s="90" t="s">
        <v>50</v>
      </c>
      <c r="G817" s="90"/>
      <c r="H817" s="90"/>
      <c r="I817" s="90"/>
      <c r="J817" s="90">
        <v>1899</v>
      </c>
      <c r="K817" s="90">
        <v>12</v>
      </c>
    </row>
    <row r="818" spans="2:11" x14ac:dyDescent="0.15">
      <c r="B818" s="86">
        <v>815</v>
      </c>
      <c r="C818" s="99"/>
      <c r="D818" s="89"/>
      <c r="E818" s="89" t="s">
        <v>50</v>
      </c>
      <c r="F818" s="89" t="s">
        <v>50</v>
      </c>
      <c r="G818" s="89"/>
      <c r="H818" s="89"/>
      <c r="I818" s="89"/>
      <c r="J818" s="89">
        <v>1899</v>
      </c>
      <c r="K818" s="89">
        <v>12</v>
      </c>
    </row>
    <row r="819" spans="2:11" x14ac:dyDescent="0.15">
      <c r="B819" s="86">
        <v>816</v>
      </c>
      <c r="C819" s="100"/>
      <c r="D819" s="90"/>
      <c r="E819" s="90" t="s">
        <v>50</v>
      </c>
      <c r="F819" s="90" t="s">
        <v>50</v>
      </c>
      <c r="G819" s="90"/>
      <c r="H819" s="90"/>
      <c r="I819" s="90"/>
      <c r="J819" s="90">
        <v>1899</v>
      </c>
      <c r="K819" s="90">
        <v>12</v>
      </c>
    </row>
    <row r="820" spans="2:11" x14ac:dyDescent="0.15">
      <c r="B820" s="86">
        <v>817</v>
      </c>
      <c r="C820" s="99"/>
      <c r="D820" s="89"/>
      <c r="E820" s="89" t="s">
        <v>50</v>
      </c>
      <c r="F820" s="89" t="s">
        <v>50</v>
      </c>
      <c r="G820" s="89"/>
      <c r="H820" s="89"/>
      <c r="I820" s="89"/>
      <c r="J820" s="89">
        <v>1899</v>
      </c>
      <c r="K820" s="89">
        <v>12</v>
      </c>
    </row>
    <row r="821" spans="2:11" x14ac:dyDescent="0.15">
      <c r="B821" s="86">
        <v>818</v>
      </c>
      <c r="C821" s="100"/>
      <c r="D821" s="90"/>
      <c r="E821" s="90" t="s">
        <v>50</v>
      </c>
      <c r="F821" s="90" t="s">
        <v>50</v>
      </c>
      <c r="G821" s="90"/>
      <c r="H821" s="90"/>
      <c r="I821" s="90"/>
      <c r="J821" s="90">
        <v>1899</v>
      </c>
      <c r="K821" s="90">
        <v>12</v>
      </c>
    </row>
    <row r="822" spans="2:11" x14ac:dyDescent="0.15">
      <c r="B822" s="86">
        <v>819</v>
      </c>
      <c r="C822" s="99"/>
      <c r="D822" s="89"/>
      <c r="E822" s="89" t="s">
        <v>50</v>
      </c>
      <c r="F822" s="89" t="s">
        <v>50</v>
      </c>
      <c r="G822" s="89"/>
      <c r="H822" s="89"/>
      <c r="I822" s="89"/>
      <c r="J822" s="89">
        <v>1899</v>
      </c>
      <c r="K822" s="89">
        <v>12</v>
      </c>
    </row>
    <row r="823" spans="2:11" x14ac:dyDescent="0.15">
      <c r="B823" s="86">
        <v>820</v>
      </c>
      <c r="C823" s="100"/>
      <c r="D823" s="90"/>
      <c r="E823" s="90" t="s">
        <v>50</v>
      </c>
      <c r="F823" s="90" t="s">
        <v>50</v>
      </c>
      <c r="G823" s="90"/>
      <c r="H823" s="90"/>
      <c r="I823" s="90"/>
      <c r="J823" s="90">
        <v>1899</v>
      </c>
      <c r="K823" s="90">
        <v>12</v>
      </c>
    </row>
    <row r="824" spans="2:11" x14ac:dyDescent="0.15">
      <c r="B824" s="86">
        <v>821</v>
      </c>
      <c r="C824" s="99"/>
      <c r="D824" s="89"/>
      <c r="E824" s="89" t="s">
        <v>50</v>
      </c>
      <c r="F824" s="89" t="s">
        <v>50</v>
      </c>
      <c r="G824" s="89"/>
      <c r="H824" s="89"/>
      <c r="I824" s="89"/>
      <c r="J824" s="89">
        <v>1899</v>
      </c>
      <c r="K824" s="89">
        <v>12</v>
      </c>
    </row>
    <row r="825" spans="2:11" x14ac:dyDescent="0.15">
      <c r="B825" s="86">
        <v>822</v>
      </c>
      <c r="C825" s="100"/>
      <c r="D825" s="90"/>
      <c r="E825" s="90" t="s">
        <v>50</v>
      </c>
      <c r="F825" s="90" t="s">
        <v>50</v>
      </c>
      <c r="G825" s="90"/>
      <c r="H825" s="90"/>
      <c r="I825" s="90"/>
      <c r="J825" s="90">
        <v>1899</v>
      </c>
      <c r="K825" s="90">
        <v>12</v>
      </c>
    </row>
    <row r="826" spans="2:11" x14ac:dyDescent="0.15">
      <c r="B826" s="86">
        <v>823</v>
      </c>
      <c r="C826" s="99"/>
      <c r="D826" s="89"/>
      <c r="E826" s="89" t="s">
        <v>50</v>
      </c>
      <c r="F826" s="89" t="s">
        <v>50</v>
      </c>
      <c r="G826" s="89"/>
      <c r="H826" s="89"/>
      <c r="I826" s="89"/>
      <c r="J826" s="89">
        <v>1899</v>
      </c>
      <c r="K826" s="89">
        <v>12</v>
      </c>
    </row>
    <row r="827" spans="2:11" x14ac:dyDescent="0.15">
      <c r="B827" s="86">
        <v>824</v>
      </c>
      <c r="C827" s="100"/>
      <c r="D827" s="90"/>
      <c r="E827" s="90" t="s">
        <v>50</v>
      </c>
      <c r="F827" s="90" t="s">
        <v>50</v>
      </c>
      <c r="G827" s="90"/>
      <c r="H827" s="90"/>
      <c r="I827" s="90"/>
      <c r="J827" s="90">
        <v>1899</v>
      </c>
      <c r="K827" s="90">
        <v>12</v>
      </c>
    </row>
    <row r="828" spans="2:11" x14ac:dyDescent="0.15">
      <c r="B828" s="86">
        <v>825</v>
      </c>
      <c r="C828" s="99"/>
      <c r="D828" s="89"/>
      <c r="E828" s="89" t="s">
        <v>50</v>
      </c>
      <c r="F828" s="89" t="s">
        <v>50</v>
      </c>
      <c r="G828" s="89"/>
      <c r="H828" s="89"/>
      <c r="I828" s="89"/>
      <c r="J828" s="89">
        <v>1899</v>
      </c>
      <c r="K828" s="89">
        <v>12</v>
      </c>
    </row>
    <row r="829" spans="2:11" x14ac:dyDescent="0.15">
      <c r="B829" s="86">
        <v>826</v>
      </c>
      <c r="C829" s="100"/>
      <c r="D829" s="90"/>
      <c r="E829" s="90" t="s">
        <v>50</v>
      </c>
      <c r="F829" s="90" t="s">
        <v>50</v>
      </c>
      <c r="G829" s="90"/>
      <c r="H829" s="90"/>
      <c r="I829" s="90"/>
      <c r="J829" s="90">
        <v>1899</v>
      </c>
      <c r="K829" s="90">
        <v>12</v>
      </c>
    </row>
    <row r="830" spans="2:11" x14ac:dyDescent="0.15">
      <c r="B830" s="86">
        <v>827</v>
      </c>
      <c r="C830" s="99"/>
      <c r="D830" s="89"/>
      <c r="E830" s="89" t="s">
        <v>50</v>
      </c>
      <c r="F830" s="89" t="s">
        <v>50</v>
      </c>
      <c r="G830" s="89"/>
      <c r="H830" s="89"/>
      <c r="I830" s="89"/>
      <c r="J830" s="89">
        <v>1899</v>
      </c>
      <c r="K830" s="89">
        <v>12</v>
      </c>
    </row>
    <row r="831" spans="2:11" x14ac:dyDescent="0.15">
      <c r="B831" s="86">
        <v>828</v>
      </c>
      <c r="C831" s="100"/>
      <c r="D831" s="90"/>
      <c r="E831" s="90" t="s">
        <v>50</v>
      </c>
      <c r="F831" s="90" t="s">
        <v>50</v>
      </c>
      <c r="G831" s="90"/>
      <c r="H831" s="90"/>
      <c r="I831" s="90"/>
      <c r="J831" s="90">
        <v>1899</v>
      </c>
      <c r="K831" s="90">
        <v>12</v>
      </c>
    </row>
    <row r="832" spans="2:11" x14ac:dyDescent="0.15">
      <c r="B832" s="86">
        <v>829</v>
      </c>
      <c r="C832" s="99"/>
      <c r="D832" s="89"/>
      <c r="E832" s="89" t="s">
        <v>50</v>
      </c>
      <c r="F832" s="89" t="s">
        <v>50</v>
      </c>
      <c r="G832" s="89"/>
      <c r="H832" s="89"/>
      <c r="I832" s="89"/>
      <c r="J832" s="89">
        <v>1899</v>
      </c>
      <c r="K832" s="89">
        <v>12</v>
      </c>
    </row>
    <row r="833" spans="2:11" x14ac:dyDescent="0.15">
      <c r="B833" s="86">
        <v>830</v>
      </c>
      <c r="C833" s="100"/>
      <c r="D833" s="90"/>
      <c r="E833" s="90" t="s">
        <v>50</v>
      </c>
      <c r="F833" s="90" t="s">
        <v>50</v>
      </c>
      <c r="G833" s="90"/>
      <c r="H833" s="90"/>
      <c r="I833" s="90"/>
      <c r="J833" s="90">
        <v>1899</v>
      </c>
      <c r="K833" s="90">
        <v>12</v>
      </c>
    </row>
    <row r="834" spans="2:11" x14ac:dyDescent="0.15">
      <c r="B834" s="86">
        <v>831</v>
      </c>
      <c r="C834" s="99"/>
      <c r="D834" s="89"/>
      <c r="E834" s="89" t="s">
        <v>50</v>
      </c>
      <c r="F834" s="89" t="s">
        <v>50</v>
      </c>
      <c r="G834" s="89"/>
      <c r="H834" s="89"/>
      <c r="I834" s="89"/>
      <c r="J834" s="89">
        <v>1899</v>
      </c>
      <c r="K834" s="89">
        <v>12</v>
      </c>
    </row>
    <row r="835" spans="2:11" x14ac:dyDescent="0.15">
      <c r="B835" s="86">
        <v>832</v>
      </c>
      <c r="C835" s="100"/>
      <c r="D835" s="90"/>
      <c r="E835" s="90" t="s">
        <v>50</v>
      </c>
      <c r="F835" s="90" t="s">
        <v>50</v>
      </c>
      <c r="G835" s="90"/>
      <c r="H835" s="90"/>
      <c r="I835" s="90"/>
      <c r="J835" s="90">
        <v>1899</v>
      </c>
      <c r="K835" s="90">
        <v>12</v>
      </c>
    </row>
    <row r="836" spans="2:11" x14ac:dyDescent="0.15">
      <c r="B836" s="86">
        <v>833</v>
      </c>
      <c r="C836" s="99"/>
      <c r="D836" s="89"/>
      <c r="E836" s="89" t="s">
        <v>50</v>
      </c>
      <c r="F836" s="89" t="s">
        <v>50</v>
      </c>
      <c r="G836" s="89"/>
      <c r="H836" s="89"/>
      <c r="I836" s="89"/>
      <c r="J836" s="89">
        <v>1899</v>
      </c>
      <c r="K836" s="89">
        <v>12</v>
      </c>
    </row>
    <row r="837" spans="2:11" x14ac:dyDescent="0.15">
      <c r="B837" s="86">
        <v>834</v>
      </c>
      <c r="C837" s="100"/>
      <c r="D837" s="90"/>
      <c r="E837" s="90" t="s">
        <v>50</v>
      </c>
      <c r="F837" s="90" t="s">
        <v>50</v>
      </c>
      <c r="G837" s="90"/>
      <c r="H837" s="90"/>
      <c r="I837" s="90"/>
      <c r="J837" s="90">
        <v>1899</v>
      </c>
      <c r="K837" s="90">
        <v>12</v>
      </c>
    </row>
    <row r="838" spans="2:11" x14ac:dyDescent="0.15">
      <c r="B838" s="86">
        <v>835</v>
      </c>
      <c r="C838" s="99"/>
      <c r="D838" s="89"/>
      <c r="E838" s="89" t="s">
        <v>50</v>
      </c>
      <c r="F838" s="89" t="s">
        <v>50</v>
      </c>
      <c r="G838" s="89"/>
      <c r="H838" s="89"/>
      <c r="I838" s="89"/>
      <c r="J838" s="89">
        <v>1899</v>
      </c>
      <c r="K838" s="89">
        <v>12</v>
      </c>
    </row>
    <row r="839" spans="2:11" x14ac:dyDescent="0.15">
      <c r="B839" s="86">
        <v>836</v>
      </c>
      <c r="C839" s="100"/>
      <c r="D839" s="90"/>
      <c r="E839" s="90" t="s">
        <v>50</v>
      </c>
      <c r="F839" s="90" t="s">
        <v>50</v>
      </c>
      <c r="G839" s="90"/>
      <c r="H839" s="90"/>
      <c r="I839" s="90"/>
      <c r="J839" s="90">
        <v>1899</v>
      </c>
      <c r="K839" s="90">
        <v>12</v>
      </c>
    </row>
    <row r="840" spans="2:11" x14ac:dyDescent="0.15">
      <c r="B840" s="86">
        <v>837</v>
      </c>
      <c r="C840" s="99"/>
      <c r="D840" s="89"/>
      <c r="E840" s="89" t="s">
        <v>50</v>
      </c>
      <c r="F840" s="89" t="s">
        <v>50</v>
      </c>
      <c r="G840" s="89"/>
      <c r="H840" s="89"/>
      <c r="I840" s="89"/>
      <c r="J840" s="89">
        <v>1899</v>
      </c>
      <c r="K840" s="89">
        <v>12</v>
      </c>
    </row>
    <row r="841" spans="2:11" x14ac:dyDescent="0.15">
      <c r="B841" s="86">
        <v>838</v>
      </c>
      <c r="C841" s="100"/>
      <c r="D841" s="90"/>
      <c r="E841" s="90" t="s">
        <v>50</v>
      </c>
      <c r="F841" s="90" t="s">
        <v>50</v>
      </c>
      <c r="G841" s="90"/>
      <c r="H841" s="90"/>
      <c r="I841" s="90"/>
      <c r="J841" s="90">
        <v>1899</v>
      </c>
      <c r="K841" s="90">
        <v>12</v>
      </c>
    </row>
    <row r="842" spans="2:11" x14ac:dyDescent="0.15">
      <c r="B842" s="86">
        <v>839</v>
      </c>
      <c r="C842" s="99"/>
      <c r="D842" s="89"/>
      <c r="E842" s="89" t="s">
        <v>50</v>
      </c>
      <c r="F842" s="89" t="s">
        <v>50</v>
      </c>
      <c r="G842" s="89"/>
      <c r="H842" s="89"/>
      <c r="I842" s="89"/>
      <c r="J842" s="89">
        <v>1899</v>
      </c>
      <c r="K842" s="89">
        <v>12</v>
      </c>
    </row>
    <row r="843" spans="2:11" x14ac:dyDescent="0.15">
      <c r="B843" s="86">
        <v>840</v>
      </c>
      <c r="C843" s="100"/>
      <c r="D843" s="90"/>
      <c r="E843" s="90" t="s">
        <v>50</v>
      </c>
      <c r="F843" s="90" t="s">
        <v>50</v>
      </c>
      <c r="G843" s="90"/>
      <c r="H843" s="90"/>
      <c r="I843" s="90"/>
      <c r="J843" s="90">
        <v>1899</v>
      </c>
      <c r="K843" s="90">
        <v>12</v>
      </c>
    </row>
    <row r="844" spans="2:11" x14ac:dyDescent="0.15">
      <c r="B844" s="86">
        <v>841</v>
      </c>
      <c r="C844" s="99"/>
      <c r="D844" s="89"/>
      <c r="E844" s="89" t="s">
        <v>50</v>
      </c>
      <c r="F844" s="89" t="s">
        <v>50</v>
      </c>
      <c r="G844" s="89"/>
      <c r="H844" s="89"/>
      <c r="I844" s="89"/>
      <c r="J844" s="89">
        <v>1899</v>
      </c>
      <c r="K844" s="89">
        <v>12</v>
      </c>
    </row>
    <row r="845" spans="2:11" x14ac:dyDescent="0.15">
      <c r="B845" s="86">
        <v>842</v>
      </c>
      <c r="C845" s="100"/>
      <c r="D845" s="90"/>
      <c r="E845" s="90" t="s">
        <v>50</v>
      </c>
      <c r="F845" s="90" t="s">
        <v>50</v>
      </c>
      <c r="G845" s="90"/>
      <c r="H845" s="90"/>
      <c r="I845" s="90"/>
      <c r="J845" s="90">
        <v>1899</v>
      </c>
      <c r="K845" s="90">
        <v>12</v>
      </c>
    </row>
    <row r="846" spans="2:11" x14ac:dyDescent="0.15">
      <c r="B846" s="86">
        <v>843</v>
      </c>
      <c r="C846" s="99"/>
      <c r="D846" s="89"/>
      <c r="E846" s="89" t="s">
        <v>50</v>
      </c>
      <c r="F846" s="89" t="s">
        <v>50</v>
      </c>
      <c r="G846" s="89"/>
      <c r="H846" s="89"/>
      <c r="I846" s="89"/>
      <c r="J846" s="89">
        <v>1899</v>
      </c>
      <c r="K846" s="89">
        <v>12</v>
      </c>
    </row>
    <row r="847" spans="2:11" x14ac:dyDescent="0.15">
      <c r="B847" s="86">
        <v>844</v>
      </c>
      <c r="C847" s="100"/>
      <c r="D847" s="90"/>
      <c r="E847" s="90" t="s">
        <v>50</v>
      </c>
      <c r="F847" s="90" t="s">
        <v>50</v>
      </c>
      <c r="G847" s="90"/>
      <c r="H847" s="90"/>
      <c r="I847" s="90"/>
      <c r="J847" s="90">
        <v>1899</v>
      </c>
      <c r="K847" s="90">
        <v>12</v>
      </c>
    </row>
    <row r="848" spans="2:11" x14ac:dyDescent="0.15">
      <c r="B848" s="86">
        <v>845</v>
      </c>
      <c r="C848" s="99"/>
      <c r="D848" s="89"/>
      <c r="E848" s="89" t="s">
        <v>50</v>
      </c>
      <c r="F848" s="89" t="s">
        <v>50</v>
      </c>
      <c r="G848" s="89"/>
      <c r="H848" s="89"/>
      <c r="I848" s="89"/>
      <c r="J848" s="89">
        <v>1899</v>
      </c>
      <c r="K848" s="89">
        <v>12</v>
      </c>
    </row>
    <row r="849" spans="2:11" x14ac:dyDescent="0.15">
      <c r="B849" s="86">
        <v>846</v>
      </c>
      <c r="C849" s="100"/>
      <c r="D849" s="90"/>
      <c r="E849" s="90" t="s">
        <v>50</v>
      </c>
      <c r="F849" s="90" t="s">
        <v>50</v>
      </c>
      <c r="G849" s="90"/>
      <c r="H849" s="90"/>
      <c r="I849" s="90"/>
      <c r="J849" s="90">
        <v>1899</v>
      </c>
      <c r="K849" s="90">
        <v>12</v>
      </c>
    </row>
    <row r="850" spans="2:11" x14ac:dyDescent="0.15">
      <c r="B850" s="86">
        <v>847</v>
      </c>
      <c r="C850" s="99"/>
      <c r="D850" s="89"/>
      <c r="E850" s="89" t="s">
        <v>50</v>
      </c>
      <c r="F850" s="89" t="s">
        <v>50</v>
      </c>
      <c r="G850" s="89"/>
      <c r="H850" s="89"/>
      <c r="I850" s="89"/>
      <c r="J850" s="89">
        <v>1899</v>
      </c>
      <c r="K850" s="89">
        <v>12</v>
      </c>
    </row>
    <row r="851" spans="2:11" x14ac:dyDescent="0.15">
      <c r="B851" s="86">
        <v>848</v>
      </c>
      <c r="C851" s="100"/>
      <c r="D851" s="90"/>
      <c r="E851" s="90" t="s">
        <v>50</v>
      </c>
      <c r="F851" s="90" t="s">
        <v>50</v>
      </c>
      <c r="G851" s="90"/>
      <c r="H851" s="90"/>
      <c r="I851" s="90"/>
      <c r="J851" s="90">
        <v>1899</v>
      </c>
      <c r="K851" s="90">
        <v>12</v>
      </c>
    </row>
    <row r="852" spans="2:11" x14ac:dyDescent="0.15">
      <c r="B852" s="86">
        <v>849</v>
      </c>
      <c r="C852" s="99"/>
      <c r="D852" s="89"/>
      <c r="E852" s="89" t="s">
        <v>50</v>
      </c>
      <c r="F852" s="89" t="s">
        <v>50</v>
      </c>
      <c r="G852" s="89"/>
      <c r="H852" s="89"/>
      <c r="I852" s="89"/>
      <c r="J852" s="89">
        <v>1899</v>
      </c>
      <c r="K852" s="89">
        <v>12</v>
      </c>
    </row>
    <row r="853" spans="2:11" x14ac:dyDescent="0.15">
      <c r="B853" s="86">
        <v>850</v>
      </c>
      <c r="C853" s="100"/>
      <c r="D853" s="90"/>
      <c r="E853" s="90" t="s">
        <v>50</v>
      </c>
      <c r="F853" s="90" t="s">
        <v>50</v>
      </c>
      <c r="G853" s="90"/>
      <c r="H853" s="90"/>
      <c r="I853" s="90"/>
      <c r="J853" s="90">
        <v>1899</v>
      </c>
      <c r="K853" s="90">
        <v>12</v>
      </c>
    </row>
    <row r="854" spans="2:11" x14ac:dyDescent="0.15">
      <c r="B854" s="86">
        <v>851</v>
      </c>
      <c r="C854" s="99"/>
      <c r="D854" s="89"/>
      <c r="E854" s="89" t="s">
        <v>50</v>
      </c>
      <c r="F854" s="89" t="s">
        <v>50</v>
      </c>
      <c r="G854" s="89"/>
      <c r="H854" s="89"/>
      <c r="I854" s="89"/>
      <c r="J854" s="89">
        <v>1899</v>
      </c>
      <c r="K854" s="89">
        <v>12</v>
      </c>
    </row>
    <row r="855" spans="2:11" x14ac:dyDescent="0.15">
      <c r="B855" s="86">
        <v>852</v>
      </c>
      <c r="C855" s="100"/>
      <c r="D855" s="90"/>
      <c r="E855" s="90" t="s">
        <v>50</v>
      </c>
      <c r="F855" s="90" t="s">
        <v>50</v>
      </c>
      <c r="G855" s="90"/>
      <c r="H855" s="90"/>
      <c r="I855" s="90"/>
      <c r="J855" s="90">
        <v>1899</v>
      </c>
      <c r="K855" s="90">
        <v>12</v>
      </c>
    </row>
    <row r="856" spans="2:11" x14ac:dyDescent="0.15">
      <c r="B856" s="86">
        <v>853</v>
      </c>
      <c r="C856" s="99"/>
      <c r="D856" s="89"/>
      <c r="E856" s="89" t="s">
        <v>50</v>
      </c>
      <c r="F856" s="89" t="s">
        <v>50</v>
      </c>
      <c r="G856" s="89"/>
      <c r="H856" s="89"/>
      <c r="I856" s="89"/>
      <c r="J856" s="89">
        <v>1899</v>
      </c>
      <c r="K856" s="89">
        <v>12</v>
      </c>
    </row>
    <row r="857" spans="2:11" x14ac:dyDescent="0.15">
      <c r="B857" s="86">
        <v>854</v>
      </c>
      <c r="C857" s="100"/>
      <c r="D857" s="90"/>
      <c r="E857" s="90" t="s">
        <v>50</v>
      </c>
      <c r="F857" s="90" t="s">
        <v>50</v>
      </c>
      <c r="G857" s="90"/>
      <c r="H857" s="90"/>
      <c r="I857" s="90"/>
      <c r="J857" s="90">
        <v>1899</v>
      </c>
      <c r="K857" s="90">
        <v>12</v>
      </c>
    </row>
    <row r="858" spans="2:11" x14ac:dyDescent="0.15">
      <c r="B858" s="86">
        <v>855</v>
      </c>
      <c r="C858" s="99"/>
      <c r="D858" s="89"/>
      <c r="E858" s="89" t="s">
        <v>50</v>
      </c>
      <c r="F858" s="89" t="s">
        <v>50</v>
      </c>
      <c r="G858" s="89"/>
      <c r="H858" s="89"/>
      <c r="I858" s="89"/>
      <c r="J858" s="89">
        <v>1899</v>
      </c>
      <c r="K858" s="89">
        <v>12</v>
      </c>
    </row>
    <row r="859" spans="2:11" x14ac:dyDescent="0.15">
      <c r="B859" s="86">
        <v>856</v>
      </c>
      <c r="C859" s="100"/>
      <c r="D859" s="90"/>
      <c r="E859" s="90" t="s">
        <v>50</v>
      </c>
      <c r="F859" s="90" t="s">
        <v>50</v>
      </c>
      <c r="G859" s="90"/>
      <c r="H859" s="90"/>
      <c r="I859" s="90"/>
      <c r="J859" s="90">
        <v>1899</v>
      </c>
      <c r="K859" s="90">
        <v>12</v>
      </c>
    </row>
    <row r="860" spans="2:11" x14ac:dyDescent="0.15">
      <c r="B860" s="86">
        <v>857</v>
      </c>
      <c r="C860" s="99"/>
      <c r="D860" s="89"/>
      <c r="E860" s="89" t="s">
        <v>50</v>
      </c>
      <c r="F860" s="89" t="s">
        <v>50</v>
      </c>
      <c r="G860" s="89"/>
      <c r="H860" s="89"/>
      <c r="I860" s="89"/>
      <c r="J860" s="89">
        <v>1899</v>
      </c>
      <c r="K860" s="89">
        <v>12</v>
      </c>
    </row>
    <row r="861" spans="2:11" x14ac:dyDescent="0.15">
      <c r="B861" s="86">
        <v>858</v>
      </c>
      <c r="C861" s="100"/>
      <c r="D861" s="90"/>
      <c r="E861" s="90" t="s">
        <v>50</v>
      </c>
      <c r="F861" s="90" t="s">
        <v>50</v>
      </c>
      <c r="G861" s="90"/>
      <c r="H861" s="90"/>
      <c r="I861" s="90"/>
      <c r="J861" s="90">
        <v>1899</v>
      </c>
      <c r="K861" s="90">
        <v>12</v>
      </c>
    </row>
    <row r="862" spans="2:11" x14ac:dyDescent="0.15">
      <c r="B862" s="86">
        <v>859</v>
      </c>
      <c r="C862" s="99"/>
      <c r="D862" s="89"/>
      <c r="E862" s="89" t="s">
        <v>50</v>
      </c>
      <c r="F862" s="89" t="s">
        <v>50</v>
      </c>
      <c r="G862" s="89"/>
      <c r="H862" s="89"/>
      <c r="I862" s="89"/>
      <c r="J862" s="89">
        <v>1899</v>
      </c>
      <c r="K862" s="89">
        <v>12</v>
      </c>
    </row>
    <row r="863" spans="2:11" x14ac:dyDescent="0.15">
      <c r="B863" s="86">
        <v>860</v>
      </c>
      <c r="C863" s="100"/>
      <c r="D863" s="90"/>
      <c r="E863" s="90" t="s">
        <v>50</v>
      </c>
      <c r="F863" s="90" t="s">
        <v>50</v>
      </c>
      <c r="G863" s="90"/>
      <c r="H863" s="90"/>
      <c r="I863" s="90"/>
      <c r="J863" s="90">
        <v>1899</v>
      </c>
      <c r="K863" s="90">
        <v>12</v>
      </c>
    </row>
    <row r="864" spans="2:11" x14ac:dyDescent="0.15">
      <c r="B864" s="86">
        <v>861</v>
      </c>
      <c r="C864" s="99"/>
      <c r="D864" s="89"/>
      <c r="E864" s="89" t="s">
        <v>50</v>
      </c>
      <c r="F864" s="89" t="s">
        <v>50</v>
      </c>
      <c r="G864" s="89"/>
      <c r="H864" s="89"/>
      <c r="I864" s="89"/>
      <c r="J864" s="89">
        <v>1899</v>
      </c>
      <c r="K864" s="89">
        <v>12</v>
      </c>
    </row>
    <row r="865" spans="2:11" x14ac:dyDescent="0.15">
      <c r="B865" s="86">
        <v>862</v>
      </c>
      <c r="C865" s="100"/>
      <c r="D865" s="90"/>
      <c r="E865" s="90" t="s">
        <v>50</v>
      </c>
      <c r="F865" s="90" t="s">
        <v>50</v>
      </c>
      <c r="G865" s="90"/>
      <c r="H865" s="90"/>
      <c r="I865" s="90"/>
      <c r="J865" s="90">
        <v>1899</v>
      </c>
      <c r="K865" s="90">
        <v>12</v>
      </c>
    </row>
    <row r="866" spans="2:11" x14ac:dyDescent="0.15">
      <c r="B866" s="86">
        <v>863</v>
      </c>
      <c r="C866" s="99"/>
      <c r="D866" s="89"/>
      <c r="E866" s="89" t="s">
        <v>50</v>
      </c>
      <c r="F866" s="89" t="s">
        <v>50</v>
      </c>
      <c r="G866" s="89"/>
      <c r="H866" s="89"/>
      <c r="I866" s="89"/>
      <c r="J866" s="89">
        <v>1899</v>
      </c>
      <c r="K866" s="89">
        <v>12</v>
      </c>
    </row>
    <row r="867" spans="2:11" x14ac:dyDescent="0.15">
      <c r="B867" s="86">
        <v>864</v>
      </c>
      <c r="C867" s="100"/>
      <c r="D867" s="90"/>
      <c r="E867" s="90" t="s">
        <v>50</v>
      </c>
      <c r="F867" s="90" t="s">
        <v>50</v>
      </c>
      <c r="G867" s="90"/>
      <c r="H867" s="90"/>
      <c r="I867" s="90"/>
      <c r="J867" s="90">
        <v>1899</v>
      </c>
      <c r="K867" s="90">
        <v>12</v>
      </c>
    </row>
    <row r="868" spans="2:11" x14ac:dyDescent="0.15">
      <c r="B868" s="86">
        <v>865</v>
      </c>
      <c r="C868" s="99"/>
      <c r="D868" s="89"/>
      <c r="E868" s="89" t="s">
        <v>50</v>
      </c>
      <c r="F868" s="89" t="s">
        <v>50</v>
      </c>
      <c r="G868" s="89"/>
      <c r="H868" s="89"/>
      <c r="I868" s="89"/>
      <c r="J868" s="89">
        <v>1899</v>
      </c>
      <c r="K868" s="89">
        <v>12</v>
      </c>
    </row>
    <row r="869" spans="2:11" x14ac:dyDescent="0.15">
      <c r="B869" s="86">
        <v>866</v>
      </c>
      <c r="C869" s="100"/>
      <c r="D869" s="90"/>
      <c r="E869" s="90" t="s">
        <v>50</v>
      </c>
      <c r="F869" s="90" t="s">
        <v>50</v>
      </c>
      <c r="G869" s="90"/>
      <c r="H869" s="90"/>
      <c r="I869" s="90"/>
      <c r="J869" s="90">
        <v>1899</v>
      </c>
      <c r="K869" s="90">
        <v>12</v>
      </c>
    </row>
    <row r="870" spans="2:11" x14ac:dyDescent="0.15">
      <c r="B870" s="86">
        <v>867</v>
      </c>
      <c r="C870" s="99"/>
      <c r="D870" s="89"/>
      <c r="E870" s="89" t="s">
        <v>50</v>
      </c>
      <c r="F870" s="89" t="s">
        <v>50</v>
      </c>
      <c r="G870" s="89"/>
      <c r="H870" s="89"/>
      <c r="I870" s="89"/>
      <c r="J870" s="89">
        <v>1899</v>
      </c>
      <c r="K870" s="89">
        <v>12</v>
      </c>
    </row>
    <row r="871" spans="2:11" x14ac:dyDescent="0.15">
      <c r="B871" s="86">
        <v>868</v>
      </c>
      <c r="C871" s="100"/>
      <c r="D871" s="90"/>
      <c r="E871" s="90" t="s">
        <v>50</v>
      </c>
      <c r="F871" s="90" t="s">
        <v>50</v>
      </c>
      <c r="G871" s="90"/>
      <c r="H871" s="90"/>
      <c r="I871" s="90"/>
      <c r="J871" s="90">
        <v>1899</v>
      </c>
      <c r="K871" s="90">
        <v>12</v>
      </c>
    </row>
    <row r="872" spans="2:11" x14ac:dyDescent="0.15">
      <c r="B872" s="86">
        <v>869</v>
      </c>
      <c r="C872" s="99"/>
      <c r="D872" s="89"/>
      <c r="E872" s="89" t="s">
        <v>50</v>
      </c>
      <c r="F872" s="89" t="s">
        <v>50</v>
      </c>
      <c r="G872" s="89"/>
      <c r="H872" s="89"/>
      <c r="I872" s="89"/>
      <c r="J872" s="89">
        <v>1899</v>
      </c>
      <c r="K872" s="89">
        <v>12</v>
      </c>
    </row>
    <row r="873" spans="2:11" x14ac:dyDescent="0.15">
      <c r="B873" s="86">
        <v>870</v>
      </c>
      <c r="C873" s="100"/>
      <c r="D873" s="90"/>
      <c r="E873" s="90" t="s">
        <v>50</v>
      </c>
      <c r="F873" s="90" t="s">
        <v>50</v>
      </c>
      <c r="G873" s="90"/>
      <c r="H873" s="90"/>
      <c r="I873" s="90"/>
      <c r="J873" s="90">
        <v>1899</v>
      </c>
      <c r="K873" s="90">
        <v>12</v>
      </c>
    </row>
    <row r="874" spans="2:11" x14ac:dyDescent="0.15">
      <c r="B874" s="86">
        <v>871</v>
      </c>
      <c r="C874" s="99"/>
      <c r="D874" s="89"/>
      <c r="E874" s="89" t="s">
        <v>50</v>
      </c>
      <c r="F874" s="89" t="s">
        <v>50</v>
      </c>
      <c r="G874" s="89"/>
      <c r="H874" s="89"/>
      <c r="I874" s="89"/>
      <c r="J874" s="89">
        <v>1899</v>
      </c>
      <c r="K874" s="89">
        <v>12</v>
      </c>
    </row>
    <row r="875" spans="2:11" x14ac:dyDescent="0.15">
      <c r="B875" s="86">
        <v>872</v>
      </c>
      <c r="C875" s="100"/>
      <c r="D875" s="90"/>
      <c r="E875" s="90" t="s">
        <v>50</v>
      </c>
      <c r="F875" s="90" t="s">
        <v>50</v>
      </c>
      <c r="G875" s="90"/>
      <c r="H875" s="90"/>
      <c r="I875" s="90"/>
      <c r="J875" s="90">
        <v>1899</v>
      </c>
      <c r="K875" s="90">
        <v>12</v>
      </c>
    </row>
    <row r="876" spans="2:11" x14ac:dyDescent="0.15">
      <c r="B876" s="86">
        <v>873</v>
      </c>
      <c r="C876" s="99"/>
      <c r="D876" s="89"/>
      <c r="E876" s="89" t="s">
        <v>50</v>
      </c>
      <c r="F876" s="89" t="s">
        <v>50</v>
      </c>
      <c r="G876" s="89"/>
      <c r="H876" s="89"/>
      <c r="I876" s="89"/>
      <c r="J876" s="89">
        <v>1899</v>
      </c>
      <c r="K876" s="89">
        <v>12</v>
      </c>
    </row>
    <row r="877" spans="2:11" x14ac:dyDescent="0.15">
      <c r="B877" s="86">
        <v>874</v>
      </c>
      <c r="C877" s="100"/>
      <c r="D877" s="90"/>
      <c r="E877" s="90" t="s">
        <v>50</v>
      </c>
      <c r="F877" s="90" t="s">
        <v>50</v>
      </c>
      <c r="G877" s="90"/>
      <c r="H877" s="90"/>
      <c r="I877" s="90"/>
      <c r="J877" s="90">
        <v>1899</v>
      </c>
      <c r="K877" s="90">
        <v>12</v>
      </c>
    </row>
    <row r="878" spans="2:11" x14ac:dyDescent="0.15">
      <c r="B878" s="86">
        <v>875</v>
      </c>
      <c r="C878" s="99"/>
      <c r="D878" s="89"/>
      <c r="E878" s="89" t="s">
        <v>50</v>
      </c>
      <c r="F878" s="89" t="s">
        <v>50</v>
      </c>
      <c r="G878" s="89"/>
      <c r="H878" s="89"/>
      <c r="I878" s="89"/>
      <c r="J878" s="89">
        <v>1899</v>
      </c>
      <c r="K878" s="89">
        <v>12</v>
      </c>
    </row>
    <row r="879" spans="2:11" x14ac:dyDescent="0.15">
      <c r="B879" s="86">
        <v>876</v>
      </c>
      <c r="C879" s="100"/>
      <c r="D879" s="90"/>
      <c r="E879" s="90" t="s">
        <v>50</v>
      </c>
      <c r="F879" s="90" t="s">
        <v>50</v>
      </c>
      <c r="G879" s="90"/>
      <c r="H879" s="90"/>
      <c r="I879" s="90"/>
      <c r="J879" s="90">
        <v>1899</v>
      </c>
      <c r="K879" s="90">
        <v>12</v>
      </c>
    </row>
    <row r="880" spans="2:11" x14ac:dyDescent="0.15">
      <c r="B880" s="86">
        <v>877</v>
      </c>
      <c r="C880" s="99"/>
      <c r="D880" s="89"/>
      <c r="E880" s="89" t="s">
        <v>50</v>
      </c>
      <c r="F880" s="89" t="s">
        <v>50</v>
      </c>
      <c r="G880" s="89"/>
      <c r="H880" s="89"/>
      <c r="I880" s="89"/>
      <c r="J880" s="89">
        <v>1899</v>
      </c>
      <c r="K880" s="89">
        <v>12</v>
      </c>
    </row>
    <row r="881" spans="2:11" x14ac:dyDescent="0.15">
      <c r="B881" s="86">
        <v>878</v>
      </c>
      <c r="C881" s="100"/>
      <c r="D881" s="90"/>
      <c r="E881" s="90" t="s">
        <v>50</v>
      </c>
      <c r="F881" s="90" t="s">
        <v>50</v>
      </c>
      <c r="G881" s="90"/>
      <c r="H881" s="90"/>
      <c r="I881" s="90"/>
      <c r="J881" s="90">
        <v>1899</v>
      </c>
      <c r="K881" s="90">
        <v>12</v>
      </c>
    </row>
    <row r="882" spans="2:11" x14ac:dyDescent="0.15">
      <c r="B882" s="86">
        <v>879</v>
      </c>
      <c r="C882" s="99"/>
      <c r="D882" s="89"/>
      <c r="E882" s="89" t="s">
        <v>50</v>
      </c>
      <c r="F882" s="89" t="s">
        <v>50</v>
      </c>
      <c r="G882" s="89"/>
      <c r="H882" s="89"/>
      <c r="I882" s="89"/>
      <c r="J882" s="89">
        <v>1899</v>
      </c>
      <c r="K882" s="89">
        <v>12</v>
      </c>
    </row>
    <row r="883" spans="2:11" x14ac:dyDescent="0.15">
      <c r="B883" s="86">
        <v>880</v>
      </c>
      <c r="C883" s="100"/>
      <c r="D883" s="90"/>
      <c r="E883" s="90" t="s">
        <v>50</v>
      </c>
      <c r="F883" s="90" t="s">
        <v>50</v>
      </c>
      <c r="G883" s="90"/>
      <c r="H883" s="90"/>
      <c r="I883" s="90"/>
      <c r="J883" s="90">
        <v>1899</v>
      </c>
      <c r="K883" s="90">
        <v>12</v>
      </c>
    </row>
    <row r="884" spans="2:11" x14ac:dyDescent="0.15">
      <c r="B884" s="86">
        <v>881</v>
      </c>
      <c r="C884" s="99"/>
      <c r="D884" s="89"/>
      <c r="E884" s="89" t="s">
        <v>50</v>
      </c>
      <c r="F884" s="89" t="s">
        <v>50</v>
      </c>
      <c r="G884" s="89"/>
      <c r="H884" s="89"/>
      <c r="I884" s="89"/>
      <c r="J884" s="89">
        <v>1899</v>
      </c>
      <c r="K884" s="89">
        <v>12</v>
      </c>
    </row>
    <row r="885" spans="2:11" x14ac:dyDescent="0.15">
      <c r="B885" s="86">
        <v>882</v>
      </c>
      <c r="C885" s="100"/>
      <c r="D885" s="90"/>
      <c r="E885" s="90" t="s">
        <v>50</v>
      </c>
      <c r="F885" s="90" t="s">
        <v>50</v>
      </c>
      <c r="G885" s="90"/>
      <c r="H885" s="90"/>
      <c r="I885" s="90"/>
      <c r="J885" s="90">
        <v>1899</v>
      </c>
      <c r="K885" s="90">
        <v>12</v>
      </c>
    </row>
    <row r="886" spans="2:11" x14ac:dyDescent="0.15">
      <c r="B886" s="86">
        <v>883</v>
      </c>
      <c r="C886" s="99"/>
      <c r="D886" s="89"/>
      <c r="E886" s="89" t="s">
        <v>50</v>
      </c>
      <c r="F886" s="89" t="s">
        <v>50</v>
      </c>
      <c r="G886" s="89"/>
      <c r="H886" s="89"/>
      <c r="I886" s="89"/>
      <c r="J886" s="89">
        <v>1899</v>
      </c>
      <c r="K886" s="89">
        <v>12</v>
      </c>
    </row>
    <row r="887" spans="2:11" x14ac:dyDescent="0.15">
      <c r="B887" s="86">
        <v>884</v>
      </c>
      <c r="C887" s="100"/>
      <c r="D887" s="90"/>
      <c r="E887" s="90" t="s">
        <v>50</v>
      </c>
      <c r="F887" s="90" t="s">
        <v>50</v>
      </c>
      <c r="G887" s="90"/>
      <c r="H887" s="90"/>
      <c r="I887" s="90"/>
      <c r="J887" s="90">
        <v>1899</v>
      </c>
      <c r="K887" s="90">
        <v>12</v>
      </c>
    </row>
    <row r="888" spans="2:11" x14ac:dyDescent="0.15">
      <c r="B888" s="86">
        <v>885</v>
      </c>
      <c r="C888" s="99"/>
      <c r="D888" s="89"/>
      <c r="E888" s="89" t="s">
        <v>50</v>
      </c>
      <c r="F888" s="89" t="s">
        <v>50</v>
      </c>
      <c r="G888" s="89"/>
      <c r="H888" s="89"/>
      <c r="I888" s="89"/>
      <c r="J888" s="89">
        <v>1899</v>
      </c>
      <c r="K888" s="89">
        <v>12</v>
      </c>
    </row>
    <row r="889" spans="2:11" x14ac:dyDescent="0.15">
      <c r="B889" s="86">
        <v>886</v>
      </c>
      <c r="C889" s="100"/>
      <c r="D889" s="90"/>
      <c r="E889" s="90" t="s">
        <v>50</v>
      </c>
      <c r="F889" s="90" t="s">
        <v>50</v>
      </c>
      <c r="G889" s="90"/>
      <c r="H889" s="90"/>
      <c r="I889" s="90"/>
      <c r="J889" s="90">
        <v>1899</v>
      </c>
      <c r="K889" s="90">
        <v>12</v>
      </c>
    </row>
    <row r="890" spans="2:11" x14ac:dyDescent="0.15">
      <c r="B890" s="86">
        <v>887</v>
      </c>
      <c r="C890" s="99"/>
      <c r="D890" s="89"/>
      <c r="E890" s="89" t="s">
        <v>50</v>
      </c>
      <c r="F890" s="89" t="s">
        <v>50</v>
      </c>
      <c r="G890" s="89"/>
      <c r="H890" s="89"/>
      <c r="I890" s="89"/>
      <c r="J890" s="89">
        <v>1899</v>
      </c>
      <c r="K890" s="89">
        <v>12</v>
      </c>
    </row>
    <row r="891" spans="2:11" x14ac:dyDescent="0.15">
      <c r="B891" s="86">
        <v>888</v>
      </c>
      <c r="C891" s="100"/>
      <c r="D891" s="90"/>
      <c r="E891" s="90" t="s">
        <v>50</v>
      </c>
      <c r="F891" s="90" t="s">
        <v>50</v>
      </c>
      <c r="G891" s="90"/>
      <c r="H891" s="90"/>
      <c r="I891" s="90"/>
      <c r="J891" s="90">
        <v>1899</v>
      </c>
      <c r="K891" s="90">
        <v>12</v>
      </c>
    </row>
    <row r="892" spans="2:11" x14ac:dyDescent="0.15">
      <c r="B892" s="101">
        <v>889</v>
      </c>
      <c r="C892" s="102"/>
      <c r="D892" s="91"/>
      <c r="E892" s="91" t="s">
        <v>50</v>
      </c>
      <c r="F892" s="91" t="s">
        <v>50</v>
      </c>
      <c r="G892" s="91"/>
      <c r="H892" s="91"/>
      <c r="I892" s="91"/>
      <c r="J892" s="91">
        <v>1899</v>
      </c>
      <c r="K892" s="91">
        <v>12</v>
      </c>
    </row>
    <row r="893" spans="2:11" x14ac:dyDescent="0.15">
      <c r="B893" s="101">
        <v>890</v>
      </c>
      <c r="C893" s="102"/>
      <c r="D893" s="91"/>
      <c r="E893" s="91" t="s">
        <v>50</v>
      </c>
      <c r="F893" s="91" t="s">
        <v>50</v>
      </c>
      <c r="G893" s="91"/>
      <c r="H893" s="91"/>
      <c r="I893" s="91"/>
      <c r="J893" s="91">
        <v>1899</v>
      </c>
      <c r="K893" s="91">
        <v>12</v>
      </c>
    </row>
    <row r="894" spans="2:11" x14ac:dyDescent="0.15">
      <c r="B894" s="101">
        <v>891</v>
      </c>
      <c r="C894" s="102"/>
      <c r="D894" s="91"/>
      <c r="E894" s="91" t="s">
        <v>50</v>
      </c>
      <c r="F894" s="91" t="s">
        <v>50</v>
      </c>
      <c r="G894" s="91"/>
      <c r="H894" s="91"/>
      <c r="I894" s="91"/>
      <c r="J894" s="91">
        <v>1899</v>
      </c>
      <c r="K894" s="91">
        <v>12</v>
      </c>
    </row>
    <row r="895" spans="2:11" x14ac:dyDescent="0.15">
      <c r="B895" s="101">
        <v>892</v>
      </c>
      <c r="C895" s="102"/>
      <c r="D895" s="91"/>
      <c r="E895" s="91" t="s">
        <v>50</v>
      </c>
      <c r="F895" s="91" t="s">
        <v>50</v>
      </c>
      <c r="G895" s="91"/>
      <c r="H895" s="91"/>
      <c r="I895" s="91"/>
      <c r="J895" s="91">
        <v>1899</v>
      </c>
      <c r="K895" s="91">
        <v>12</v>
      </c>
    </row>
    <row r="896" spans="2:11" x14ac:dyDescent="0.15">
      <c r="B896" s="101">
        <v>893</v>
      </c>
      <c r="C896" s="102"/>
      <c r="D896" s="91"/>
      <c r="E896" s="91" t="s">
        <v>50</v>
      </c>
      <c r="F896" s="91" t="s">
        <v>50</v>
      </c>
      <c r="G896" s="91"/>
      <c r="H896" s="91"/>
      <c r="I896" s="91"/>
      <c r="J896" s="91">
        <v>1899</v>
      </c>
      <c r="K896" s="91">
        <v>12</v>
      </c>
    </row>
    <row r="897" spans="2:11" x14ac:dyDescent="0.15">
      <c r="B897" s="101">
        <v>894</v>
      </c>
      <c r="C897" s="102"/>
      <c r="D897" s="91"/>
      <c r="E897" s="91" t="s">
        <v>50</v>
      </c>
      <c r="F897" s="91" t="s">
        <v>50</v>
      </c>
      <c r="G897" s="91"/>
      <c r="H897" s="91"/>
      <c r="I897" s="91"/>
      <c r="J897" s="91">
        <v>1899</v>
      </c>
      <c r="K897" s="91">
        <v>12</v>
      </c>
    </row>
    <row r="898" spans="2:11" x14ac:dyDescent="0.15">
      <c r="B898" s="101">
        <v>895</v>
      </c>
      <c r="C898" s="102"/>
      <c r="D898" s="91"/>
      <c r="E898" s="91" t="s">
        <v>50</v>
      </c>
      <c r="F898" s="91" t="s">
        <v>50</v>
      </c>
      <c r="G898" s="91"/>
      <c r="H898" s="91"/>
      <c r="I898" s="91"/>
      <c r="J898" s="91">
        <v>1899</v>
      </c>
      <c r="K898" s="91">
        <v>12</v>
      </c>
    </row>
    <row r="899" spans="2:11" x14ac:dyDescent="0.15">
      <c r="B899" s="101">
        <v>896</v>
      </c>
      <c r="C899" s="102"/>
      <c r="D899" s="91"/>
      <c r="E899" s="91" t="s">
        <v>50</v>
      </c>
      <c r="F899" s="91" t="s">
        <v>50</v>
      </c>
      <c r="G899" s="91"/>
      <c r="H899" s="91"/>
      <c r="I899" s="91"/>
      <c r="J899" s="91">
        <v>1899</v>
      </c>
      <c r="K899" s="91">
        <v>12</v>
      </c>
    </row>
    <row r="900" spans="2:11" x14ac:dyDescent="0.15">
      <c r="B900" s="101">
        <v>897</v>
      </c>
      <c r="C900" s="102"/>
      <c r="D900" s="91"/>
      <c r="E900" s="91" t="s">
        <v>50</v>
      </c>
      <c r="F900" s="91" t="s">
        <v>50</v>
      </c>
      <c r="G900" s="91"/>
      <c r="H900" s="91"/>
      <c r="I900" s="91"/>
      <c r="J900" s="91">
        <v>1899</v>
      </c>
      <c r="K900" s="91">
        <v>12</v>
      </c>
    </row>
    <row r="901" spans="2:11" x14ac:dyDescent="0.15">
      <c r="B901" s="101">
        <v>898</v>
      </c>
      <c r="C901" s="102"/>
      <c r="D901" s="91"/>
      <c r="E901" s="91" t="s">
        <v>50</v>
      </c>
      <c r="F901" s="91" t="s">
        <v>50</v>
      </c>
      <c r="G901" s="91"/>
      <c r="H901" s="91"/>
      <c r="I901" s="91"/>
      <c r="J901" s="91">
        <v>1899</v>
      </c>
      <c r="K901" s="91">
        <v>12</v>
      </c>
    </row>
    <row r="902" spans="2:11" x14ac:dyDescent="0.15">
      <c r="B902" s="101">
        <v>899</v>
      </c>
      <c r="C902" s="102"/>
      <c r="D902" s="91"/>
      <c r="E902" s="91" t="s">
        <v>50</v>
      </c>
      <c r="F902" s="91" t="s">
        <v>50</v>
      </c>
      <c r="G902" s="91"/>
      <c r="H902" s="91"/>
      <c r="I902" s="91"/>
      <c r="J902" s="91">
        <v>1899</v>
      </c>
      <c r="K902" s="91">
        <v>12</v>
      </c>
    </row>
    <row r="903" spans="2:11" x14ac:dyDescent="0.15">
      <c r="B903" s="101">
        <v>900</v>
      </c>
      <c r="C903" s="102"/>
      <c r="D903" s="91"/>
      <c r="E903" s="91" t="s">
        <v>50</v>
      </c>
      <c r="F903" s="91" t="s">
        <v>50</v>
      </c>
      <c r="G903" s="91"/>
      <c r="H903" s="91"/>
      <c r="I903" s="91"/>
      <c r="J903" s="91">
        <v>1899</v>
      </c>
      <c r="K903" s="91">
        <v>12</v>
      </c>
    </row>
    <row r="904" spans="2:11" x14ac:dyDescent="0.15">
      <c r="B904" s="101">
        <v>901</v>
      </c>
      <c r="C904" s="102"/>
      <c r="D904" s="91"/>
      <c r="E904" s="91" t="s">
        <v>50</v>
      </c>
      <c r="F904" s="91" t="s">
        <v>50</v>
      </c>
      <c r="G904" s="91"/>
      <c r="H904" s="91"/>
      <c r="I904" s="91"/>
      <c r="J904" s="91">
        <v>1899</v>
      </c>
      <c r="K904" s="91">
        <v>12</v>
      </c>
    </row>
    <row r="905" spans="2:11" x14ac:dyDescent="0.15">
      <c r="B905" s="101">
        <v>902</v>
      </c>
      <c r="C905" s="102"/>
      <c r="D905" s="91"/>
      <c r="E905" s="91" t="s">
        <v>50</v>
      </c>
      <c r="F905" s="91" t="s">
        <v>50</v>
      </c>
      <c r="G905" s="91"/>
      <c r="H905" s="91"/>
      <c r="I905" s="91"/>
      <c r="J905" s="91">
        <v>1899</v>
      </c>
      <c r="K905" s="91">
        <v>12</v>
      </c>
    </row>
    <row r="906" spans="2:11" x14ac:dyDescent="0.15">
      <c r="B906" s="101">
        <v>903</v>
      </c>
      <c r="C906" s="102"/>
      <c r="D906" s="91"/>
      <c r="E906" s="91" t="s">
        <v>50</v>
      </c>
      <c r="F906" s="91" t="s">
        <v>50</v>
      </c>
      <c r="G906" s="91"/>
      <c r="H906" s="91"/>
      <c r="I906" s="91"/>
      <c r="J906" s="91">
        <v>1899</v>
      </c>
      <c r="K906" s="91">
        <v>12</v>
      </c>
    </row>
    <row r="907" spans="2:11" x14ac:dyDescent="0.15">
      <c r="B907" s="101">
        <v>904</v>
      </c>
      <c r="C907" s="102"/>
      <c r="D907" s="91"/>
      <c r="E907" s="91" t="s">
        <v>50</v>
      </c>
      <c r="F907" s="91" t="s">
        <v>50</v>
      </c>
      <c r="G907" s="91"/>
      <c r="H907" s="91"/>
      <c r="I907" s="91"/>
      <c r="J907" s="91">
        <v>1899</v>
      </c>
      <c r="K907" s="91">
        <v>12</v>
      </c>
    </row>
    <row r="908" spans="2:11" x14ac:dyDescent="0.15">
      <c r="B908" s="101">
        <v>905</v>
      </c>
      <c r="C908" s="102"/>
      <c r="D908" s="91"/>
      <c r="E908" s="91" t="s">
        <v>50</v>
      </c>
      <c r="F908" s="91" t="s">
        <v>50</v>
      </c>
      <c r="G908" s="91"/>
      <c r="H908" s="91"/>
      <c r="I908" s="91"/>
      <c r="J908" s="91">
        <v>1899</v>
      </c>
      <c r="K908" s="91">
        <v>12</v>
      </c>
    </row>
    <row r="909" spans="2:11" x14ac:dyDescent="0.15">
      <c r="B909" s="101">
        <v>906</v>
      </c>
      <c r="C909" s="102"/>
      <c r="D909" s="91"/>
      <c r="E909" s="91" t="s">
        <v>50</v>
      </c>
      <c r="F909" s="91" t="s">
        <v>50</v>
      </c>
      <c r="G909" s="91"/>
      <c r="H909" s="91"/>
      <c r="I909" s="91"/>
      <c r="J909" s="91">
        <v>1899</v>
      </c>
      <c r="K909" s="91">
        <v>12</v>
      </c>
    </row>
    <row r="910" spans="2:11" x14ac:dyDescent="0.15">
      <c r="B910" s="101">
        <v>907</v>
      </c>
      <c r="C910" s="102"/>
      <c r="D910" s="91"/>
      <c r="E910" s="91" t="s">
        <v>50</v>
      </c>
      <c r="F910" s="91" t="s">
        <v>50</v>
      </c>
      <c r="G910" s="91"/>
      <c r="H910" s="91"/>
      <c r="I910" s="91"/>
      <c r="J910" s="91">
        <v>1899</v>
      </c>
      <c r="K910" s="91">
        <v>12</v>
      </c>
    </row>
    <row r="911" spans="2:11" x14ac:dyDescent="0.15">
      <c r="B911" s="101">
        <v>908</v>
      </c>
      <c r="C911" s="102"/>
      <c r="D911" s="91"/>
      <c r="E911" s="91" t="s">
        <v>50</v>
      </c>
      <c r="F911" s="91" t="s">
        <v>50</v>
      </c>
      <c r="G911" s="91"/>
      <c r="H911" s="91"/>
      <c r="I911" s="91"/>
      <c r="J911" s="91">
        <v>1899</v>
      </c>
      <c r="K911" s="91">
        <v>12</v>
      </c>
    </row>
    <row r="912" spans="2:11" x14ac:dyDescent="0.15">
      <c r="B912" s="101">
        <v>909</v>
      </c>
      <c r="C912" s="102"/>
      <c r="D912" s="91"/>
      <c r="E912" s="91" t="s">
        <v>50</v>
      </c>
      <c r="F912" s="91" t="s">
        <v>50</v>
      </c>
      <c r="G912" s="91"/>
      <c r="H912" s="91"/>
      <c r="I912" s="91"/>
      <c r="J912" s="91">
        <v>1899</v>
      </c>
      <c r="K912" s="91">
        <v>12</v>
      </c>
    </row>
    <row r="913" spans="2:11" x14ac:dyDescent="0.15">
      <c r="B913" s="101">
        <v>910</v>
      </c>
      <c r="C913" s="102"/>
      <c r="D913" s="91"/>
      <c r="E913" s="91" t="s">
        <v>50</v>
      </c>
      <c r="F913" s="91" t="s">
        <v>50</v>
      </c>
      <c r="G913" s="91"/>
      <c r="H913" s="91"/>
      <c r="I913" s="91"/>
      <c r="J913" s="91">
        <v>1899</v>
      </c>
      <c r="K913" s="91">
        <v>12</v>
      </c>
    </row>
    <row r="914" spans="2:11" x14ac:dyDescent="0.15">
      <c r="B914" s="101">
        <v>911</v>
      </c>
      <c r="C914" s="102"/>
      <c r="D914" s="91"/>
      <c r="E914" s="91" t="s">
        <v>50</v>
      </c>
      <c r="F914" s="91" t="s">
        <v>50</v>
      </c>
      <c r="G914" s="91"/>
      <c r="H914" s="91"/>
      <c r="I914" s="91"/>
      <c r="J914" s="91">
        <v>1899</v>
      </c>
      <c r="K914" s="91">
        <v>12</v>
      </c>
    </row>
    <row r="915" spans="2:11" x14ac:dyDescent="0.15">
      <c r="B915" s="101">
        <v>912</v>
      </c>
      <c r="C915" s="102"/>
      <c r="D915" s="91"/>
      <c r="E915" s="91" t="s">
        <v>50</v>
      </c>
      <c r="F915" s="91" t="s">
        <v>50</v>
      </c>
      <c r="G915" s="91"/>
      <c r="H915" s="91"/>
      <c r="I915" s="91"/>
      <c r="J915" s="91">
        <v>1899</v>
      </c>
      <c r="K915" s="91">
        <v>12</v>
      </c>
    </row>
    <row r="916" spans="2:11" x14ac:dyDescent="0.15">
      <c r="B916" s="101">
        <v>913</v>
      </c>
      <c r="C916" s="102"/>
      <c r="D916" s="91"/>
      <c r="E916" s="91" t="s">
        <v>50</v>
      </c>
      <c r="F916" s="91" t="s">
        <v>50</v>
      </c>
      <c r="G916" s="91"/>
      <c r="H916" s="91"/>
      <c r="I916" s="91"/>
      <c r="J916" s="91">
        <v>1899</v>
      </c>
      <c r="K916" s="91">
        <v>12</v>
      </c>
    </row>
    <row r="917" spans="2:11" x14ac:dyDescent="0.15">
      <c r="B917" s="101">
        <v>914</v>
      </c>
      <c r="C917" s="102"/>
      <c r="D917" s="91"/>
      <c r="E917" s="91" t="s">
        <v>50</v>
      </c>
      <c r="F917" s="91" t="s">
        <v>50</v>
      </c>
      <c r="G917" s="91"/>
      <c r="H917" s="91"/>
      <c r="I917" s="91"/>
      <c r="J917" s="91">
        <v>1899</v>
      </c>
      <c r="K917" s="91">
        <v>12</v>
      </c>
    </row>
    <row r="918" spans="2:11" x14ac:dyDescent="0.15">
      <c r="B918" s="101">
        <v>915</v>
      </c>
      <c r="C918" s="102"/>
      <c r="D918" s="91"/>
      <c r="E918" s="91" t="s">
        <v>50</v>
      </c>
      <c r="F918" s="91" t="s">
        <v>50</v>
      </c>
      <c r="G918" s="91"/>
      <c r="H918" s="91"/>
      <c r="I918" s="91"/>
      <c r="J918" s="91">
        <v>1899</v>
      </c>
      <c r="K918" s="91">
        <v>12</v>
      </c>
    </row>
    <row r="919" spans="2:11" x14ac:dyDescent="0.15">
      <c r="B919" s="101">
        <v>916</v>
      </c>
      <c r="C919" s="102"/>
      <c r="D919" s="91"/>
      <c r="E919" s="91" t="s">
        <v>50</v>
      </c>
      <c r="F919" s="91" t="s">
        <v>50</v>
      </c>
      <c r="G919" s="91"/>
      <c r="H919" s="91"/>
      <c r="I919" s="91"/>
      <c r="J919" s="91">
        <v>1899</v>
      </c>
      <c r="K919" s="91">
        <v>12</v>
      </c>
    </row>
    <row r="920" spans="2:11" x14ac:dyDescent="0.15">
      <c r="B920" s="101">
        <v>917</v>
      </c>
      <c r="C920" s="102"/>
      <c r="D920" s="91"/>
      <c r="E920" s="91" t="s">
        <v>50</v>
      </c>
      <c r="F920" s="91" t="s">
        <v>50</v>
      </c>
      <c r="G920" s="91"/>
      <c r="H920" s="91"/>
      <c r="I920" s="91"/>
      <c r="J920" s="91">
        <v>1899</v>
      </c>
      <c r="K920" s="91">
        <v>12</v>
      </c>
    </row>
    <row r="921" spans="2:11" x14ac:dyDescent="0.15">
      <c r="B921" s="101">
        <v>918</v>
      </c>
      <c r="C921" s="102"/>
      <c r="D921" s="91"/>
      <c r="E921" s="91" t="s">
        <v>50</v>
      </c>
      <c r="F921" s="91" t="s">
        <v>50</v>
      </c>
      <c r="G921" s="91"/>
      <c r="H921" s="91"/>
      <c r="I921" s="91"/>
      <c r="J921" s="91">
        <v>1899</v>
      </c>
      <c r="K921" s="91">
        <v>12</v>
      </c>
    </row>
    <row r="922" spans="2:11" x14ac:dyDescent="0.15">
      <c r="B922" s="101">
        <v>919</v>
      </c>
      <c r="C922" s="102"/>
      <c r="D922" s="91"/>
      <c r="E922" s="91" t="s">
        <v>50</v>
      </c>
      <c r="F922" s="91" t="s">
        <v>50</v>
      </c>
      <c r="G922" s="91"/>
      <c r="H922" s="91"/>
      <c r="I922" s="91"/>
      <c r="J922" s="91">
        <v>1899</v>
      </c>
      <c r="K922" s="91">
        <v>12</v>
      </c>
    </row>
    <row r="923" spans="2:11" x14ac:dyDescent="0.15">
      <c r="B923" s="101">
        <v>920</v>
      </c>
      <c r="C923" s="102"/>
      <c r="D923" s="91"/>
      <c r="E923" s="91" t="s">
        <v>50</v>
      </c>
      <c r="F923" s="91" t="s">
        <v>50</v>
      </c>
      <c r="G923" s="91"/>
      <c r="H923" s="91"/>
      <c r="I923" s="91"/>
      <c r="J923" s="91">
        <v>1899</v>
      </c>
      <c r="K923" s="91">
        <v>12</v>
      </c>
    </row>
    <row r="924" spans="2:11" x14ac:dyDescent="0.15">
      <c r="B924" s="101">
        <v>921</v>
      </c>
      <c r="C924" s="102"/>
      <c r="D924" s="91"/>
      <c r="E924" s="91" t="s">
        <v>50</v>
      </c>
      <c r="F924" s="91" t="s">
        <v>50</v>
      </c>
      <c r="G924" s="91"/>
      <c r="H924" s="91"/>
      <c r="I924" s="91"/>
      <c r="J924" s="91">
        <v>1899</v>
      </c>
      <c r="K924" s="91">
        <v>12</v>
      </c>
    </row>
    <row r="925" spans="2:11" x14ac:dyDescent="0.15">
      <c r="B925" s="101">
        <v>922</v>
      </c>
      <c r="C925" s="102"/>
      <c r="D925" s="91"/>
      <c r="E925" s="91" t="s">
        <v>50</v>
      </c>
      <c r="F925" s="91" t="s">
        <v>50</v>
      </c>
      <c r="G925" s="91"/>
      <c r="H925" s="91"/>
      <c r="I925" s="91"/>
      <c r="J925" s="91">
        <v>1899</v>
      </c>
      <c r="K925" s="91">
        <v>12</v>
      </c>
    </row>
    <row r="926" spans="2:11" x14ac:dyDescent="0.15">
      <c r="B926" s="101">
        <v>923</v>
      </c>
      <c r="C926" s="102"/>
      <c r="D926" s="91"/>
      <c r="E926" s="91" t="s">
        <v>50</v>
      </c>
      <c r="F926" s="91" t="s">
        <v>50</v>
      </c>
      <c r="G926" s="91"/>
      <c r="H926" s="91"/>
      <c r="I926" s="91"/>
      <c r="J926" s="91">
        <v>1899</v>
      </c>
      <c r="K926" s="91">
        <v>12</v>
      </c>
    </row>
    <row r="927" spans="2:11" x14ac:dyDescent="0.15">
      <c r="B927" s="101">
        <v>924</v>
      </c>
      <c r="C927" s="102"/>
      <c r="D927" s="91"/>
      <c r="E927" s="91" t="s">
        <v>50</v>
      </c>
      <c r="F927" s="91" t="s">
        <v>50</v>
      </c>
      <c r="G927" s="91"/>
      <c r="H927" s="91"/>
      <c r="I927" s="91"/>
      <c r="J927" s="91">
        <v>1899</v>
      </c>
      <c r="K927" s="91">
        <v>12</v>
      </c>
    </row>
    <row r="928" spans="2:11" x14ac:dyDescent="0.15">
      <c r="B928" s="101">
        <v>925</v>
      </c>
      <c r="C928" s="102"/>
      <c r="D928" s="91"/>
      <c r="E928" s="91" t="s">
        <v>50</v>
      </c>
      <c r="F928" s="91" t="s">
        <v>50</v>
      </c>
      <c r="G928" s="91"/>
      <c r="H928" s="91"/>
      <c r="I928" s="91"/>
      <c r="J928" s="91">
        <v>1899</v>
      </c>
      <c r="K928" s="91">
        <v>12</v>
      </c>
    </row>
    <row r="929" spans="2:11" x14ac:dyDescent="0.15">
      <c r="B929" s="101">
        <v>926</v>
      </c>
      <c r="C929" s="102"/>
      <c r="D929" s="91"/>
      <c r="E929" s="91" t="s">
        <v>50</v>
      </c>
      <c r="F929" s="91" t="s">
        <v>50</v>
      </c>
      <c r="G929" s="91"/>
      <c r="H929" s="91"/>
      <c r="I929" s="91"/>
      <c r="J929" s="91">
        <v>1899</v>
      </c>
      <c r="K929" s="91">
        <v>12</v>
      </c>
    </row>
    <row r="930" spans="2:11" x14ac:dyDescent="0.15">
      <c r="B930" s="101">
        <v>927</v>
      </c>
      <c r="C930" s="102"/>
      <c r="D930" s="91"/>
      <c r="E930" s="91" t="s">
        <v>50</v>
      </c>
      <c r="F930" s="91" t="s">
        <v>50</v>
      </c>
      <c r="G930" s="91"/>
      <c r="H930" s="91"/>
      <c r="I930" s="91"/>
      <c r="J930" s="91">
        <v>1899</v>
      </c>
      <c r="K930" s="91">
        <v>12</v>
      </c>
    </row>
    <row r="931" spans="2:11" x14ac:dyDescent="0.15">
      <c r="B931" s="101">
        <v>928</v>
      </c>
      <c r="C931" s="102"/>
      <c r="D931" s="91"/>
      <c r="E931" s="91" t="s">
        <v>50</v>
      </c>
      <c r="F931" s="91" t="s">
        <v>50</v>
      </c>
      <c r="G931" s="91"/>
      <c r="H931" s="91"/>
      <c r="I931" s="91"/>
      <c r="J931" s="91">
        <v>1899</v>
      </c>
      <c r="K931" s="91">
        <v>12</v>
      </c>
    </row>
    <row r="932" spans="2:11" x14ac:dyDescent="0.15">
      <c r="B932" s="101">
        <v>929</v>
      </c>
      <c r="C932" s="102"/>
      <c r="D932" s="91"/>
      <c r="E932" s="91" t="s">
        <v>50</v>
      </c>
      <c r="F932" s="91" t="s">
        <v>50</v>
      </c>
      <c r="G932" s="91"/>
      <c r="H932" s="91"/>
      <c r="I932" s="91"/>
      <c r="J932" s="91">
        <v>1899</v>
      </c>
      <c r="K932" s="91">
        <v>12</v>
      </c>
    </row>
    <row r="933" spans="2:11" x14ac:dyDescent="0.15">
      <c r="B933" s="101">
        <v>930</v>
      </c>
      <c r="C933" s="102"/>
      <c r="D933" s="91"/>
      <c r="E933" s="91" t="s">
        <v>50</v>
      </c>
      <c r="F933" s="91" t="s">
        <v>50</v>
      </c>
      <c r="G933" s="91"/>
      <c r="H933" s="91"/>
      <c r="I933" s="91"/>
      <c r="J933" s="91">
        <v>1899</v>
      </c>
      <c r="K933" s="91">
        <v>12</v>
      </c>
    </row>
    <row r="934" spans="2:11" x14ac:dyDescent="0.15">
      <c r="B934" s="101">
        <v>931</v>
      </c>
      <c r="C934" s="102"/>
      <c r="D934" s="91"/>
      <c r="E934" s="91" t="s">
        <v>50</v>
      </c>
      <c r="F934" s="91" t="s">
        <v>50</v>
      </c>
      <c r="G934" s="91"/>
      <c r="H934" s="91"/>
      <c r="I934" s="91"/>
      <c r="J934" s="91">
        <v>1899</v>
      </c>
      <c r="K934" s="91">
        <v>12</v>
      </c>
    </row>
    <row r="935" spans="2:11" x14ac:dyDescent="0.15">
      <c r="B935" s="101">
        <v>932</v>
      </c>
      <c r="C935" s="102"/>
      <c r="D935" s="91"/>
      <c r="E935" s="91" t="s">
        <v>50</v>
      </c>
      <c r="F935" s="91" t="s">
        <v>50</v>
      </c>
      <c r="G935" s="91"/>
      <c r="H935" s="91"/>
      <c r="I935" s="91"/>
      <c r="J935" s="91">
        <v>1899</v>
      </c>
      <c r="K935" s="91">
        <v>12</v>
      </c>
    </row>
    <row r="936" spans="2:11" x14ac:dyDescent="0.15">
      <c r="B936" s="101">
        <v>933</v>
      </c>
      <c r="C936" s="102"/>
      <c r="D936" s="91"/>
      <c r="E936" s="91" t="s">
        <v>50</v>
      </c>
      <c r="F936" s="91" t="s">
        <v>50</v>
      </c>
      <c r="G936" s="91"/>
      <c r="H936" s="91"/>
      <c r="I936" s="91"/>
      <c r="J936" s="91">
        <v>1899</v>
      </c>
      <c r="K936" s="91">
        <v>12</v>
      </c>
    </row>
    <row r="937" spans="2:11" x14ac:dyDescent="0.15">
      <c r="B937" s="101">
        <v>934</v>
      </c>
      <c r="C937" s="102"/>
      <c r="D937" s="91"/>
      <c r="E937" s="91" t="s">
        <v>50</v>
      </c>
      <c r="F937" s="91" t="s">
        <v>50</v>
      </c>
      <c r="G937" s="91"/>
      <c r="H937" s="91"/>
      <c r="I937" s="91"/>
      <c r="J937" s="91">
        <v>1899</v>
      </c>
      <c r="K937" s="91">
        <v>12</v>
      </c>
    </row>
    <row r="938" spans="2:11" x14ac:dyDescent="0.15">
      <c r="B938" s="101">
        <v>935</v>
      </c>
      <c r="C938" s="102"/>
      <c r="D938" s="91"/>
      <c r="E938" s="91" t="s">
        <v>50</v>
      </c>
      <c r="F938" s="91" t="s">
        <v>50</v>
      </c>
      <c r="G938" s="91"/>
      <c r="H938" s="91"/>
      <c r="I938" s="91"/>
      <c r="J938" s="91">
        <v>1899</v>
      </c>
      <c r="K938" s="91">
        <v>12</v>
      </c>
    </row>
    <row r="939" spans="2:11" x14ac:dyDescent="0.15">
      <c r="B939" s="101">
        <v>936</v>
      </c>
      <c r="C939" s="102"/>
      <c r="D939" s="91"/>
      <c r="E939" s="91" t="s">
        <v>50</v>
      </c>
      <c r="F939" s="91" t="s">
        <v>50</v>
      </c>
      <c r="G939" s="91"/>
      <c r="H939" s="91"/>
      <c r="I939" s="91"/>
      <c r="J939" s="91">
        <v>1899</v>
      </c>
      <c r="K939" s="91">
        <v>12</v>
      </c>
    </row>
    <row r="940" spans="2:11" x14ac:dyDescent="0.15">
      <c r="B940" s="101">
        <v>937</v>
      </c>
      <c r="C940" s="102"/>
      <c r="D940" s="91"/>
      <c r="E940" s="91" t="s">
        <v>50</v>
      </c>
      <c r="F940" s="91" t="s">
        <v>50</v>
      </c>
      <c r="G940" s="91"/>
      <c r="H940" s="91"/>
      <c r="I940" s="91"/>
      <c r="J940" s="91">
        <v>1899</v>
      </c>
      <c r="K940" s="91">
        <v>12</v>
      </c>
    </row>
    <row r="941" spans="2:11" x14ac:dyDescent="0.15">
      <c r="B941" s="101">
        <v>938</v>
      </c>
      <c r="C941" s="102"/>
      <c r="D941" s="91"/>
      <c r="E941" s="91" t="s">
        <v>50</v>
      </c>
      <c r="F941" s="91" t="s">
        <v>50</v>
      </c>
      <c r="G941" s="91"/>
      <c r="H941" s="91"/>
      <c r="I941" s="91"/>
      <c r="J941" s="91">
        <v>1899</v>
      </c>
      <c r="K941" s="91">
        <v>12</v>
      </c>
    </row>
    <row r="942" spans="2:11" x14ac:dyDescent="0.15">
      <c r="B942" s="101">
        <v>939</v>
      </c>
      <c r="C942" s="102"/>
      <c r="D942" s="91"/>
      <c r="E942" s="91" t="s">
        <v>50</v>
      </c>
      <c r="F942" s="91" t="s">
        <v>50</v>
      </c>
      <c r="G942" s="91"/>
      <c r="H942" s="91"/>
      <c r="I942" s="91"/>
      <c r="J942" s="91">
        <v>1899</v>
      </c>
      <c r="K942" s="91">
        <v>12</v>
      </c>
    </row>
    <row r="943" spans="2:11" x14ac:dyDescent="0.15">
      <c r="B943" s="101">
        <v>940</v>
      </c>
      <c r="C943" s="102"/>
      <c r="D943" s="91"/>
      <c r="E943" s="91" t="s">
        <v>50</v>
      </c>
      <c r="F943" s="91" t="s">
        <v>50</v>
      </c>
      <c r="G943" s="91"/>
      <c r="H943" s="91"/>
      <c r="I943" s="91"/>
      <c r="J943" s="91">
        <v>1899</v>
      </c>
      <c r="K943" s="91">
        <v>12</v>
      </c>
    </row>
    <row r="944" spans="2:11" x14ac:dyDescent="0.15">
      <c r="B944" s="101">
        <v>941</v>
      </c>
      <c r="C944" s="102"/>
      <c r="D944" s="91"/>
      <c r="E944" s="91" t="s">
        <v>50</v>
      </c>
      <c r="F944" s="91" t="s">
        <v>50</v>
      </c>
      <c r="G944" s="91"/>
      <c r="H944" s="91"/>
      <c r="I944" s="91"/>
      <c r="J944" s="91">
        <v>1899</v>
      </c>
      <c r="K944" s="91">
        <v>12</v>
      </c>
    </row>
    <row r="945" spans="2:11" x14ac:dyDescent="0.15">
      <c r="B945" s="101">
        <v>942</v>
      </c>
      <c r="C945" s="102"/>
      <c r="D945" s="91"/>
      <c r="E945" s="91" t="s">
        <v>50</v>
      </c>
      <c r="F945" s="91" t="s">
        <v>50</v>
      </c>
      <c r="G945" s="91"/>
      <c r="H945" s="91"/>
      <c r="I945" s="91"/>
      <c r="J945" s="91">
        <v>1899</v>
      </c>
      <c r="K945" s="91">
        <v>12</v>
      </c>
    </row>
    <row r="946" spans="2:11" x14ac:dyDescent="0.15">
      <c r="B946" s="101">
        <v>943</v>
      </c>
      <c r="C946" s="102"/>
      <c r="D946" s="91"/>
      <c r="E946" s="91" t="s">
        <v>50</v>
      </c>
      <c r="F946" s="91" t="s">
        <v>50</v>
      </c>
      <c r="G946" s="91"/>
      <c r="H946" s="91"/>
      <c r="I946" s="91"/>
      <c r="J946" s="91">
        <v>1899</v>
      </c>
      <c r="K946" s="91">
        <v>12</v>
      </c>
    </row>
    <row r="947" spans="2:11" x14ac:dyDescent="0.15">
      <c r="B947" s="101">
        <v>944</v>
      </c>
      <c r="C947" s="102"/>
      <c r="D947" s="91"/>
      <c r="E947" s="91" t="s">
        <v>50</v>
      </c>
      <c r="F947" s="91" t="s">
        <v>50</v>
      </c>
      <c r="G947" s="91"/>
      <c r="H947" s="91"/>
      <c r="I947" s="91"/>
      <c r="J947" s="91">
        <v>1899</v>
      </c>
      <c r="K947" s="91">
        <v>12</v>
      </c>
    </row>
    <row r="948" spans="2:11" x14ac:dyDescent="0.15">
      <c r="B948" s="101">
        <v>945</v>
      </c>
      <c r="C948" s="102"/>
      <c r="D948" s="91"/>
      <c r="E948" s="91" t="s">
        <v>50</v>
      </c>
      <c r="F948" s="91" t="s">
        <v>50</v>
      </c>
      <c r="G948" s="91"/>
      <c r="H948" s="91"/>
      <c r="I948" s="91"/>
      <c r="J948" s="91">
        <v>1899</v>
      </c>
      <c r="K948" s="91">
        <v>12</v>
      </c>
    </row>
    <row r="949" spans="2:11" x14ac:dyDescent="0.15">
      <c r="B949" s="101">
        <v>946</v>
      </c>
      <c r="C949" s="102"/>
      <c r="D949" s="91"/>
      <c r="E949" s="91" t="s">
        <v>50</v>
      </c>
      <c r="F949" s="91" t="s">
        <v>50</v>
      </c>
      <c r="G949" s="91"/>
      <c r="H949" s="91"/>
      <c r="I949" s="91"/>
      <c r="J949" s="91">
        <v>1899</v>
      </c>
      <c r="K949" s="91">
        <v>12</v>
      </c>
    </row>
    <row r="950" spans="2:11" x14ac:dyDescent="0.15">
      <c r="B950" s="101">
        <v>947</v>
      </c>
      <c r="C950" s="102"/>
      <c r="D950" s="91"/>
      <c r="E950" s="91" t="s">
        <v>50</v>
      </c>
      <c r="F950" s="91" t="s">
        <v>50</v>
      </c>
      <c r="G950" s="91"/>
      <c r="H950" s="91"/>
      <c r="I950" s="91"/>
      <c r="J950" s="91">
        <v>1899</v>
      </c>
      <c r="K950" s="91">
        <v>12</v>
      </c>
    </row>
    <row r="951" spans="2:11" x14ac:dyDescent="0.15">
      <c r="B951" s="101">
        <v>948</v>
      </c>
      <c r="C951" s="102"/>
      <c r="D951" s="91"/>
      <c r="E951" s="91" t="s">
        <v>50</v>
      </c>
      <c r="F951" s="91" t="s">
        <v>50</v>
      </c>
      <c r="G951" s="91"/>
      <c r="H951" s="91"/>
      <c r="I951" s="91"/>
      <c r="J951" s="91">
        <v>1899</v>
      </c>
      <c r="K951" s="91">
        <v>12</v>
      </c>
    </row>
    <row r="952" spans="2:11" x14ac:dyDescent="0.15">
      <c r="B952" s="101">
        <v>949</v>
      </c>
      <c r="C952" s="102"/>
      <c r="D952" s="91"/>
      <c r="E952" s="91" t="s">
        <v>50</v>
      </c>
      <c r="F952" s="91" t="s">
        <v>50</v>
      </c>
      <c r="G952" s="91"/>
      <c r="H952" s="91"/>
      <c r="I952" s="91"/>
      <c r="J952" s="91">
        <v>1899</v>
      </c>
      <c r="K952" s="91">
        <v>12</v>
      </c>
    </row>
    <row r="953" spans="2:11" x14ac:dyDescent="0.15">
      <c r="B953" s="101">
        <v>950</v>
      </c>
      <c r="C953" s="102"/>
      <c r="D953" s="91"/>
      <c r="E953" s="91" t="s">
        <v>50</v>
      </c>
      <c r="F953" s="91" t="s">
        <v>50</v>
      </c>
      <c r="G953" s="91"/>
      <c r="H953" s="91"/>
      <c r="I953" s="91"/>
      <c r="J953" s="91">
        <v>1899</v>
      </c>
      <c r="K953" s="91">
        <v>12</v>
      </c>
    </row>
    <row r="954" spans="2:11" x14ac:dyDescent="0.15">
      <c r="B954" s="101">
        <v>951</v>
      </c>
      <c r="C954" s="102"/>
      <c r="D954" s="91"/>
      <c r="E954" s="91" t="s">
        <v>50</v>
      </c>
      <c r="F954" s="91" t="s">
        <v>50</v>
      </c>
      <c r="G954" s="91"/>
      <c r="H954" s="91"/>
      <c r="I954" s="91"/>
      <c r="J954" s="91">
        <v>1899</v>
      </c>
      <c r="K954" s="91">
        <v>12</v>
      </c>
    </row>
    <row r="955" spans="2:11" x14ac:dyDescent="0.15">
      <c r="B955" s="101">
        <v>952</v>
      </c>
      <c r="C955" s="102"/>
      <c r="D955" s="91"/>
      <c r="E955" s="91" t="s">
        <v>50</v>
      </c>
      <c r="F955" s="91" t="s">
        <v>50</v>
      </c>
      <c r="G955" s="91"/>
      <c r="H955" s="91"/>
      <c r="I955" s="91"/>
      <c r="J955" s="91">
        <v>1899</v>
      </c>
      <c r="K955" s="91">
        <v>12</v>
      </c>
    </row>
    <row r="956" spans="2:11" x14ac:dyDescent="0.15">
      <c r="B956" s="101">
        <v>953</v>
      </c>
      <c r="C956" s="102"/>
      <c r="D956" s="91"/>
      <c r="E956" s="91" t="s">
        <v>50</v>
      </c>
      <c r="F956" s="91" t="s">
        <v>50</v>
      </c>
      <c r="G956" s="91"/>
      <c r="H956" s="91"/>
      <c r="I956" s="91"/>
      <c r="J956" s="91">
        <v>1899</v>
      </c>
      <c r="K956" s="91">
        <v>12</v>
      </c>
    </row>
    <row r="957" spans="2:11" x14ac:dyDescent="0.15">
      <c r="B957" s="101">
        <v>954</v>
      </c>
      <c r="C957" s="102"/>
      <c r="D957" s="91"/>
      <c r="E957" s="91" t="s">
        <v>50</v>
      </c>
      <c r="F957" s="91" t="s">
        <v>50</v>
      </c>
      <c r="G957" s="91"/>
      <c r="H957" s="91"/>
      <c r="I957" s="91"/>
      <c r="J957" s="91">
        <v>1899</v>
      </c>
      <c r="K957" s="91">
        <v>12</v>
      </c>
    </row>
    <row r="958" spans="2:11" x14ac:dyDescent="0.15">
      <c r="B958" s="101">
        <v>955</v>
      </c>
      <c r="C958" s="102"/>
      <c r="D958" s="91"/>
      <c r="E958" s="91" t="s">
        <v>50</v>
      </c>
      <c r="F958" s="91" t="s">
        <v>50</v>
      </c>
      <c r="G958" s="91"/>
      <c r="H958" s="91"/>
      <c r="I958" s="91"/>
      <c r="J958" s="91">
        <v>1899</v>
      </c>
      <c r="K958" s="91">
        <v>12</v>
      </c>
    </row>
    <row r="959" spans="2:11" x14ac:dyDescent="0.15">
      <c r="B959" s="101">
        <v>956</v>
      </c>
      <c r="C959" s="102"/>
      <c r="D959" s="91"/>
      <c r="E959" s="91" t="s">
        <v>50</v>
      </c>
      <c r="F959" s="91" t="s">
        <v>50</v>
      </c>
      <c r="G959" s="91"/>
      <c r="H959" s="91"/>
      <c r="I959" s="91"/>
      <c r="J959" s="91">
        <v>1899</v>
      </c>
      <c r="K959" s="91">
        <v>12</v>
      </c>
    </row>
    <row r="960" spans="2:11" x14ac:dyDescent="0.15">
      <c r="B960" s="101">
        <v>957</v>
      </c>
      <c r="C960" s="102"/>
      <c r="D960" s="91"/>
      <c r="E960" s="91" t="s">
        <v>50</v>
      </c>
      <c r="F960" s="91" t="s">
        <v>50</v>
      </c>
      <c r="G960" s="91"/>
      <c r="H960" s="91"/>
      <c r="I960" s="91"/>
      <c r="J960" s="91">
        <v>1899</v>
      </c>
      <c r="K960" s="91">
        <v>12</v>
      </c>
    </row>
    <row r="961" spans="2:11" x14ac:dyDescent="0.15">
      <c r="B961" s="101">
        <v>958</v>
      </c>
      <c r="C961" s="102"/>
      <c r="D961" s="91"/>
      <c r="E961" s="91" t="s">
        <v>50</v>
      </c>
      <c r="F961" s="91" t="s">
        <v>50</v>
      </c>
      <c r="G961" s="91"/>
      <c r="H961" s="91"/>
      <c r="I961" s="91"/>
      <c r="J961" s="91">
        <v>1899</v>
      </c>
      <c r="K961" s="91">
        <v>12</v>
      </c>
    </row>
    <row r="962" spans="2:11" x14ac:dyDescent="0.15">
      <c r="B962" s="101">
        <v>959</v>
      </c>
      <c r="C962" s="102"/>
      <c r="D962" s="91"/>
      <c r="E962" s="91" t="s">
        <v>50</v>
      </c>
      <c r="F962" s="91" t="s">
        <v>50</v>
      </c>
      <c r="G962" s="91"/>
      <c r="H962" s="91"/>
      <c r="I962" s="91"/>
      <c r="J962" s="91">
        <v>1899</v>
      </c>
      <c r="K962" s="91">
        <v>12</v>
      </c>
    </row>
    <row r="963" spans="2:11" x14ac:dyDescent="0.15">
      <c r="B963" s="101">
        <v>960</v>
      </c>
      <c r="C963" s="102"/>
      <c r="D963" s="91"/>
      <c r="E963" s="91" t="s">
        <v>50</v>
      </c>
      <c r="F963" s="91" t="s">
        <v>50</v>
      </c>
      <c r="G963" s="91"/>
      <c r="H963" s="91"/>
      <c r="I963" s="91"/>
      <c r="J963" s="91">
        <v>1899</v>
      </c>
      <c r="K963" s="91">
        <v>12</v>
      </c>
    </row>
    <row r="964" spans="2:11" x14ac:dyDescent="0.15">
      <c r="B964" s="101">
        <v>961</v>
      </c>
      <c r="C964" s="102"/>
      <c r="D964" s="91"/>
      <c r="E964" s="91" t="s">
        <v>50</v>
      </c>
      <c r="F964" s="91" t="s">
        <v>50</v>
      </c>
      <c r="G964" s="91"/>
      <c r="H964" s="91"/>
      <c r="I964" s="91"/>
      <c r="J964" s="91">
        <v>1899</v>
      </c>
      <c r="K964" s="91">
        <v>12</v>
      </c>
    </row>
    <row r="965" spans="2:11" x14ac:dyDescent="0.15">
      <c r="B965" s="101">
        <v>962</v>
      </c>
      <c r="C965" s="102"/>
      <c r="D965" s="91"/>
      <c r="E965" s="91" t="s">
        <v>50</v>
      </c>
      <c r="F965" s="91" t="s">
        <v>50</v>
      </c>
      <c r="G965" s="91"/>
      <c r="H965" s="91"/>
      <c r="I965" s="91"/>
      <c r="J965" s="91">
        <v>1899</v>
      </c>
      <c r="K965" s="91">
        <v>12</v>
      </c>
    </row>
    <row r="966" spans="2:11" x14ac:dyDescent="0.15">
      <c r="B966" s="101">
        <v>963</v>
      </c>
      <c r="C966" s="102"/>
      <c r="D966" s="91"/>
      <c r="E966" s="91" t="s">
        <v>50</v>
      </c>
      <c r="F966" s="91" t="s">
        <v>50</v>
      </c>
      <c r="G966" s="91"/>
      <c r="H966" s="91"/>
      <c r="I966" s="91"/>
      <c r="J966" s="91">
        <v>1899</v>
      </c>
      <c r="K966" s="91">
        <v>12</v>
      </c>
    </row>
    <row r="967" spans="2:11" x14ac:dyDescent="0.15">
      <c r="B967" s="101">
        <v>964</v>
      </c>
      <c r="C967" s="102"/>
      <c r="D967" s="91"/>
      <c r="E967" s="91" t="s">
        <v>50</v>
      </c>
      <c r="F967" s="91" t="s">
        <v>50</v>
      </c>
      <c r="G967" s="91"/>
      <c r="H967" s="91"/>
      <c r="I967" s="91"/>
      <c r="J967" s="91">
        <v>1899</v>
      </c>
      <c r="K967" s="91">
        <v>12</v>
      </c>
    </row>
    <row r="968" spans="2:11" x14ac:dyDescent="0.15">
      <c r="B968" s="101">
        <v>965</v>
      </c>
      <c r="C968" s="102"/>
      <c r="D968" s="91"/>
      <c r="E968" s="91" t="s">
        <v>50</v>
      </c>
      <c r="F968" s="91" t="s">
        <v>50</v>
      </c>
      <c r="G968" s="91"/>
      <c r="H968" s="91"/>
      <c r="I968" s="91"/>
      <c r="J968" s="91">
        <v>1899</v>
      </c>
      <c r="K968" s="91">
        <v>12</v>
      </c>
    </row>
    <row r="969" spans="2:11" x14ac:dyDescent="0.15">
      <c r="B969" s="101">
        <v>966</v>
      </c>
      <c r="C969" s="102"/>
      <c r="D969" s="91"/>
      <c r="E969" s="91" t="s">
        <v>50</v>
      </c>
      <c r="F969" s="91" t="s">
        <v>50</v>
      </c>
      <c r="G969" s="91"/>
      <c r="H969" s="91"/>
      <c r="I969" s="91"/>
      <c r="J969" s="91">
        <v>1899</v>
      </c>
      <c r="K969" s="91">
        <v>12</v>
      </c>
    </row>
    <row r="970" spans="2:11" x14ac:dyDescent="0.15">
      <c r="B970" s="101">
        <v>967</v>
      </c>
      <c r="C970" s="102"/>
      <c r="D970" s="91"/>
      <c r="E970" s="91" t="s">
        <v>50</v>
      </c>
      <c r="F970" s="91" t="s">
        <v>50</v>
      </c>
      <c r="G970" s="91"/>
      <c r="H970" s="91"/>
      <c r="I970" s="91"/>
      <c r="J970" s="91">
        <v>1899</v>
      </c>
      <c r="K970" s="91">
        <v>12</v>
      </c>
    </row>
    <row r="971" spans="2:11" x14ac:dyDescent="0.15">
      <c r="B971" s="101">
        <v>968</v>
      </c>
      <c r="C971" s="102"/>
      <c r="D971" s="91"/>
      <c r="E971" s="91" t="s">
        <v>50</v>
      </c>
      <c r="F971" s="91" t="s">
        <v>50</v>
      </c>
      <c r="G971" s="91"/>
      <c r="H971" s="91"/>
      <c r="I971" s="91"/>
      <c r="J971" s="91">
        <v>1899</v>
      </c>
      <c r="K971" s="91">
        <v>12</v>
      </c>
    </row>
    <row r="972" spans="2:11" x14ac:dyDescent="0.15">
      <c r="B972" s="101">
        <v>969</v>
      </c>
      <c r="C972" s="102"/>
      <c r="D972" s="91"/>
      <c r="E972" s="91" t="s">
        <v>50</v>
      </c>
      <c r="F972" s="91" t="s">
        <v>50</v>
      </c>
      <c r="G972" s="91"/>
      <c r="H972" s="91"/>
      <c r="I972" s="91"/>
      <c r="J972" s="91">
        <v>1899</v>
      </c>
      <c r="K972" s="91">
        <v>12</v>
      </c>
    </row>
    <row r="973" spans="2:11" x14ac:dyDescent="0.15">
      <c r="B973" s="101">
        <v>970</v>
      </c>
      <c r="C973" s="102"/>
      <c r="D973" s="91"/>
      <c r="E973" s="91" t="s">
        <v>50</v>
      </c>
      <c r="F973" s="91" t="s">
        <v>50</v>
      </c>
      <c r="G973" s="91"/>
      <c r="H973" s="91"/>
      <c r="I973" s="91"/>
      <c r="J973" s="91">
        <v>1899</v>
      </c>
      <c r="K973" s="91">
        <v>12</v>
      </c>
    </row>
    <row r="974" spans="2:11" x14ac:dyDescent="0.15">
      <c r="B974" s="101">
        <v>971</v>
      </c>
      <c r="C974" s="102"/>
      <c r="D974" s="91"/>
      <c r="E974" s="91" t="s">
        <v>50</v>
      </c>
      <c r="F974" s="91" t="s">
        <v>50</v>
      </c>
      <c r="G974" s="91"/>
      <c r="H974" s="91"/>
      <c r="I974" s="91"/>
      <c r="J974" s="91">
        <v>1899</v>
      </c>
      <c r="K974" s="91">
        <v>12</v>
      </c>
    </row>
    <row r="975" spans="2:11" x14ac:dyDescent="0.15">
      <c r="B975" s="101">
        <v>972</v>
      </c>
      <c r="C975" s="102"/>
      <c r="D975" s="91"/>
      <c r="E975" s="91" t="s">
        <v>50</v>
      </c>
      <c r="F975" s="91" t="s">
        <v>50</v>
      </c>
      <c r="G975" s="91"/>
      <c r="H975" s="91"/>
      <c r="I975" s="91"/>
      <c r="J975" s="91">
        <v>1899</v>
      </c>
      <c r="K975" s="91">
        <v>12</v>
      </c>
    </row>
    <row r="976" spans="2:11" x14ac:dyDescent="0.15">
      <c r="B976" s="101">
        <v>973</v>
      </c>
      <c r="C976" s="102"/>
      <c r="D976" s="91"/>
      <c r="E976" s="91" t="s">
        <v>50</v>
      </c>
      <c r="F976" s="91" t="s">
        <v>50</v>
      </c>
      <c r="G976" s="91"/>
      <c r="H976" s="91"/>
      <c r="I976" s="91"/>
      <c r="J976" s="91">
        <v>1899</v>
      </c>
      <c r="K976" s="91">
        <v>12</v>
      </c>
    </row>
    <row r="977" spans="2:11" x14ac:dyDescent="0.15">
      <c r="B977" s="101">
        <v>974</v>
      </c>
      <c r="C977" s="102"/>
      <c r="D977" s="91"/>
      <c r="E977" s="91" t="s">
        <v>50</v>
      </c>
      <c r="F977" s="91" t="s">
        <v>50</v>
      </c>
      <c r="G977" s="91"/>
      <c r="H977" s="91"/>
      <c r="I977" s="91"/>
      <c r="J977" s="91">
        <v>1899</v>
      </c>
      <c r="K977" s="91">
        <v>12</v>
      </c>
    </row>
    <row r="978" spans="2:11" x14ac:dyDescent="0.15">
      <c r="B978" s="101">
        <v>975</v>
      </c>
      <c r="C978" s="102"/>
      <c r="D978" s="91"/>
      <c r="E978" s="91" t="s">
        <v>50</v>
      </c>
      <c r="F978" s="91" t="s">
        <v>50</v>
      </c>
      <c r="G978" s="91"/>
      <c r="H978" s="91"/>
      <c r="I978" s="91"/>
      <c r="J978" s="91">
        <v>1899</v>
      </c>
      <c r="K978" s="91">
        <v>12</v>
      </c>
    </row>
    <row r="979" spans="2:11" x14ac:dyDescent="0.15">
      <c r="B979" s="101">
        <v>976</v>
      </c>
      <c r="C979" s="102"/>
      <c r="D979" s="91"/>
      <c r="E979" s="91" t="s">
        <v>50</v>
      </c>
      <c r="F979" s="91" t="s">
        <v>50</v>
      </c>
      <c r="G979" s="91"/>
      <c r="H979" s="91"/>
      <c r="I979" s="91"/>
      <c r="J979" s="91">
        <v>1899</v>
      </c>
      <c r="K979" s="91">
        <v>12</v>
      </c>
    </row>
    <row r="980" spans="2:11" x14ac:dyDescent="0.15">
      <c r="B980" s="101">
        <v>977</v>
      </c>
      <c r="C980" s="102"/>
      <c r="D980" s="91"/>
      <c r="E980" s="91" t="s">
        <v>50</v>
      </c>
      <c r="F980" s="91" t="s">
        <v>50</v>
      </c>
      <c r="G980" s="91"/>
      <c r="H980" s="91"/>
      <c r="I980" s="91"/>
      <c r="J980" s="91">
        <v>1899</v>
      </c>
      <c r="K980" s="91">
        <v>12</v>
      </c>
    </row>
    <row r="981" spans="2:11" x14ac:dyDescent="0.15">
      <c r="B981" s="101">
        <v>978</v>
      </c>
      <c r="C981" s="102"/>
      <c r="D981" s="91"/>
      <c r="E981" s="91" t="s">
        <v>50</v>
      </c>
      <c r="F981" s="91" t="s">
        <v>50</v>
      </c>
      <c r="G981" s="91"/>
      <c r="H981" s="91"/>
      <c r="I981" s="91"/>
      <c r="J981" s="91">
        <v>1899</v>
      </c>
      <c r="K981" s="91">
        <v>12</v>
      </c>
    </row>
    <row r="982" spans="2:11" x14ac:dyDescent="0.15">
      <c r="B982" s="101">
        <v>979</v>
      </c>
      <c r="C982" s="102"/>
      <c r="D982" s="91"/>
      <c r="E982" s="91" t="s">
        <v>50</v>
      </c>
      <c r="F982" s="91" t="s">
        <v>50</v>
      </c>
      <c r="G982" s="91"/>
      <c r="H982" s="91"/>
      <c r="I982" s="91"/>
      <c r="J982" s="91">
        <v>1899</v>
      </c>
      <c r="K982" s="91">
        <v>12</v>
      </c>
    </row>
    <row r="983" spans="2:11" x14ac:dyDescent="0.15">
      <c r="B983" s="101">
        <v>980</v>
      </c>
      <c r="C983" s="102"/>
      <c r="D983" s="91"/>
      <c r="E983" s="91" t="s">
        <v>50</v>
      </c>
      <c r="F983" s="91" t="s">
        <v>50</v>
      </c>
      <c r="G983" s="91"/>
      <c r="H983" s="91"/>
      <c r="I983" s="91"/>
      <c r="J983" s="91">
        <v>1899</v>
      </c>
      <c r="K983" s="91">
        <v>12</v>
      </c>
    </row>
    <row r="984" spans="2:11" x14ac:dyDescent="0.15">
      <c r="B984" s="101">
        <v>981</v>
      </c>
      <c r="C984" s="102"/>
      <c r="D984" s="91"/>
      <c r="E984" s="91" t="s">
        <v>50</v>
      </c>
      <c r="F984" s="91" t="s">
        <v>50</v>
      </c>
      <c r="G984" s="91"/>
      <c r="H984" s="91"/>
      <c r="I984" s="91"/>
      <c r="J984" s="91">
        <v>1899</v>
      </c>
      <c r="K984" s="91">
        <v>12</v>
      </c>
    </row>
    <row r="985" spans="2:11" x14ac:dyDescent="0.15">
      <c r="B985" s="101">
        <v>982</v>
      </c>
      <c r="C985" s="102"/>
      <c r="D985" s="91"/>
      <c r="E985" s="91" t="s">
        <v>50</v>
      </c>
      <c r="F985" s="91" t="s">
        <v>50</v>
      </c>
      <c r="G985" s="91"/>
      <c r="H985" s="91"/>
      <c r="I985" s="91"/>
      <c r="J985" s="91">
        <v>1899</v>
      </c>
      <c r="K985" s="91">
        <v>12</v>
      </c>
    </row>
    <row r="986" spans="2:11" x14ac:dyDescent="0.15">
      <c r="B986" s="101">
        <v>983</v>
      </c>
      <c r="C986" s="102"/>
      <c r="D986" s="91"/>
      <c r="E986" s="91" t="s">
        <v>50</v>
      </c>
      <c r="F986" s="91" t="s">
        <v>50</v>
      </c>
      <c r="G986" s="91"/>
      <c r="H986" s="91"/>
      <c r="I986" s="91"/>
      <c r="J986" s="91">
        <v>1899</v>
      </c>
      <c r="K986" s="91">
        <v>12</v>
      </c>
    </row>
    <row r="987" spans="2:11" x14ac:dyDescent="0.15">
      <c r="B987" s="101">
        <v>984</v>
      </c>
      <c r="C987" s="102"/>
      <c r="D987" s="91"/>
      <c r="E987" s="91" t="s">
        <v>50</v>
      </c>
      <c r="F987" s="91" t="s">
        <v>50</v>
      </c>
      <c r="G987" s="91"/>
      <c r="H987" s="91"/>
      <c r="I987" s="91"/>
      <c r="J987" s="91">
        <v>1899</v>
      </c>
      <c r="K987" s="91">
        <v>12</v>
      </c>
    </row>
    <row r="988" spans="2:11" x14ac:dyDescent="0.15">
      <c r="B988" s="101">
        <v>985</v>
      </c>
      <c r="C988" s="102"/>
      <c r="D988" s="91"/>
      <c r="E988" s="91" t="s">
        <v>50</v>
      </c>
      <c r="F988" s="91" t="s">
        <v>50</v>
      </c>
      <c r="G988" s="91"/>
      <c r="H988" s="91"/>
      <c r="I988" s="91"/>
      <c r="J988" s="91">
        <v>1899</v>
      </c>
      <c r="K988" s="91">
        <v>12</v>
      </c>
    </row>
    <row r="989" spans="2:11" x14ac:dyDescent="0.15">
      <c r="B989" s="101">
        <v>986</v>
      </c>
      <c r="C989" s="102"/>
      <c r="D989" s="91"/>
      <c r="E989" s="91" t="s">
        <v>50</v>
      </c>
      <c r="F989" s="91" t="s">
        <v>50</v>
      </c>
      <c r="G989" s="91"/>
      <c r="H989" s="91"/>
      <c r="I989" s="91"/>
      <c r="J989" s="91">
        <v>1899</v>
      </c>
      <c r="K989" s="91">
        <v>12</v>
      </c>
    </row>
    <row r="990" spans="2:11" x14ac:dyDescent="0.15">
      <c r="B990" s="101">
        <v>987</v>
      </c>
      <c r="C990" s="102"/>
      <c r="D990" s="91"/>
      <c r="E990" s="91" t="s">
        <v>50</v>
      </c>
      <c r="F990" s="91" t="s">
        <v>50</v>
      </c>
      <c r="G990" s="91"/>
      <c r="H990" s="91"/>
      <c r="I990" s="91"/>
      <c r="J990" s="91">
        <v>1899</v>
      </c>
      <c r="K990" s="91">
        <v>12</v>
      </c>
    </row>
    <row r="991" spans="2:11" x14ac:dyDescent="0.15">
      <c r="B991" s="101">
        <v>988</v>
      </c>
      <c r="C991" s="102"/>
      <c r="D991" s="91"/>
      <c r="E991" s="91" t="s">
        <v>50</v>
      </c>
      <c r="F991" s="91" t="s">
        <v>50</v>
      </c>
      <c r="G991" s="91"/>
      <c r="H991" s="91"/>
      <c r="I991" s="91"/>
      <c r="J991" s="91">
        <v>1899</v>
      </c>
      <c r="K991" s="91">
        <v>12</v>
      </c>
    </row>
    <row r="992" spans="2:11" x14ac:dyDescent="0.15">
      <c r="B992" s="101">
        <v>989</v>
      </c>
      <c r="C992" s="102"/>
      <c r="D992" s="91"/>
      <c r="E992" s="91" t="s">
        <v>50</v>
      </c>
      <c r="F992" s="91" t="s">
        <v>50</v>
      </c>
      <c r="G992" s="91"/>
      <c r="H992" s="91"/>
      <c r="I992" s="91"/>
      <c r="J992" s="91">
        <v>1899</v>
      </c>
      <c r="K992" s="91">
        <v>12</v>
      </c>
    </row>
    <row r="993" spans="2:11" x14ac:dyDescent="0.15">
      <c r="B993" s="101">
        <v>990</v>
      </c>
      <c r="C993" s="102"/>
      <c r="D993" s="91"/>
      <c r="E993" s="91" t="s">
        <v>50</v>
      </c>
      <c r="F993" s="91" t="s">
        <v>50</v>
      </c>
      <c r="G993" s="91"/>
      <c r="H993" s="91"/>
      <c r="I993" s="91"/>
      <c r="J993" s="91">
        <v>1899</v>
      </c>
      <c r="K993" s="91">
        <v>12</v>
      </c>
    </row>
    <row r="994" spans="2:11" x14ac:dyDescent="0.15">
      <c r="B994" s="101">
        <v>991</v>
      </c>
      <c r="C994" s="102"/>
      <c r="D994" s="91"/>
      <c r="E994" s="91" t="s">
        <v>50</v>
      </c>
      <c r="F994" s="91" t="s">
        <v>50</v>
      </c>
      <c r="G994" s="91"/>
      <c r="H994" s="91"/>
      <c r="I994" s="91"/>
      <c r="J994" s="91">
        <v>1899</v>
      </c>
      <c r="K994" s="91">
        <v>12</v>
      </c>
    </row>
    <row r="995" spans="2:11" x14ac:dyDescent="0.15">
      <c r="B995" s="101">
        <v>992</v>
      </c>
      <c r="C995" s="102"/>
      <c r="D995" s="91"/>
      <c r="E995" s="91" t="s">
        <v>50</v>
      </c>
      <c r="F995" s="91" t="s">
        <v>50</v>
      </c>
      <c r="G995" s="91"/>
      <c r="H995" s="91"/>
      <c r="I995" s="91"/>
      <c r="J995" s="91">
        <v>1899</v>
      </c>
      <c r="K995" s="91">
        <v>12</v>
      </c>
    </row>
    <row r="996" spans="2:11" x14ac:dyDescent="0.15">
      <c r="B996" s="101">
        <v>993</v>
      </c>
      <c r="C996" s="102"/>
      <c r="D996" s="91"/>
      <c r="E996" s="91" t="s">
        <v>50</v>
      </c>
      <c r="F996" s="91" t="s">
        <v>50</v>
      </c>
      <c r="G996" s="91"/>
      <c r="H996" s="91"/>
      <c r="I996" s="91"/>
      <c r="J996" s="91">
        <v>1899</v>
      </c>
      <c r="K996" s="91">
        <v>12</v>
      </c>
    </row>
    <row r="997" spans="2:11" x14ac:dyDescent="0.15">
      <c r="B997" s="101">
        <v>994</v>
      </c>
      <c r="C997" s="102"/>
      <c r="D997" s="91"/>
      <c r="E997" s="91" t="s">
        <v>50</v>
      </c>
      <c r="F997" s="91" t="s">
        <v>50</v>
      </c>
      <c r="G997" s="91"/>
      <c r="H997" s="91"/>
      <c r="I997" s="91"/>
      <c r="J997" s="91">
        <v>1899</v>
      </c>
      <c r="K997" s="91">
        <v>12</v>
      </c>
    </row>
    <row r="998" spans="2:11" x14ac:dyDescent="0.15">
      <c r="B998" s="101">
        <v>995</v>
      </c>
      <c r="C998" s="102"/>
      <c r="D998" s="91"/>
      <c r="E998" s="91" t="s">
        <v>50</v>
      </c>
      <c r="F998" s="91" t="s">
        <v>50</v>
      </c>
      <c r="G998" s="91"/>
      <c r="H998" s="91"/>
      <c r="I998" s="91"/>
      <c r="J998" s="91">
        <v>1899</v>
      </c>
      <c r="K998" s="91">
        <v>12</v>
      </c>
    </row>
    <row r="999" spans="2:11" x14ac:dyDescent="0.15">
      <c r="B999" s="101">
        <v>996</v>
      </c>
      <c r="C999" s="102"/>
      <c r="D999" s="91"/>
      <c r="E999" s="91" t="s">
        <v>50</v>
      </c>
      <c r="F999" s="91" t="s">
        <v>50</v>
      </c>
      <c r="G999" s="91"/>
      <c r="H999" s="91"/>
      <c r="I999" s="91"/>
      <c r="J999" s="91">
        <v>1899</v>
      </c>
      <c r="K999" s="91">
        <v>12</v>
      </c>
    </row>
    <row r="1000" spans="2:11" x14ac:dyDescent="0.15">
      <c r="B1000" s="101">
        <v>997</v>
      </c>
      <c r="C1000" s="102"/>
      <c r="D1000" s="91"/>
      <c r="E1000" s="91" t="s">
        <v>50</v>
      </c>
      <c r="F1000" s="91" t="s">
        <v>50</v>
      </c>
      <c r="G1000" s="91"/>
      <c r="H1000" s="91"/>
      <c r="I1000" s="91"/>
      <c r="J1000" s="91">
        <v>1899</v>
      </c>
      <c r="K1000" s="91">
        <v>12</v>
      </c>
    </row>
    <row r="1001" spans="2:11" x14ac:dyDescent="0.15">
      <c r="B1001" s="101">
        <v>998</v>
      </c>
      <c r="C1001" s="102"/>
      <c r="D1001" s="91"/>
      <c r="E1001" s="91" t="s">
        <v>50</v>
      </c>
      <c r="F1001" s="91" t="s">
        <v>50</v>
      </c>
      <c r="G1001" s="91"/>
      <c r="H1001" s="91"/>
      <c r="I1001" s="91"/>
      <c r="J1001" s="91">
        <v>1899</v>
      </c>
      <c r="K1001" s="91">
        <v>12</v>
      </c>
    </row>
    <row r="1002" spans="2:11" x14ac:dyDescent="0.15">
      <c r="B1002" s="101">
        <v>999</v>
      </c>
      <c r="C1002" s="102"/>
      <c r="D1002" s="91"/>
      <c r="E1002" s="91" t="s">
        <v>50</v>
      </c>
      <c r="F1002" s="91" t="s">
        <v>50</v>
      </c>
      <c r="G1002" s="91"/>
      <c r="H1002" s="91"/>
      <c r="I1002" s="91"/>
      <c r="J1002" s="91">
        <v>1899</v>
      </c>
      <c r="K1002" s="91">
        <v>12</v>
      </c>
    </row>
    <row r="1003" spans="2:11" x14ac:dyDescent="0.15">
      <c r="B1003" s="101">
        <v>1000</v>
      </c>
      <c r="C1003" s="102"/>
      <c r="D1003" s="91"/>
      <c r="E1003" s="91" t="s">
        <v>50</v>
      </c>
      <c r="F1003" s="91" t="s">
        <v>50</v>
      </c>
      <c r="G1003" s="91"/>
      <c r="H1003" s="91"/>
      <c r="I1003" s="91"/>
      <c r="J1003" s="91">
        <v>1899</v>
      </c>
      <c r="K1003" s="91">
        <v>12</v>
      </c>
    </row>
    <row r="1004" spans="2:11" x14ac:dyDescent="0.15">
      <c r="B1004" s="161" t="s">
        <v>68</v>
      </c>
      <c r="C1004" s="162"/>
      <c r="D1004" s="163"/>
      <c r="E1004" s="163"/>
      <c r="F1004" s="163"/>
      <c r="G1004" s="163"/>
      <c r="H1004" s="163"/>
      <c r="I1004" s="163"/>
      <c r="J1004" s="163"/>
      <c r="K1004" s="163"/>
    </row>
    <row r="1005" spans="2:11" x14ac:dyDescent="0.15">
      <c r="B1005" s="80"/>
      <c r="C1005" s="93"/>
      <c r="D1005" s="81"/>
      <c r="E1005" s="81"/>
      <c r="F1005" s="81"/>
      <c r="G1005" s="81"/>
      <c r="H1005" s="81"/>
      <c r="I1005" s="81"/>
    </row>
  </sheetData>
  <mergeCells count="1">
    <mergeCell ref="B1004:K1004"/>
  </mergeCells>
  <phoneticPr fontId="33"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烤漆色號編碼!$A$2:$A$40</xm:f>
          </x14:formula1>
          <xm:sqref>D4:D29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2"/>
  <sheetViews>
    <sheetView workbookViewId="0">
      <pane ySplit="1" topLeftCell="A18" activePane="bottomLeft" state="frozen"/>
      <selection pane="bottomLeft" activeCell="D35" sqref="D35"/>
    </sheetView>
  </sheetViews>
  <sheetFormatPr defaultColWidth="10.05078125" defaultRowHeight="13.5" x14ac:dyDescent="0.15"/>
  <cols>
    <col min="1" max="1" width="12.13671875" style="103" customWidth="1"/>
    <col min="2" max="2" width="6.984375" style="103" customWidth="1"/>
    <col min="3" max="3" width="16.1796875" style="103" customWidth="1"/>
    <col min="4" max="4" width="7.23046875" style="103" customWidth="1"/>
    <col min="5" max="5" width="4.90234375" style="103" customWidth="1"/>
    <col min="6" max="6" width="10.05078125" style="104" bestFit="1" customWidth="1"/>
    <col min="7" max="16384" width="10.05078125" style="104"/>
  </cols>
  <sheetData>
    <row r="1" spans="1:6" s="103" customFormat="1" ht="14.25" x14ac:dyDescent="0.15">
      <c r="A1" s="105" t="s">
        <v>69</v>
      </c>
      <c r="B1" s="105" t="s">
        <v>12</v>
      </c>
      <c r="C1" s="105" t="s">
        <v>45</v>
      </c>
      <c r="D1" s="105" t="s">
        <v>70</v>
      </c>
      <c r="E1" s="105" t="s">
        <v>71</v>
      </c>
    </row>
    <row r="2" spans="1:6" ht="14.25" x14ac:dyDescent="0.15">
      <c r="A2" s="106" t="s">
        <v>29</v>
      </c>
      <c r="B2" s="107" t="s">
        <v>72</v>
      </c>
      <c r="C2" s="108" t="s">
        <v>73</v>
      </c>
      <c r="D2" s="108">
        <v>25</v>
      </c>
      <c r="E2" s="109" t="s">
        <v>74</v>
      </c>
      <c r="F2" s="110" t="s">
        <v>40</v>
      </c>
    </row>
    <row r="3" spans="1:6" ht="14.25" x14ac:dyDescent="0.15">
      <c r="A3" s="106" t="s">
        <v>75</v>
      </c>
      <c r="B3" s="107" t="s">
        <v>76</v>
      </c>
      <c r="C3" s="108" t="s">
        <v>77</v>
      </c>
      <c r="D3" s="108">
        <v>25</v>
      </c>
      <c r="E3" s="109" t="s">
        <v>74</v>
      </c>
      <c r="F3" s="111"/>
    </row>
    <row r="4" spans="1:6" ht="14.25" x14ac:dyDescent="0.15">
      <c r="A4" s="106" t="s">
        <v>78</v>
      </c>
      <c r="B4" s="107" t="s">
        <v>79</v>
      </c>
      <c r="C4" s="108" t="s">
        <v>80</v>
      </c>
      <c r="D4" s="108">
        <v>25</v>
      </c>
      <c r="E4" s="109" t="s">
        <v>74</v>
      </c>
      <c r="F4" s="112" t="s">
        <v>41</v>
      </c>
    </row>
    <row r="5" spans="1:6" ht="14.25" x14ac:dyDescent="0.15">
      <c r="A5" s="106" t="s">
        <v>81</v>
      </c>
      <c r="B5" s="107" t="s">
        <v>79</v>
      </c>
      <c r="C5" s="108" t="s">
        <v>80</v>
      </c>
      <c r="D5" s="108">
        <v>25</v>
      </c>
      <c r="E5" s="109" t="s">
        <v>74</v>
      </c>
      <c r="F5" s="112"/>
    </row>
    <row r="6" spans="1:6" ht="14.25" x14ac:dyDescent="0.15">
      <c r="A6" s="106" t="s">
        <v>82</v>
      </c>
      <c r="B6" s="107" t="s">
        <v>83</v>
      </c>
      <c r="C6" s="108" t="s">
        <v>84</v>
      </c>
      <c r="D6" s="108">
        <v>25</v>
      </c>
      <c r="E6" s="109" t="s">
        <v>85</v>
      </c>
      <c r="F6" s="111"/>
    </row>
    <row r="7" spans="1:6" ht="14.25" x14ac:dyDescent="0.15">
      <c r="A7" s="106" t="s">
        <v>86</v>
      </c>
      <c r="B7" s="107" t="s">
        <v>87</v>
      </c>
      <c r="C7" s="108" t="s">
        <v>88</v>
      </c>
      <c r="D7" s="108">
        <v>25</v>
      </c>
      <c r="E7" s="109" t="s">
        <v>85</v>
      </c>
      <c r="F7" s="112" t="s">
        <v>42</v>
      </c>
    </row>
    <row r="8" spans="1:6" ht="14.25" x14ac:dyDescent="0.15">
      <c r="A8" s="106" t="s">
        <v>89</v>
      </c>
      <c r="B8" s="107" t="s">
        <v>90</v>
      </c>
      <c r="C8" s="108" t="s">
        <v>91</v>
      </c>
      <c r="D8" s="108">
        <v>25</v>
      </c>
      <c r="E8" s="109" t="s">
        <v>92</v>
      </c>
      <c r="F8" s="111"/>
    </row>
    <row r="9" spans="1:6" ht="14.25" x14ac:dyDescent="0.15">
      <c r="A9" s="106" t="s">
        <v>34</v>
      </c>
      <c r="B9" s="107" t="s">
        <v>93</v>
      </c>
      <c r="C9" s="108" t="s">
        <v>94</v>
      </c>
      <c r="D9" s="108">
        <v>25</v>
      </c>
      <c r="E9" s="109" t="s">
        <v>85</v>
      </c>
      <c r="F9" s="112" t="s">
        <v>43</v>
      </c>
    </row>
    <row r="10" spans="1:6" ht="14.25" x14ac:dyDescent="0.15">
      <c r="A10" s="106" t="s">
        <v>25</v>
      </c>
      <c r="B10" s="107" t="s">
        <v>95</v>
      </c>
      <c r="C10" s="108" t="s">
        <v>96</v>
      </c>
      <c r="D10" s="108">
        <v>25</v>
      </c>
      <c r="E10" s="109" t="s">
        <v>92</v>
      </c>
      <c r="F10" s="111"/>
    </row>
    <row r="11" spans="1:6" ht="14.25" x14ac:dyDescent="0.15">
      <c r="A11" s="106" t="s">
        <v>97</v>
      </c>
      <c r="B11" s="107" t="s">
        <v>98</v>
      </c>
      <c r="C11" s="108" t="s">
        <v>99</v>
      </c>
      <c r="D11" s="108">
        <v>25</v>
      </c>
      <c r="E11" s="109" t="s">
        <v>100</v>
      </c>
      <c r="F11" s="111"/>
    </row>
    <row r="12" spans="1:6" ht="14.25" x14ac:dyDescent="0.15">
      <c r="A12" s="106" t="s">
        <v>37</v>
      </c>
      <c r="B12" s="107" t="s">
        <v>101</v>
      </c>
      <c r="C12" s="108" t="s">
        <v>102</v>
      </c>
      <c r="D12" s="108">
        <v>25</v>
      </c>
      <c r="E12" s="109" t="s">
        <v>74</v>
      </c>
      <c r="F12" s="111"/>
    </row>
    <row r="13" spans="1:6" ht="14.25" x14ac:dyDescent="0.15">
      <c r="A13" s="106" t="s">
        <v>103</v>
      </c>
      <c r="B13" s="107" t="s">
        <v>104</v>
      </c>
      <c r="C13" s="108" t="s">
        <v>105</v>
      </c>
      <c r="D13" s="108">
        <v>25</v>
      </c>
      <c r="E13" s="109" t="s">
        <v>85</v>
      </c>
      <c r="F13" s="111"/>
    </row>
    <row r="14" spans="1:6" ht="14.25" x14ac:dyDescent="0.15">
      <c r="A14" s="106" t="s">
        <v>33</v>
      </c>
      <c r="B14" s="107" t="s">
        <v>106</v>
      </c>
      <c r="C14" s="108" t="s">
        <v>107</v>
      </c>
      <c r="D14" s="108">
        <v>25</v>
      </c>
      <c r="E14" s="109" t="s">
        <v>92</v>
      </c>
      <c r="F14" s="111"/>
    </row>
    <row r="15" spans="1:6" ht="14.25" x14ac:dyDescent="0.15">
      <c r="A15" s="106" t="s">
        <v>108</v>
      </c>
      <c r="B15" s="107" t="s">
        <v>109</v>
      </c>
      <c r="C15" s="108" t="s">
        <v>110</v>
      </c>
      <c r="D15" s="108">
        <v>25</v>
      </c>
      <c r="E15" s="109" t="s">
        <v>74</v>
      </c>
      <c r="F15" s="111"/>
    </row>
    <row r="16" spans="1:6" ht="14.25" x14ac:dyDescent="0.15">
      <c r="A16" s="106" t="s">
        <v>28</v>
      </c>
      <c r="B16" s="107" t="s">
        <v>111</v>
      </c>
      <c r="C16" s="108" t="s">
        <v>112</v>
      </c>
      <c r="D16" s="108">
        <v>25</v>
      </c>
      <c r="E16" s="109" t="s">
        <v>74</v>
      </c>
      <c r="F16" s="111"/>
    </row>
    <row r="17" spans="1:5" ht="14.25" x14ac:dyDescent="0.15">
      <c r="A17" s="106" t="s">
        <v>2</v>
      </c>
      <c r="B17" s="107" t="s">
        <v>113</v>
      </c>
      <c r="C17" s="108" t="s">
        <v>114</v>
      </c>
      <c r="D17" s="108">
        <v>25</v>
      </c>
      <c r="E17" s="109" t="s">
        <v>100</v>
      </c>
    </row>
    <row r="18" spans="1:5" ht="14.25" x14ac:dyDescent="0.15">
      <c r="A18" s="106" t="s">
        <v>115</v>
      </c>
      <c r="B18" s="107" t="s">
        <v>116</v>
      </c>
      <c r="C18" s="108" t="s">
        <v>117</v>
      </c>
      <c r="D18" s="108">
        <v>25</v>
      </c>
      <c r="E18" s="109" t="s">
        <v>74</v>
      </c>
    </row>
    <row r="19" spans="1:5" ht="14.25" x14ac:dyDescent="0.15">
      <c r="A19" s="106" t="s">
        <v>118</v>
      </c>
      <c r="B19" s="107" t="s">
        <v>119</v>
      </c>
      <c r="C19" s="108" t="s">
        <v>120</v>
      </c>
      <c r="D19" s="108">
        <v>25</v>
      </c>
      <c r="E19" s="109" t="s">
        <v>74</v>
      </c>
    </row>
    <row r="20" spans="1:5" ht="14.25" x14ac:dyDescent="0.15">
      <c r="A20" s="106" t="s">
        <v>121</v>
      </c>
      <c r="B20" s="107" t="s">
        <v>122</v>
      </c>
      <c r="C20" s="108" t="s">
        <v>123</v>
      </c>
      <c r="D20" s="108">
        <v>25</v>
      </c>
      <c r="E20" s="109" t="s">
        <v>74</v>
      </c>
    </row>
    <row r="21" spans="1:5" ht="14.25" x14ac:dyDescent="0.15">
      <c r="A21" s="106" t="s">
        <v>124</v>
      </c>
      <c r="B21" s="107" t="s">
        <v>125</v>
      </c>
      <c r="C21" s="108" t="s">
        <v>126</v>
      </c>
      <c r="D21" s="108">
        <v>25</v>
      </c>
      <c r="E21" s="109" t="s">
        <v>74</v>
      </c>
    </row>
    <row r="22" spans="1:5" ht="14.25" x14ac:dyDescent="0.15">
      <c r="A22" s="106" t="s">
        <v>127</v>
      </c>
      <c r="B22" s="107" t="s">
        <v>128</v>
      </c>
      <c r="C22" s="108" t="s">
        <v>129</v>
      </c>
      <c r="D22" s="108">
        <v>25</v>
      </c>
      <c r="E22" s="109" t="s">
        <v>85</v>
      </c>
    </row>
    <row r="23" spans="1:5" ht="14.25" x14ac:dyDescent="0.15">
      <c r="A23" s="106" t="s">
        <v>130</v>
      </c>
      <c r="B23" s="107" t="s">
        <v>128</v>
      </c>
      <c r="C23" s="108" t="s">
        <v>129</v>
      </c>
      <c r="D23" s="108">
        <v>25</v>
      </c>
      <c r="E23" s="109" t="s">
        <v>85</v>
      </c>
    </row>
    <row r="24" spans="1:5" ht="14.25" x14ac:dyDescent="0.15">
      <c r="A24" s="106" t="s">
        <v>131</v>
      </c>
      <c r="B24" s="107" t="s">
        <v>132</v>
      </c>
      <c r="C24" s="108" t="s">
        <v>133</v>
      </c>
      <c r="D24" s="108">
        <v>25</v>
      </c>
      <c r="E24" s="109" t="s">
        <v>85</v>
      </c>
    </row>
    <row r="25" spans="1:5" ht="14.25" x14ac:dyDescent="0.15">
      <c r="A25" s="106" t="s">
        <v>134</v>
      </c>
      <c r="B25" s="107" t="s">
        <v>135</v>
      </c>
      <c r="C25" s="108" t="s">
        <v>136</v>
      </c>
      <c r="D25" s="108">
        <v>25</v>
      </c>
      <c r="E25" s="109" t="s">
        <v>92</v>
      </c>
    </row>
    <row r="26" spans="1:5" ht="14.25" x14ac:dyDescent="0.15">
      <c r="A26" s="106" t="s">
        <v>137</v>
      </c>
      <c r="B26" s="107" t="s">
        <v>138</v>
      </c>
      <c r="C26" s="108" t="s">
        <v>139</v>
      </c>
      <c r="D26" s="108">
        <v>25</v>
      </c>
      <c r="E26" s="109" t="s">
        <v>92</v>
      </c>
    </row>
    <row r="27" spans="1:5" ht="14.25" x14ac:dyDescent="0.15">
      <c r="A27" s="106" t="s">
        <v>140</v>
      </c>
      <c r="B27" s="107" t="s">
        <v>141</v>
      </c>
      <c r="C27" s="108" t="s">
        <v>142</v>
      </c>
      <c r="D27" s="108">
        <v>25</v>
      </c>
      <c r="E27" s="109" t="s">
        <v>92</v>
      </c>
    </row>
    <row r="28" spans="1:5" ht="14.25" x14ac:dyDescent="0.15">
      <c r="A28" s="106" t="s">
        <v>143</v>
      </c>
      <c r="B28" s="107" t="s">
        <v>144</v>
      </c>
      <c r="C28" s="108" t="s">
        <v>145</v>
      </c>
      <c r="D28" s="108">
        <v>25</v>
      </c>
      <c r="E28" s="109" t="s">
        <v>92</v>
      </c>
    </row>
    <row r="29" spans="1:5" ht="14.25" x14ac:dyDescent="0.15">
      <c r="A29" s="106" t="s">
        <v>146</v>
      </c>
      <c r="B29" s="107" t="s">
        <v>147</v>
      </c>
      <c r="C29" s="108" t="s">
        <v>148</v>
      </c>
      <c r="D29" s="108">
        <v>25</v>
      </c>
      <c r="E29" s="109" t="s">
        <v>74</v>
      </c>
    </row>
    <row r="30" spans="1:5" ht="14.25" x14ac:dyDescent="0.15">
      <c r="A30" s="106" t="s">
        <v>149</v>
      </c>
      <c r="B30" s="107" t="s">
        <v>83</v>
      </c>
      <c r="C30" s="108" t="s">
        <v>84</v>
      </c>
      <c r="D30" s="108">
        <v>25</v>
      </c>
      <c r="E30" s="109" t="s">
        <v>74</v>
      </c>
    </row>
    <row r="31" spans="1:5" x14ac:dyDescent="0.15">
      <c r="A31" s="106" t="s">
        <v>150</v>
      </c>
      <c r="B31" s="107" t="s">
        <v>128</v>
      </c>
      <c r="C31" s="106" t="s">
        <v>151</v>
      </c>
      <c r="D31" s="106">
        <v>25</v>
      </c>
      <c r="E31" s="107" t="s">
        <v>152</v>
      </c>
    </row>
    <row r="32" spans="1:5" x14ac:dyDescent="0.15">
      <c r="A32" s="106" t="s">
        <v>153</v>
      </c>
      <c r="B32" s="107" t="s">
        <v>154</v>
      </c>
      <c r="C32" s="106" t="s">
        <v>120</v>
      </c>
      <c r="D32" s="106">
        <v>20</v>
      </c>
      <c r="E32" s="107" t="s">
        <v>85</v>
      </c>
    </row>
    <row r="33" spans="1:5" x14ac:dyDescent="0.15">
      <c r="A33" s="106" t="s">
        <v>155</v>
      </c>
      <c r="B33" s="107" t="s">
        <v>128</v>
      </c>
      <c r="C33" s="106" t="s">
        <v>156</v>
      </c>
      <c r="D33" s="106">
        <v>25</v>
      </c>
      <c r="E33" s="107" t="s">
        <v>157</v>
      </c>
    </row>
    <row r="34" spans="1:5" ht="14.25" x14ac:dyDescent="0.15">
      <c r="A34" s="106" t="s">
        <v>39</v>
      </c>
      <c r="B34" s="107" t="s">
        <v>158</v>
      </c>
      <c r="C34" s="108" t="s">
        <v>80</v>
      </c>
      <c r="D34" s="108">
        <v>25</v>
      </c>
      <c r="E34" s="107" t="s">
        <v>159</v>
      </c>
    </row>
    <row r="35" spans="1:5" ht="14.25" x14ac:dyDescent="0.15">
      <c r="A35" s="106" t="s">
        <v>160</v>
      </c>
      <c r="B35" s="107" t="s">
        <v>161</v>
      </c>
      <c r="C35" s="108" t="s">
        <v>73</v>
      </c>
      <c r="D35" s="108">
        <v>25</v>
      </c>
      <c r="E35" s="107" t="s">
        <v>159</v>
      </c>
    </row>
    <row r="36" spans="1:5" ht="14.25" x14ac:dyDescent="0.15">
      <c r="A36" s="108" t="s">
        <v>32</v>
      </c>
      <c r="B36" s="107" t="s">
        <v>51</v>
      </c>
      <c r="C36" s="106" t="s">
        <v>51</v>
      </c>
      <c r="D36" s="106" t="s">
        <v>51</v>
      </c>
      <c r="E36" s="107" t="s">
        <v>51</v>
      </c>
    </row>
    <row r="37" spans="1:5" ht="14.25" x14ac:dyDescent="0.15">
      <c r="A37" s="108" t="s">
        <v>31</v>
      </c>
      <c r="B37" s="107" t="s">
        <v>51</v>
      </c>
      <c r="C37" s="106" t="s">
        <v>51</v>
      </c>
      <c r="D37" s="106" t="s">
        <v>51</v>
      </c>
      <c r="E37" s="107" t="s">
        <v>51</v>
      </c>
    </row>
    <row r="38" spans="1:5" ht="14.25" x14ac:dyDescent="0.15">
      <c r="A38" s="108" t="s">
        <v>24</v>
      </c>
      <c r="B38" s="107" t="s">
        <v>51</v>
      </c>
      <c r="C38" s="106" t="s">
        <v>51</v>
      </c>
      <c r="D38" s="106" t="s">
        <v>51</v>
      </c>
      <c r="E38" s="107" t="s">
        <v>51</v>
      </c>
    </row>
    <row r="39" spans="1:5" x14ac:dyDescent="0.15">
      <c r="A39" s="132" t="s">
        <v>35</v>
      </c>
      <c r="B39" s="107" t="s">
        <v>51</v>
      </c>
      <c r="C39" s="106" t="s">
        <v>51</v>
      </c>
      <c r="D39" s="106" t="s">
        <v>51</v>
      </c>
      <c r="E39" s="107" t="s">
        <v>51</v>
      </c>
    </row>
    <row r="40" spans="1:5" ht="14.25" x14ac:dyDescent="0.15">
      <c r="A40" s="108" t="s">
        <v>162</v>
      </c>
      <c r="B40" s="107" t="s">
        <v>51</v>
      </c>
      <c r="C40" s="106" t="s">
        <v>51</v>
      </c>
      <c r="D40" s="106" t="s">
        <v>51</v>
      </c>
      <c r="E40" s="107" t="s">
        <v>51</v>
      </c>
    </row>
    <row r="41" spans="1:5" ht="14.25" x14ac:dyDescent="0.15">
      <c r="A41" s="108" t="s">
        <v>163</v>
      </c>
      <c r="B41" s="107" t="s">
        <v>51</v>
      </c>
      <c r="C41" s="106" t="s">
        <v>51</v>
      </c>
      <c r="D41" s="106" t="s">
        <v>51</v>
      </c>
      <c r="E41" s="107" t="s">
        <v>51</v>
      </c>
    </row>
    <row r="42" spans="1:5" ht="14.25" x14ac:dyDescent="0.15">
      <c r="A42" s="108"/>
      <c r="B42" s="107" t="s">
        <v>51</v>
      </c>
      <c r="C42" s="106" t="s">
        <v>51</v>
      </c>
      <c r="D42" s="106" t="s">
        <v>51</v>
      </c>
      <c r="E42" s="107" t="s">
        <v>51</v>
      </c>
    </row>
    <row r="43" spans="1:5" ht="14.25" x14ac:dyDescent="0.15">
      <c r="A43" s="108"/>
      <c r="B43" s="107" t="s">
        <v>51</v>
      </c>
      <c r="C43" s="106" t="s">
        <v>51</v>
      </c>
      <c r="D43" s="106" t="s">
        <v>51</v>
      </c>
      <c r="E43" s="107" t="s">
        <v>51</v>
      </c>
    </row>
    <row r="44" spans="1:5" ht="14.25" x14ac:dyDescent="0.15">
      <c r="A44" s="108"/>
      <c r="B44" s="107" t="s">
        <v>51</v>
      </c>
      <c r="C44" s="106" t="s">
        <v>51</v>
      </c>
      <c r="D44" s="106" t="s">
        <v>51</v>
      </c>
      <c r="E44" s="107" t="s">
        <v>51</v>
      </c>
    </row>
    <row r="45" spans="1:5" ht="14.25" x14ac:dyDescent="0.15">
      <c r="A45" s="108"/>
      <c r="B45" s="107" t="s">
        <v>51</v>
      </c>
      <c r="C45" s="106" t="s">
        <v>51</v>
      </c>
      <c r="D45" s="106" t="s">
        <v>51</v>
      </c>
      <c r="E45" s="107" t="s">
        <v>51</v>
      </c>
    </row>
    <row r="46" spans="1:5" ht="14.25" x14ac:dyDescent="0.15">
      <c r="A46" s="108"/>
      <c r="B46" s="107" t="s">
        <v>51</v>
      </c>
      <c r="C46" s="106" t="s">
        <v>51</v>
      </c>
      <c r="D46" s="106" t="s">
        <v>51</v>
      </c>
      <c r="E46" s="107" t="s">
        <v>51</v>
      </c>
    </row>
    <row r="47" spans="1:5" ht="14.25" x14ac:dyDescent="0.15">
      <c r="A47" s="108"/>
      <c r="B47" s="107" t="s">
        <v>51</v>
      </c>
      <c r="C47" s="106" t="s">
        <v>51</v>
      </c>
      <c r="D47" s="106" t="s">
        <v>51</v>
      </c>
      <c r="E47" s="107" t="s">
        <v>51</v>
      </c>
    </row>
    <row r="48" spans="1:5" ht="14.25" x14ac:dyDescent="0.15">
      <c r="A48" s="108"/>
      <c r="B48" s="107" t="s">
        <v>51</v>
      </c>
      <c r="C48" s="106" t="s">
        <v>51</v>
      </c>
      <c r="D48" s="106" t="s">
        <v>51</v>
      </c>
      <c r="E48" s="107" t="s">
        <v>51</v>
      </c>
    </row>
    <row r="49" spans="1:5" ht="14.25" x14ac:dyDescent="0.15">
      <c r="A49" s="108"/>
      <c r="B49" s="107" t="s">
        <v>51</v>
      </c>
      <c r="C49" s="106" t="s">
        <v>51</v>
      </c>
      <c r="D49" s="106" t="s">
        <v>51</v>
      </c>
      <c r="E49" s="107" t="s">
        <v>51</v>
      </c>
    </row>
    <row r="50" spans="1:5" ht="14.25" x14ac:dyDescent="0.15">
      <c r="A50" s="108"/>
      <c r="B50" s="107" t="s">
        <v>51</v>
      </c>
      <c r="C50" s="106" t="s">
        <v>51</v>
      </c>
      <c r="D50" s="106" t="s">
        <v>51</v>
      </c>
      <c r="E50" s="107" t="s">
        <v>51</v>
      </c>
    </row>
    <row r="51" spans="1:5" ht="14.25" x14ac:dyDescent="0.15">
      <c r="A51" s="108"/>
      <c r="B51" s="107" t="s">
        <v>51</v>
      </c>
      <c r="C51" s="106" t="s">
        <v>51</v>
      </c>
      <c r="D51" s="106" t="s">
        <v>51</v>
      </c>
      <c r="E51" s="107" t="s">
        <v>51</v>
      </c>
    </row>
    <row r="52" spans="1:5" ht="14.25" x14ac:dyDescent="0.15">
      <c r="A52" s="108"/>
      <c r="B52" s="107" t="s">
        <v>51</v>
      </c>
      <c r="C52" s="106" t="s">
        <v>51</v>
      </c>
      <c r="D52" s="106" t="s">
        <v>51</v>
      </c>
      <c r="E52" s="107" t="s">
        <v>51</v>
      </c>
    </row>
    <row r="53" spans="1:5" ht="14.25" x14ac:dyDescent="0.15">
      <c r="A53" s="108"/>
      <c r="B53" s="107" t="s">
        <v>51</v>
      </c>
      <c r="C53" s="106" t="s">
        <v>51</v>
      </c>
      <c r="D53" s="106" t="s">
        <v>51</v>
      </c>
      <c r="E53" s="107" t="s">
        <v>51</v>
      </c>
    </row>
    <row r="54" spans="1:5" ht="14.25" x14ac:dyDescent="0.15">
      <c r="A54" s="108"/>
      <c r="B54" s="107" t="s">
        <v>51</v>
      </c>
      <c r="C54" s="106" t="s">
        <v>51</v>
      </c>
      <c r="D54" s="106" t="s">
        <v>51</v>
      </c>
      <c r="E54" s="107" t="s">
        <v>51</v>
      </c>
    </row>
    <row r="55" spans="1:5" ht="14.25" x14ac:dyDescent="0.15">
      <c r="A55" s="108"/>
      <c r="B55" s="107" t="s">
        <v>51</v>
      </c>
      <c r="C55" s="106" t="s">
        <v>51</v>
      </c>
      <c r="D55" s="106" t="s">
        <v>51</v>
      </c>
      <c r="E55" s="107" t="s">
        <v>51</v>
      </c>
    </row>
    <row r="56" spans="1:5" ht="14.25" x14ac:dyDescent="0.15">
      <c r="A56" s="108"/>
      <c r="B56" s="107" t="s">
        <v>51</v>
      </c>
      <c r="C56" s="106" t="s">
        <v>51</v>
      </c>
      <c r="D56" s="106" t="s">
        <v>51</v>
      </c>
      <c r="E56" s="107" t="s">
        <v>51</v>
      </c>
    </row>
    <row r="57" spans="1:5" ht="14.25" x14ac:dyDescent="0.15">
      <c r="A57" s="108"/>
      <c r="B57" s="107" t="s">
        <v>51</v>
      </c>
      <c r="C57" s="106" t="s">
        <v>51</v>
      </c>
      <c r="D57" s="106" t="s">
        <v>51</v>
      </c>
      <c r="E57" s="107" t="s">
        <v>51</v>
      </c>
    </row>
    <row r="58" spans="1:5" ht="14.25" x14ac:dyDescent="0.15">
      <c r="A58" s="108"/>
      <c r="B58" s="107" t="s">
        <v>51</v>
      </c>
      <c r="C58" s="106" t="s">
        <v>51</v>
      </c>
      <c r="D58" s="106" t="s">
        <v>51</v>
      </c>
      <c r="E58" s="107" t="s">
        <v>51</v>
      </c>
    </row>
    <row r="59" spans="1:5" ht="14.25" x14ac:dyDescent="0.15">
      <c r="A59" s="108"/>
      <c r="B59" s="107" t="s">
        <v>51</v>
      </c>
      <c r="C59" s="106" t="s">
        <v>51</v>
      </c>
      <c r="D59" s="106" t="s">
        <v>51</v>
      </c>
      <c r="E59" s="107" t="s">
        <v>51</v>
      </c>
    </row>
    <row r="60" spans="1:5" ht="14.25" x14ac:dyDescent="0.15">
      <c r="A60" s="108"/>
      <c r="B60" s="107" t="s">
        <v>51</v>
      </c>
      <c r="C60" s="106" t="s">
        <v>51</v>
      </c>
      <c r="D60" s="106" t="s">
        <v>51</v>
      </c>
      <c r="E60" s="107" t="s">
        <v>51</v>
      </c>
    </row>
    <row r="61" spans="1:5" ht="14.25" x14ac:dyDescent="0.15">
      <c r="A61" s="108"/>
      <c r="B61" s="107" t="s">
        <v>51</v>
      </c>
      <c r="C61" s="106" t="s">
        <v>51</v>
      </c>
      <c r="D61" s="106" t="s">
        <v>51</v>
      </c>
      <c r="E61" s="107" t="s">
        <v>51</v>
      </c>
    </row>
    <row r="62" spans="1:5" ht="14.25" x14ac:dyDescent="0.15">
      <c r="A62" s="108"/>
      <c r="B62" s="107" t="s">
        <v>51</v>
      </c>
      <c r="C62" s="106" t="s">
        <v>51</v>
      </c>
      <c r="D62" s="106" t="s">
        <v>51</v>
      </c>
      <c r="E62" s="107" t="s">
        <v>51</v>
      </c>
    </row>
  </sheetData>
  <phoneticPr fontId="33"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36"/>
  <sheetViews>
    <sheetView zoomScaleNormal="60" zoomScaleSheetLayoutView="100" workbookViewId="0">
      <selection activeCell="K44" sqref="K44"/>
    </sheetView>
  </sheetViews>
  <sheetFormatPr defaultRowHeight="13.5" x14ac:dyDescent="0.15"/>
  <cols>
    <col min="1" max="1" width="3.4296875" customWidth="1"/>
    <col min="2" max="2" width="6.86328125" style="143"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8" customFormat="1" ht="20.25" x14ac:dyDescent="0.15">
      <c r="B2" s="149" t="s">
        <v>164</v>
      </c>
      <c r="C2" s="149" t="s">
        <v>11</v>
      </c>
      <c r="D2" s="149" t="s">
        <v>12</v>
      </c>
      <c r="E2" s="149" t="s">
        <v>165</v>
      </c>
      <c r="F2" s="149" t="s">
        <v>166</v>
      </c>
      <c r="G2" s="149" t="s">
        <v>167</v>
      </c>
      <c r="H2" s="149" t="s">
        <v>166</v>
      </c>
      <c r="I2" s="149" t="s">
        <v>168</v>
      </c>
      <c r="J2" s="149" t="s">
        <v>166</v>
      </c>
      <c r="K2" s="149" t="s">
        <v>169</v>
      </c>
      <c r="L2" s="149" t="s">
        <v>166</v>
      </c>
    </row>
    <row r="3" spans="2:12" ht="22.5" x14ac:dyDescent="0.15">
      <c r="B3" s="144">
        <v>1</v>
      </c>
      <c r="C3" s="144" t="str">
        <f>IF(烤漆色號編碼!A2="","",烤漆色號編碼!A2)</f>
        <v>DP-11485</v>
      </c>
      <c r="D3" s="144" t="str">
        <f>IF(C3="","",INDEX(烤漆色號編碼!$A:$G,MATCH(C3,烤漆色號編碼!$A:$A,),2))</f>
        <v>WE</v>
      </c>
      <c r="E3" s="145">
        <f>IF(C3="","",SUMIF(採購入庫!D:D,$C3,採購入庫!$G:$G))</f>
        <v>40</v>
      </c>
      <c r="F3" s="146" t="s">
        <v>6</v>
      </c>
      <c r="G3" s="145">
        <f>IF(D3="","",SUMIF(每日用粉紀錄表!C:C,$C3,每日用粉紀錄表!F:F))</f>
        <v>44</v>
      </c>
      <c r="H3" s="146" t="s">
        <v>6</v>
      </c>
      <c r="I3" s="147">
        <f>IF(F3="","",SUMIF(當前庫存!C:C,$C3,當前庫存!G:G))</f>
        <v>10</v>
      </c>
      <c r="J3" s="146" t="s">
        <v>6</v>
      </c>
      <c r="K3" s="147">
        <f>IF(H3="","",SUMIF(當前庫存!C:C,$C3,當前庫存!F:F))</f>
        <v>0</v>
      </c>
      <c r="L3" s="146" t="s">
        <v>8</v>
      </c>
    </row>
    <row r="4" spans="2:12" ht="22.5" x14ac:dyDescent="0.15">
      <c r="B4" s="144">
        <v>2</v>
      </c>
      <c r="C4" s="144" t="str">
        <f>IF(烤漆色號編碼!A3="","",烤漆色號編碼!A3)</f>
        <v>DP-1856</v>
      </c>
      <c r="D4" s="144" t="str">
        <f>IF(C4="","",INDEX(烤漆色號編碼!$A:$G,MATCH(C4,烤漆色號編碼!$A:$A,),2))</f>
        <v>WE1</v>
      </c>
      <c r="E4" s="145">
        <f>IF(C4="","",SUMIF(採購入庫!D:D,$C4,採購入庫!$G:$G))</f>
        <v>0</v>
      </c>
      <c r="F4" s="146" t="s">
        <v>6</v>
      </c>
      <c r="G4" s="145">
        <f>IF(D4="","",SUMIF(每日用粉紀錄表!C:C,$C4,每日用粉紀錄表!F:F))</f>
        <v>0</v>
      </c>
      <c r="H4" s="146" t="s">
        <v>6</v>
      </c>
      <c r="I4" s="147">
        <f>IF(F4="","",SUMIF(當前庫存!C:C,$C4,當前庫存!G:G))</f>
        <v>1</v>
      </c>
      <c r="J4" s="146" t="s">
        <v>6</v>
      </c>
      <c r="K4" s="147">
        <f>IF(H4="","",SUMIF(當前庫存!C:C,$C4,當前庫存!F:F))</f>
        <v>12</v>
      </c>
      <c r="L4" s="146" t="s">
        <v>8</v>
      </c>
    </row>
    <row r="5" spans="2:12" ht="22.5" x14ac:dyDescent="0.15">
      <c r="B5" s="144">
        <v>3</v>
      </c>
      <c r="C5" s="144" t="str">
        <f>IF(烤漆色號編碼!A4="","",烤漆色號編碼!A4)</f>
        <v>O-5905</v>
      </c>
      <c r="D5" s="144" t="str">
        <f>IF(C5="","",INDEX(烤漆色號編碼!$A:$G,MATCH(C5,烤漆色號編碼!$A:$A,),2))</f>
        <v>YW</v>
      </c>
      <c r="E5" s="145">
        <f>IF(C5="","",SUMIF(採購入庫!D:D,$C5,採購入庫!$G:$G))</f>
        <v>0</v>
      </c>
      <c r="F5" s="146" t="s">
        <v>6</v>
      </c>
      <c r="G5" s="145">
        <f>IF(D5="","",SUMIF(每日用粉紀錄表!C:C,$C5,每日用粉紀錄表!F:F))</f>
        <v>0</v>
      </c>
      <c r="H5" s="146" t="s">
        <v>6</v>
      </c>
      <c r="I5" s="147">
        <f>IF(F5="","",SUMIF(當前庫存!C:C,$C5,當前庫存!G:G))</f>
        <v>0</v>
      </c>
      <c r="J5" s="146" t="s">
        <v>6</v>
      </c>
      <c r="K5" s="147">
        <f>IF(H5="","",SUMIF(當前庫存!C:C,$C5,當前庫存!F:F))</f>
        <v>0</v>
      </c>
      <c r="L5" s="146" t="s">
        <v>8</v>
      </c>
    </row>
    <row r="6" spans="2:12" ht="22.5" x14ac:dyDescent="0.15">
      <c r="B6" s="144">
        <v>4</v>
      </c>
      <c r="C6" s="144" t="str">
        <f>IF(烤漆色號編碼!A5="","",烤漆色號編碼!A5)</f>
        <v>New O-5905</v>
      </c>
      <c r="D6" s="144" t="str">
        <f>IF(C6="","",INDEX(烤漆色號編碼!$A:$G,MATCH(C6,烤漆色號編碼!$A:$A,),2))</f>
        <v>YW</v>
      </c>
      <c r="E6" s="145">
        <f>IF(C6="","",SUMIF(採購入庫!D:D,$C6,採購入庫!$G:$G))</f>
        <v>0</v>
      </c>
      <c r="F6" s="146" t="s">
        <v>6</v>
      </c>
      <c r="G6" s="145">
        <f>IF(D6="","",SUMIF(每日用粉紀錄表!C:C,$C6,每日用粉紀錄表!F:F))</f>
        <v>0</v>
      </c>
      <c r="H6" s="146" t="s">
        <v>6</v>
      </c>
      <c r="I6" s="147">
        <f>IF(F6="","",SUMIF(當前庫存!C:C,$C6,當前庫存!G:G))</f>
        <v>2</v>
      </c>
      <c r="J6" s="146" t="s">
        <v>6</v>
      </c>
      <c r="K6" s="147">
        <f>IF(H6="","",SUMIF(當前庫存!C:C,$C6,當前庫存!F:F))</f>
        <v>0</v>
      </c>
      <c r="L6" s="146" t="s">
        <v>8</v>
      </c>
    </row>
    <row r="7" spans="2:12" ht="22.5" x14ac:dyDescent="0.15">
      <c r="B7" s="144">
        <v>5</v>
      </c>
      <c r="C7" s="144" t="str">
        <f>IF(烤漆色號編碼!A6="","",烤漆色號編碼!A6)</f>
        <v>790-41540H</v>
      </c>
      <c r="D7" s="144" t="str">
        <f>IF(C7="","",INDEX(烤漆色號編碼!$A:$G,MATCH(C7,烤漆色號編碼!$A:$A,),2))</f>
        <v>YWH</v>
      </c>
      <c r="E7" s="145">
        <f>IF(C7="","",SUMIF(採購入庫!D:D,$C7,採購入庫!$G:$G))</f>
        <v>0</v>
      </c>
      <c r="F7" s="146" t="s">
        <v>6</v>
      </c>
      <c r="G7" s="145">
        <f>IF(D7="","",SUMIF(每日用粉紀錄表!C:C,$C7,每日用粉紀錄表!F:F))</f>
        <v>0</v>
      </c>
      <c r="H7" s="146" t="s">
        <v>6</v>
      </c>
      <c r="I7" s="147">
        <f>IF(F7="","",SUMIF(當前庫存!C:C,$C7,當前庫存!G:G))</f>
        <v>0</v>
      </c>
      <c r="J7" s="146" t="s">
        <v>6</v>
      </c>
      <c r="K7" s="147">
        <f>IF(H7="","",SUMIF(當前庫存!C:C,$C7,當前庫存!F:F))</f>
        <v>50</v>
      </c>
      <c r="L7" s="146" t="s">
        <v>8</v>
      </c>
    </row>
    <row r="8" spans="2:12" ht="22.5" x14ac:dyDescent="0.15">
      <c r="B8" s="144">
        <v>6</v>
      </c>
      <c r="C8" s="144" t="str">
        <f>IF(烤漆色號編碼!A7="","",烤漆色號編碼!A7)</f>
        <v>780-310AT</v>
      </c>
      <c r="D8" s="144" t="str">
        <f>IF(C8="","",INDEX(烤漆色號編碼!$A:$G,MATCH(C8,烤漆色號編碼!$A:$A,),2))</f>
        <v>RD</v>
      </c>
      <c r="E8" s="145">
        <f>IF(C8="","",SUMIF(採購入庫!D:D,$C8,採購入庫!$G:$G))</f>
        <v>0</v>
      </c>
      <c r="F8" s="146" t="s">
        <v>6</v>
      </c>
      <c r="G8" s="145">
        <f>IF(D8="","",SUMIF(每日用粉紀錄表!C:C,$C8,每日用粉紀錄表!F:F))</f>
        <v>0</v>
      </c>
      <c r="H8" s="146" t="s">
        <v>6</v>
      </c>
      <c r="I8" s="147">
        <f>IF(F8="","",SUMIF(當前庫存!C:C,$C8,當前庫存!G:G))</f>
        <v>5</v>
      </c>
      <c r="J8" s="146" t="s">
        <v>6</v>
      </c>
      <c r="K8" s="147">
        <f>IF(H8="","",SUMIF(當前庫存!C:C,$C8,當前庫存!F:F))</f>
        <v>0</v>
      </c>
      <c r="L8" s="146" t="s">
        <v>8</v>
      </c>
    </row>
    <row r="9" spans="2:12" ht="22.5" x14ac:dyDescent="0.15">
      <c r="B9" s="144">
        <v>7</v>
      </c>
      <c r="C9" s="144" t="str">
        <f>IF(烤漆色號編碼!A8="","",烤漆色號編碼!A8)</f>
        <v>LT-90442</v>
      </c>
      <c r="D9" s="144" t="str">
        <f>IF(C9="","",INDEX(烤漆色號編碼!$A:$G,MATCH(C9,烤漆色號編碼!$A:$A,),2))</f>
        <v>BE</v>
      </c>
      <c r="E9" s="145">
        <f>IF(C9="","",SUMIF(採購入庫!D:D,$C9,採購入庫!$G:$G))</f>
        <v>0</v>
      </c>
      <c r="F9" s="146" t="s">
        <v>6</v>
      </c>
      <c r="G9" s="145">
        <f>IF(D9="","",SUMIF(每日用粉紀錄表!C:C,$C9,每日用粉紀錄表!F:F))</f>
        <v>0</v>
      </c>
      <c r="H9" s="146" t="s">
        <v>6</v>
      </c>
      <c r="I9" s="147">
        <f>IF(F9="","",SUMIF(當前庫存!C:C,$C9,當前庫存!G:G))</f>
        <v>1</v>
      </c>
      <c r="J9" s="146" t="s">
        <v>6</v>
      </c>
      <c r="K9" s="147">
        <f>IF(H9="","",SUMIF(當前庫存!C:C,$C9,當前庫存!F:F))</f>
        <v>14</v>
      </c>
      <c r="L9" s="146" t="s">
        <v>8</v>
      </c>
    </row>
    <row r="10" spans="2:12" ht="22.5" x14ac:dyDescent="0.15">
      <c r="B10" s="144">
        <v>8</v>
      </c>
      <c r="C10" s="144" t="str">
        <f>IF(烤漆色號編碼!A9="","",烤漆色號編碼!A9)</f>
        <v>770-739</v>
      </c>
      <c r="D10" s="144" t="str">
        <f>IF(C10="","",INDEX(烤漆色號編碼!$A:$G,MATCH(C10,烤漆色號編碼!$A:$A,),2))</f>
        <v>BEG</v>
      </c>
      <c r="E10" s="145">
        <f>IF(C10="","",SUMIF(採購入庫!D:D,$C10,採購入庫!$G:$G))</f>
        <v>0</v>
      </c>
      <c r="F10" s="146" t="s">
        <v>6</v>
      </c>
      <c r="G10" s="145">
        <f>IF(D10="","",SUMIF(每日用粉紀錄表!C:C,$C10,每日用粉紀錄表!F:F))</f>
        <v>0</v>
      </c>
      <c r="H10" s="146" t="s">
        <v>6</v>
      </c>
      <c r="I10" s="147">
        <f>IF(F10="","",SUMIF(當前庫存!C:C,$C10,當前庫存!G:G))</f>
        <v>1</v>
      </c>
      <c r="J10" s="146" t="s">
        <v>6</v>
      </c>
      <c r="K10" s="147">
        <f>IF(H10="","",SUMIF(當前庫存!C:C,$C10,當前庫存!F:F))</f>
        <v>3</v>
      </c>
      <c r="L10" s="146" t="s">
        <v>8</v>
      </c>
    </row>
    <row r="11" spans="2:12" ht="22.5" x14ac:dyDescent="0.15">
      <c r="B11" s="144">
        <v>9</v>
      </c>
      <c r="C11" s="144" t="str">
        <f>IF(烤漆色號編碼!A10="","",烤漆色號編碼!A10)</f>
        <v>4950-502</v>
      </c>
      <c r="D11" s="144" t="str">
        <f>IF(C11="","",INDEX(烤漆色號編碼!$A:$G,MATCH(C11,烤漆色號編碼!$A:$A,),2))</f>
        <v>BK</v>
      </c>
      <c r="E11" s="145">
        <f>IF(C11="","",SUMIF(採購入庫!D:D,$C11,採購入庫!$G:$G))</f>
        <v>0</v>
      </c>
      <c r="F11" s="146" t="s">
        <v>6</v>
      </c>
      <c r="G11" s="145">
        <f>IF(D11="","",SUMIF(每日用粉紀錄表!C:C,$C11,每日用粉紀錄表!F:F))</f>
        <v>1</v>
      </c>
      <c r="H11" s="146" t="s">
        <v>6</v>
      </c>
      <c r="I11" s="147">
        <f>IF(F11="","",SUMIF(當前庫存!C:C,$C11,當前庫存!G:G))</f>
        <v>1</v>
      </c>
      <c r="J11" s="146" t="s">
        <v>6</v>
      </c>
      <c r="K11" s="147">
        <f>IF(H11="","",SUMIF(當前庫存!C:C,$C11,當前庫存!F:F))</f>
        <v>20</v>
      </c>
      <c r="L11" s="146" t="s">
        <v>8</v>
      </c>
    </row>
    <row r="12" spans="2:12" ht="22.5" x14ac:dyDescent="0.15">
      <c r="B12" s="144">
        <v>10</v>
      </c>
      <c r="C12" s="144" t="str">
        <f>IF(烤漆色號編碼!A11="","",烤漆色號編碼!A11)</f>
        <v>EN-402T</v>
      </c>
      <c r="D12" s="144" t="str">
        <f>IF(C12="","",INDEX(烤漆色號編碼!$A:$G,MATCH(C12,烤漆色號編碼!$A:$A,),2))</f>
        <v>BKH</v>
      </c>
      <c r="E12" s="145">
        <f>IF(C12="","",SUMIF(採購入庫!D:D,$C12,採購入庫!$G:$G))</f>
        <v>0</v>
      </c>
      <c r="F12" s="146" t="s">
        <v>6</v>
      </c>
      <c r="G12" s="145">
        <f>IF(D12="","",SUMIF(每日用粉紀錄表!C:C,$C12,每日用粉紀錄表!F:F))</f>
        <v>0</v>
      </c>
      <c r="H12" s="146" t="s">
        <v>6</v>
      </c>
      <c r="I12" s="147">
        <f>IF(F12="","",SUMIF(當前庫存!C:C,$C12,當前庫存!G:G))</f>
        <v>1</v>
      </c>
      <c r="J12" s="146" t="s">
        <v>6</v>
      </c>
      <c r="K12" s="147">
        <f>IF(H12="","",SUMIF(當前庫存!C:C,$C12,當前庫存!F:F))</f>
        <v>18</v>
      </c>
      <c r="L12" s="146" t="s">
        <v>8</v>
      </c>
    </row>
    <row r="13" spans="2:12" ht="22.5" x14ac:dyDescent="0.15">
      <c r="B13" s="144">
        <v>11</v>
      </c>
      <c r="C13" s="144" t="str">
        <f>IF(烤漆色號編碼!A12="","",烤漆色號編碼!A12)</f>
        <v>K-91097G</v>
      </c>
      <c r="D13" s="144" t="str">
        <f>IF(C13="","",INDEX(烤漆色號編碼!$A:$G,MATCH(C13,烤漆色號編碼!$A:$A,),2))</f>
        <v>BKS1</v>
      </c>
      <c r="E13" s="145">
        <f>IF(C13="","",SUMIF(採購入庫!D:D,$C13,採購入庫!$G:$G))</f>
        <v>20</v>
      </c>
      <c r="F13" s="146" t="s">
        <v>6</v>
      </c>
      <c r="G13" s="145">
        <f>IF(D13="","",SUMIF(每日用粉紀錄表!C:C,$C13,每日用粉紀錄表!F:F))</f>
        <v>7</v>
      </c>
      <c r="H13" s="146" t="s">
        <v>6</v>
      </c>
      <c r="I13" s="147">
        <f>IF(F13="","",SUMIF(當前庫存!C:C,$C13,當前庫存!G:G))</f>
        <v>22</v>
      </c>
      <c r="J13" s="146" t="s">
        <v>6</v>
      </c>
      <c r="K13" s="147">
        <f>IF(H13="","",SUMIF(當前庫存!C:C,$C13,當前庫存!F:F))</f>
        <v>22</v>
      </c>
      <c r="L13" s="146" t="s">
        <v>8</v>
      </c>
    </row>
    <row r="14" spans="2:12" ht="22.5" x14ac:dyDescent="0.15">
      <c r="B14" s="144">
        <v>12</v>
      </c>
      <c r="C14" s="144" t="str">
        <f>IF(烤漆色號編碼!A13="","",烤漆色號編碼!A13)</f>
        <v>780-45510H</v>
      </c>
      <c r="D14" s="144" t="str">
        <f>IF(C14="","",INDEX(烤漆色號編碼!$A:$G,MATCH(C14,烤漆色號編碼!$A:$A,),2))</f>
        <v>BKS</v>
      </c>
      <c r="E14" s="145">
        <f>IF(C14="","",SUMIF(採購入庫!D:D,$C14,採購入庫!$G:$G))</f>
        <v>0</v>
      </c>
      <c r="F14" s="146" t="s">
        <v>6</v>
      </c>
      <c r="G14" s="145">
        <f>IF(D14="","",SUMIF(每日用粉紀錄表!C:C,$C14,每日用粉紀錄表!F:F))</f>
        <v>0</v>
      </c>
      <c r="H14" s="146" t="s">
        <v>6</v>
      </c>
      <c r="I14" s="147">
        <f>IF(F14="","",SUMIF(當前庫存!C:C,$C14,當前庫存!G:G))</f>
        <v>0</v>
      </c>
      <c r="J14" s="146" t="s">
        <v>6</v>
      </c>
      <c r="K14" s="147">
        <f>IF(H14="","",SUMIF(當前庫存!C:C,$C14,當前庫存!F:F))</f>
        <v>0</v>
      </c>
      <c r="L14" s="146" t="s">
        <v>8</v>
      </c>
    </row>
    <row r="15" spans="2:12" ht="22.5" x14ac:dyDescent="0.15">
      <c r="B15" s="144">
        <v>13</v>
      </c>
      <c r="C15" s="144" t="str">
        <f>IF(烤漆色號編碼!A14="","",烤漆色號編碼!A14)</f>
        <v>4605-505</v>
      </c>
      <c r="D15" s="144" t="str">
        <f>IF(C15="","",INDEX(烤漆色號編碼!$A:$G,MATCH(C15,烤漆色號編碼!$A:$A,),2))</f>
        <v>EBK</v>
      </c>
      <c r="E15" s="145">
        <f>IF(C15="","",SUMIF(採購入庫!D:D,$C15,採購入庫!$G:$G))</f>
        <v>2</v>
      </c>
      <c r="F15" s="146" t="s">
        <v>6</v>
      </c>
      <c r="G15" s="145">
        <f>IF(D15="","",SUMIF(每日用粉紀錄表!C:C,$C15,每日用粉紀錄表!F:F))</f>
        <v>0</v>
      </c>
      <c r="H15" s="146" t="s">
        <v>6</v>
      </c>
      <c r="I15" s="147">
        <f>IF(F15="","",SUMIF(當前庫存!C:C,$C15,當前庫存!G:G))</f>
        <v>3</v>
      </c>
      <c r="J15" s="146" t="s">
        <v>6</v>
      </c>
      <c r="K15" s="147">
        <f>IF(H15="","",SUMIF(當前庫存!C:C,$C15,當前庫存!F:F))</f>
        <v>11</v>
      </c>
      <c r="L15" s="146" t="s">
        <v>8</v>
      </c>
    </row>
    <row r="16" spans="2:12" ht="22.5" x14ac:dyDescent="0.15">
      <c r="B16" s="144">
        <v>14</v>
      </c>
      <c r="C16" s="144" t="str">
        <f>IF(烤漆色號編碼!A15="","",烤漆色號編碼!A15)</f>
        <v>O-9850GSNB</v>
      </c>
      <c r="D16" s="144" t="str">
        <f>IF(C16="","",INDEX(烤漆色號編碼!$A:$G,MATCH(C16,烤漆色號編碼!$A:$A,),2))</f>
        <v>BKSA</v>
      </c>
      <c r="E16" s="145">
        <f>IF(C16="","",SUMIF(採購入庫!D:D,$C16,採購入庫!$G:$G))</f>
        <v>0</v>
      </c>
      <c r="F16" s="146" t="s">
        <v>6</v>
      </c>
      <c r="G16" s="145">
        <f>IF(D16="","",SUMIF(每日用粉紀錄表!C:C,$C16,每日用粉紀錄表!F:F))</f>
        <v>0</v>
      </c>
      <c r="H16" s="146" t="s">
        <v>6</v>
      </c>
      <c r="I16" s="147">
        <f>IF(F16="","",SUMIF(當前庫存!C:C,$C16,當前庫存!G:G))</f>
        <v>1</v>
      </c>
      <c r="J16" s="146" t="s">
        <v>6</v>
      </c>
      <c r="K16" s="147">
        <f>IF(H16="","",SUMIF(當前庫存!C:C,$C16,當前庫存!F:F))</f>
        <v>65</v>
      </c>
      <c r="L16" s="146" t="s">
        <v>8</v>
      </c>
    </row>
    <row r="17" spans="2:12" ht="22.5" x14ac:dyDescent="0.15">
      <c r="B17" s="144">
        <v>15</v>
      </c>
      <c r="C17" s="144" t="str">
        <f>IF(烤漆色號編碼!A16="","",烤漆色號編碼!A16)</f>
        <v>K-9287S</v>
      </c>
      <c r="D17" s="144" t="str">
        <f>IF(C17="","",INDEX(烤漆色號編碼!$A:$G,MATCH(C17,烤漆色號編碼!$A:$A,),2))</f>
        <v>BKSA1</v>
      </c>
      <c r="E17" s="145">
        <f>IF(C17="","",SUMIF(採購入庫!D:D,$C17,採購入庫!$G:$G))</f>
        <v>0</v>
      </c>
      <c r="F17" s="146" t="s">
        <v>6</v>
      </c>
      <c r="G17" s="145">
        <f>IF(D17="","",SUMIF(每日用粉紀錄表!C:C,$C17,每日用粉紀錄表!F:F))</f>
        <v>1</v>
      </c>
      <c r="H17" s="146" t="s">
        <v>6</v>
      </c>
      <c r="I17" s="147">
        <f>IF(F17="","",SUMIF(當前庫存!C:C,$C17,當前庫存!G:G))</f>
        <v>2</v>
      </c>
      <c r="J17" s="146" t="s">
        <v>6</v>
      </c>
      <c r="K17" s="147">
        <f>IF(H17="","",SUMIF(當前庫存!C:C,$C17,當前庫存!F:F))</f>
        <v>28</v>
      </c>
      <c r="L17" s="146" t="s">
        <v>8</v>
      </c>
    </row>
    <row r="18" spans="2:12" ht="22.5" x14ac:dyDescent="0.15">
      <c r="B18" s="144">
        <v>16</v>
      </c>
      <c r="C18" s="144" t="str">
        <f>IF(烤漆色號編碼!A17="","",烤漆色號編碼!A17)</f>
        <v>EL-0365T</v>
      </c>
      <c r="D18" s="144" t="str">
        <f>IF(C18="","",INDEX(烤漆色號編碼!$A:$G,MATCH(C18,烤漆色號編碼!$A:$A,),2))</f>
        <v>IGS</v>
      </c>
      <c r="E18" s="145">
        <f>IF(C18="","",SUMIF(採購入庫!D:D,$C18,採購入庫!$G:$G))</f>
        <v>0</v>
      </c>
      <c r="F18" s="146" t="s">
        <v>6</v>
      </c>
      <c r="G18" s="145">
        <f>IF(D18="","",SUMIF(每日用粉紀錄表!C:C,$C18,每日用粉紀錄表!F:F))</f>
        <v>4</v>
      </c>
      <c r="H18" s="146" t="s">
        <v>6</v>
      </c>
      <c r="I18" s="147">
        <f>IF(F18="","",SUMIF(當前庫存!C:C,$C18,當前庫存!G:G))</f>
        <v>4</v>
      </c>
      <c r="J18" s="146" t="s">
        <v>6</v>
      </c>
      <c r="K18" s="147">
        <f>IF(H18="","",SUMIF(當前庫存!C:C,$C18,當前庫存!F:F))</f>
        <v>23</v>
      </c>
      <c r="L18" s="146" t="s">
        <v>8</v>
      </c>
    </row>
    <row r="19" spans="2:12" ht="22.5" x14ac:dyDescent="0.15">
      <c r="B19" s="144">
        <v>17</v>
      </c>
      <c r="C19" s="144" t="str">
        <f>IF(烤漆色號編碼!A18="","",烤漆色號編碼!A18)</f>
        <v>O-22170G</v>
      </c>
      <c r="D19" s="144" t="str">
        <f>IF(C19="","",INDEX(烤漆色號編碼!$A:$G,MATCH(C19,烤漆色號編碼!$A:$A,),2))</f>
        <v>DGS</v>
      </c>
      <c r="E19" s="145">
        <f>IF(C19="","",SUMIF(採購入庫!D:D,$C19,採購入庫!$G:$G))</f>
        <v>0</v>
      </c>
      <c r="F19" s="146" t="s">
        <v>6</v>
      </c>
      <c r="G19" s="145">
        <f>IF(D19="","",SUMIF(每日用粉紀錄表!C:C,$C19,每日用粉紀錄表!F:F))</f>
        <v>0</v>
      </c>
      <c r="H19" s="146" t="s">
        <v>6</v>
      </c>
      <c r="I19" s="147">
        <f>IF(F19="","",SUMIF(當前庫存!C:C,$C19,當前庫存!G:G))</f>
        <v>6</v>
      </c>
      <c r="J19" s="146" t="s">
        <v>6</v>
      </c>
      <c r="K19" s="147">
        <f>IF(H19="","",SUMIF(當前庫存!C:C,$C19,當前庫存!F:F))</f>
        <v>4</v>
      </c>
      <c r="L19" s="146" t="s">
        <v>8</v>
      </c>
    </row>
    <row r="20" spans="2:12" ht="22.5" x14ac:dyDescent="0.15">
      <c r="B20" s="144">
        <v>18</v>
      </c>
      <c r="C20" s="144" t="str">
        <f>IF(烤漆色號編碼!A19="","",烤漆色號編碼!A19)</f>
        <v>O-200SB</v>
      </c>
      <c r="D20" s="144" t="str">
        <f>IF(C20="","",INDEX(烤漆色號編碼!$A:$G,MATCH(C20,烤漆色號編碼!$A:$A,),2))</f>
        <v>SAT</v>
      </c>
      <c r="E20" s="145">
        <f>IF(C20="","",SUMIF(採購入庫!D:D,$C20,採購入庫!$G:$G))</f>
        <v>0</v>
      </c>
      <c r="F20" s="146" t="s">
        <v>6</v>
      </c>
      <c r="G20" s="145">
        <f>IF(D20="","",SUMIF(每日用粉紀錄表!C:C,$C20,每日用粉紀錄表!F:F))</f>
        <v>0</v>
      </c>
      <c r="H20" s="146" t="s">
        <v>6</v>
      </c>
      <c r="I20" s="147">
        <f>IF(F20="","",SUMIF(當前庫存!C:C,$C20,當前庫存!G:G))</f>
        <v>0</v>
      </c>
      <c r="J20" s="146" t="s">
        <v>6</v>
      </c>
      <c r="K20" s="147">
        <f>IF(H20="","",SUMIF(當前庫存!C:C,$C20,當前庫存!F:F))</f>
        <v>0</v>
      </c>
      <c r="L20" s="146" t="s">
        <v>8</v>
      </c>
    </row>
    <row r="21" spans="2:12" ht="22.5" x14ac:dyDescent="0.15">
      <c r="B21" s="144">
        <v>19</v>
      </c>
      <c r="C21" s="144" t="str">
        <f>IF(烤漆色號編碼!A20="","",烤漆色號編碼!A20)</f>
        <v>K-5257CSB</v>
      </c>
      <c r="D21" s="144" t="str">
        <f>IF(C21="","",INDEX(烤漆色號編碼!$A:$G,MATCH(C21,烤漆色號編碼!$A:$A,),2))</f>
        <v>SAT1</v>
      </c>
      <c r="E21" s="145">
        <f>IF(C21="","",SUMIF(採購入庫!D:D,$C21,採購入庫!$G:$G))</f>
        <v>0</v>
      </c>
      <c r="F21" s="146" t="s">
        <v>6</v>
      </c>
      <c r="G21" s="145">
        <f>IF(D21="","",SUMIF(每日用粉紀錄表!C:C,$C21,每日用粉紀錄表!F:F))</f>
        <v>0</v>
      </c>
      <c r="H21" s="146" t="s">
        <v>6</v>
      </c>
      <c r="I21" s="147">
        <f>IF(F21="","",SUMIF(當前庫存!C:C,$C21,當前庫存!G:G))</f>
        <v>2</v>
      </c>
      <c r="J21" s="146" t="s">
        <v>6</v>
      </c>
      <c r="K21" s="147">
        <f>IF(H21="","",SUMIF(當前庫存!C:C,$C21,當前庫存!F:F))</f>
        <v>44</v>
      </c>
      <c r="L21" s="146" t="s">
        <v>8</v>
      </c>
    </row>
    <row r="22" spans="2:12" ht="22.5" x14ac:dyDescent="0.15">
      <c r="B22" s="144">
        <v>20</v>
      </c>
      <c r="C22" s="144" t="str">
        <f>IF(烤漆色號編碼!A21="","",烤漆色號編碼!A21)</f>
        <v>K-4654</v>
      </c>
      <c r="D22" s="144" t="str">
        <f>IF(C22="","",INDEX(烤漆色號編碼!$A:$G,MATCH(C22,烤漆色號編碼!$A:$A,),2))</f>
        <v>PEL</v>
      </c>
      <c r="E22" s="145">
        <f>IF(C22="","",SUMIF(採購入庫!D:D,$C22,採購入庫!$G:$G))</f>
        <v>0</v>
      </c>
      <c r="F22" s="146" t="s">
        <v>6</v>
      </c>
      <c r="G22" s="145">
        <f>IF(D22="","",SUMIF(每日用粉紀錄表!C:C,$C22,每日用粉紀錄表!F:F))</f>
        <v>0</v>
      </c>
      <c r="H22" s="146" t="s">
        <v>6</v>
      </c>
      <c r="I22" s="147">
        <f>IF(F22="","",SUMIF(當前庫存!C:C,$C22,當前庫存!G:G))</f>
        <v>2</v>
      </c>
      <c r="J22" s="146" t="s">
        <v>6</v>
      </c>
      <c r="K22" s="147">
        <f>IF(H22="","",SUMIF(當前庫存!C:C,$C22,當前庫存!F:F))</f>
        <v>34</v>
      </c>
      <c r="L22" s="146" t="s">
        <v>8</v>
      </c>
    </row>
    <row r="23" spans="2:12" ht="22.5" x14ac:dyDescent="0.15">
      <c r="B23" s="144">
        <v>21</v>
      </c>
      <c r="C23" s="144" t="str">
        <f>IF(烤漆色號編碼!A22="","",烤漆色號編碼!A22)</f>
        <v>780-9B65</v>
      </c>
      <c r="D23" s="144" t="str">
        <f>IF(C23="","",INDEX(烤漆色號編碼!$A:$G,MATCH(C23,烤漆色號編碼!$A:$A,),2))</f>
        <v>ATG</v>
      </c>
      <c r="E23" s="145">
        <f>IF(C23="","",SUMIF(採購入庫!D:D,$C23,採購入庫!$G:$G))</f>
        <v>0</v>
      </c>
      <c r="F23" s="146" t="s">
        <v>6</v>
      </c>
      <c r="G23" s="145">
        <f>IF(D23="","",SUMIF(每日用粉紀錄表!C:C,$C23,每日用粉紀錄表!F:F))</f>
        <v>0</v>
      </c>
      <c r="H23" s="146" t="s">
        <v>6</v>
      </c>
      <c r="I23" s="147">
        <f>IF(F23="","",SUMIF(當前庫存!C:C,$C23,當前庫存!G:G))</f>
        <v>0</v>
      </c>
      <c r="J23" s="146" t="s">
        <v>6</v>
      </c>
      <c r="K23" s="147">
        <f>IF(H23="","",SUMIF(當前庫存!C:C,$C23,當前庫存!F:F))</f>
        <v>0</v>
      </c>
      <c r="L23" s="146" t="s">
        <v>8</v>
      </c>
    </row>
    <row r="24" spans="2:12" ht="22.5" x14ac:dyDescent="0.15">
      <c r="B24" s="144">
        <v>22</v>
      </c>
      <c r="C24" s="144" t="str">
        <f>IF(烤漆色號編碼!A23="","",烤漆色號編碼!A23)</f>
        <v>780-9Q70</v>
      </c>
      <c r="D24" s="144" t="str">
        <f>IF(C24="","",INDEX(烤漆色號編碼!$A:$G,MATCH(C24,烤漆色號編碼!$A:$A,),2))</f>
        <v>ATG</v>
      </c>
      <c r="E24" s="145">
        <f>IF(C24="","",SUMIF(採購入庫!D:D,$C24,採購入庫!$G:$G))</f>
        <v>0</v>
      </c>
      <c r="F24" s="146" t="s">
        <v>6</v>
      </c>
      <c r="G24" s="145">
        <f>IF(D24="","",SUMIF(每日用粉紀錄表!C:C,$C24,每日用粉紀錄表!F:F))</f>
        <v>0</v>
      </c>
      <c r="H24" s="146" t="s">
        <v>6</v>
      </c>
      <c r="I24" s="147">
        <f>IF(F24="","",SUMIF(當前庫存!C:C,$C24,當前庫存!G:G))</f>
        <v>0</v>
      </c>
      <c r="J24" s="146" t="s">
        <v>6</v>
      </c>
      <c r="K24" s="147">
        <f>IF(H24="","",SUMIF(當前庫存!C:C,$C24,當前庫存!F:F))</f>
        <v>0</v>
      </c>
      <c r="L24" s="146" t="s">
        <v>8</v>
      </c>
    </row>
    <row r="25" spans="2:12" ht="22.5" x14ac:dyDescent="0.15">
      <c r="B25" s="144">
        <v>23</v>
      </c>
      <c r="C25" s="144" t="str">
        <f>IF(烤漆色號編碼!A24="","",烤漆色號編碼!A24)</f>
        <v>780-6902</v>
      </c>
      <c r="D25" s="144" t="str">
        <f>IF(C25="","",INDEX(烤漆色號編碼!$A:$G,MATCH(C25,烤漆色號編碼!$A:$A,),2))</f>
        <v>GN</v>
      </c>
      <c r="E25" s="145">
        <f>IF(C25="","",SUMIF(採購入庫!D:D,$C25,採購入庫!$G:$G))</f>
        <v>0</v>
      </c>
      <c r="F25" s="146" t="s">
        <v>6</v>
      </c>
      <c r="G25" s="145">
        <f>IF(D25="","",SUMIF(每日用粉紀錄表!C:C,$C25,每日用粉紀錄表!F:F))</f>
        <v>0</v>
      </c>
      <c r="H25" s="146" t="s">
        <v>6</v>
      </c>
      <c r="I25" s="147">
        <f>IF(F25="","",SUMIF(當前庫存!C:C,$C25,當前庫存!G:G))</f>
        <v>2</v>
      </c>
      <c r="J25" s="146" t="s">
        <v>6</v>
      </c>
      <c r="K25" s="147">
        <f>IF(H25="","",SUMIF(當前庫存!C:C,$C25,當前庫存!F:F))</f>
        <v>17</v>
      </c>
      <c r="L25" s="146" t="s">
        <v>8</v>
      </c>
    </row>
    <row r="26" spans="2:12" ht="22.5" x14ac:dyDescent="0.15">
      <c r="B26" s="144">
        <v>24</v>
      </c>
      <c r="C26" s="144" t="str">
        <f>IF(烤漆色號編碼!A25="","",烤漆色號編碼!A25)</f>
        <v>A-10067</v>
      </c>
      <c r="D26" s="144" t="str">
        <f>IF(C26="","",INDEX(烤漆色號編碼!$A:$G,MATCH(C26,烤漆色號編碼!$A:$A,),2))</f>
        <v>OE</v>
      </c>
      <c r="E26" s="145">
        <f>IF(C26="","",SUMIF(採購入庫!D:D,$C26,採購入庫!$G:$G))</f>
        <v>0</v>
      </c>
      <c r="F26" s="146" t="s">
        <v>6</v>
      </c>
      <c r="G26" s="145">
        <f>IF(D26="","",SUMIF(每日用粉紀錄表!C:C,$C26,每日用粉紀錄表!F:F))</f>
        <v>0</v>
      </c>
      <c r="H26" s="146" t="s">
        <v>6</v>
      </c>
      <c r="I26" s="147">
        <f>IF(F26="","",SUMIF(當前庫存!C:C,$C26,當前庫存!G:G))</f>
        <v>1</v>
      </c>
      <c r="J26" s="146" t="s">
        <v>6</v>
      </c>
      <c r="K26" s="147">
        <f>IF(H26="","",SUMIF(當前庫存!C:C,$C26,當前庫存!F:F))</f>
        <v>72</v>
      </c>
      <c r="L26" s="146" t="s">
        <v>8</v>
      </c>
    </row>
    <row r="27" spans="2:12" ht="22.5" x14ac:dyDescent="0.15">
      <c r="B27" s="144">
        <v>25</v>
      </c>
      <c r="C27" s="144" t="str">
        <f>IF(烤漆色號編碼!A26="","",烤漆色號編碼!A26)</f>
        <v>4605-702A</v>
      </c>
      <c r="D27" s="144" t="str">
        <f>IF(C27="","",INDEX(烤漆色號編碼!$A:$G,MATCH(C27,烤漆色號編碼!$A:$A,),2))</f>
        <v>IG</v>
      </c>
      <c r="E27" s="145">
        <f>IF(C27="","",SUMIF(採購入庫!D:D,$C27,採購入庫!$G:$G))</f>
        <v>0</v>
      </c>
      <c r="F27" s="146" t="s">
        <v>6</v>
      </c>
      <c r="G27" s="145">
        <f>IF(D27="","",SUMIF(每日用粉紀錄表!C:C,$C27,每日用粉紀錄表!F:F))</f>
        <v>0</v>
      </c>
      <c r="H27" s="146" t="s">
        <v>6</v>
      </c>
      <c r="I27" s="147">
        <f>IF(F27="","",SUMIF(當前庫存!C:C,$C27,當前庫存!G:G))</f>
        <v>1</v>
      </c>
      <c r="J27" s="146" t="s">
        <v>6</v>
      </c>
      <c r="K27" s="147">
        <f>IF(H27="","",SUMIF(當前庫存!C:C,$C27,當前庫存!F:F))</f>
        <v>3</v>
      </c>
      <c r="L27" s="146" t="s">
        <v>8</v>
      </c>
    </row>
    <row r="28" spans="2:12" ht="22.5" x14ac:dyDescent="0.15">
      <c r="B28" s="144">
        <v>26</v>
      </c>
      <c r="C28" s="144" t="str">
        <f>IF(烤漆色號編碼!A27="","",烤漆色號編碼!A27)</f>
        <v>4900-246</v>
      </c>
      <c r="D28" s="144" t="str">
        <f>IF(C28="","",INDEX(烤漆色號編碼!$A:$G,MATCH(C28,烤漆色號編碼!$A:$A,),2))</f>
        <v>GYW</v>
      </c>
      <c r="E28" s="145">
        <f>IF(C28="","",SUMIF(採購入庫!D:D,$C28,採購入庫!$G:$G))</f>
        <v>0</v>
      </c>
      <c r="F28" s="146" t="s">
        <v>6</v>
      </c>
      <c r="G28" s="145">
        <f>IF(D28="","",SUMIF(每日用粉紀錄表!C:C,$C28,每日用粉紀錄表!F:F))</f>
        <v>0</v>
      </c>
      <c r="H28" s="146" t="s">
        <v>6</v>
      </c>
      <c r="I28" s="147">
        <f>IF(F28="","",SUMIF(當前庫存!C:C,$C28,當前庫存!G:G))</f>
        <v>0</v>
      </c>
      <c r="J28" s="146" t="s">
        <v>6</v>
      </c>
      <c r="K28" s="147">
        <f>IF(H28="","",SUMIF(當前庫存!C:C,$C28,當前庫存!F:F))</f>
        <v>22</v>
      </c>
      <c r="L28" s="146" t="s">
        <v>8</v>
      </c>
    </row>
    <row r="29" spans="2:12" ht="22.5" x14ac:dyDescent="0.15">
      <c r="B29" s="144">
        <v>27</v>
      </c>
      <c r="C29" s="144" t="str">
        <f>IF(烤漆色號編碼!A28="","",烤漆色號編碼!A28)</f>
        <v>4900-149</v>
      </c>
      <c r="D29" s="144" t="str">
        <f>IF(C29="","",INDEX(烤漆色號編碼!$A:$G,MATCH(C29,烤漆色號編碼!$A:$A,),2))</f>
        <v>PK</v>
      </c>
      <c r="E29" s="145">
        <f>IF(C29="","",SUMIF(採購入庫!D:D,$C29,採購入庫!$G:$G))</f>
        <v>0</v>
      </c>
      <c r="F29" s="146" t="s">
        <v>6</v>
      </c>
      <c r="G29" s="145">
        <f>IF(D29="","",SUMIF(每日用粉紀錄表!C:C,$C29,每日用粉紀錄表!F:F))</f>
        <v>0</v>
      </c>
      <c r="H29" s="146" t="s">
        <v>6</v>
      </c>
      <c r="I29" s="147">
        <f>IF(F29="","",SUMIF(當前庫存!C:C,$C29,當前庫存!G:G))</f>
        <v>6</v>
      </c>
      <c r="J29" s="146" t="s">
        <v>6</v>
      </c>
      <c r="K29" s="147">
        <f>IF(H29="","",SUMIF(當前庫存!C:C,$C29,當前庫存!F:F))</f>
        <v>15</v>
      </c>
      <c r="L29" s="146" t="s">
        <v>8</v>
      </c>
    </row>
    <row r="30" spans="2:12" ht="22.5" x14ac:dyDescent="0.15">
      <c r="B30" s="144">
        <v>28</v>
      </c>
      <c r="C30" s="144" t="str">
        <f>IF(烤漆色號編碼!A29="","",烤漆色號編碼!A29)</f>
        <v>K-5510SCB</v>
      </c>
      <c r="D30" s="144" t="str">
        <f>IF(C30="","",INDEX(烤漆色號編碼!$A:$G,MATCH(C30,烤漆色號編碼!$A:$A,),2))</f>
        <v>GSAT</v>
      </c>
      <c r="E30" s="145">
        <f>IF(C30="","",SUMIF(採購入庫!D:D,$C30,採購入庫!$G:$G))</f>
        <v>0</v>
      </c>
      <c r="F30" s="146" t="s">
        <v>6</v>
      </c>
      <c r="G30" s="145">
        <f>IF(D30="","",SUMIF(每日用粉紀錄表!C:C,$C30,每日用粉紀錄表!F:F))</f>
        <v>0</v>
      </c>
      <c r="H30" s="146" t="s">
        <v>6</v>
      </c>
      <c r="I30" s="147">
        <f>IF(F30="","",SUMIF(當前庫存!C:C,$C30,當前庫存!G:G))</f>
        <v>0</v>
      </c>
      <c r="J30" s="146" t="s">
        <v>6</v>
      </c>
      <c r="K30" s="147">
        <f>IF(H30="","",SUMIF(當前庫存!C:C,$C30,當前庫存!F:F))</f>
        <v>9</v>
      </c>
      <c r="L30" s="146" t="s">
        <v>8</v>
      </c>
    </row>
    <row r="31" spans="2:12" ht="22.5" x14ac:dyDescent="0.15">
      <c r="B31" s="144">
        <v>29</v>
      </c>
      <c r="C31" s="144" t="str">
        <f>IF(烤漆色號編碼!A30="","",烤漆色號編碼!A30)</f>
        <v>O-5337H</v>
      </c>
      <c r="D31" s="144" t="str">
        <f>IF(C31="","",INDEX(烤漆色號編碼!$A:$G,MATCH(C31,烤漆色號編碼!$A:$A,),2))</f>
        <v>YWH</v>
      </c>
      <c r="E31" s="145">
        <f>IF(C31="","",SUMIF(採購入庫!D:D,$C31,採購入庫!$G:$G))</f>
        <v>0</v>
      </c>
      <c r="F31" s="146" t="s">
        <v>6</v>
      </c>
      <c r="G31" s="145">
        <f>IF(D31="","",SUMIF(每日用粉紀錄表!C:C,$C31,每日用粉紀錄表!F:F))</f>
        <v>0</v>
      </c>
      <c r="H31" s="146" t="s">
        <v>6</v>
      </c>
      <c r="I31" s="147">
        <f>IF(F31="","",SUMIF(當前庫存!C:C,$C31,當前庫存!G:G))</f>
        <v>0</v>
      </c>
      <c r="J31" s="146" t="s">
        <v>6</v>
      </c>
      <c r="K31" s="147">
        <f>IF(H31="","",SUMIF(當前庫存!C:C,$C31,當前庫存!F:F))</f>
        <v>0</v>
      </c>
      <c r="L31" s="146" t="s">
        <v>8</v>
      </c>
    </row>
    <row r="32" spans="2:12" ht="22.5" x14ac:dyDescent="0.15">
      <c r="B32" s="144">
        <v>30</v>
      </c>
      <c r="C32" s="144" t="str">
        <f>IF(烤漆色號編碼!A31="","",烤漆色號編碼!A31)</f>
        <v>E-BY112</v>
      </c>
      <c r="D32" s="144" t="str">
        <f>IF(C32="","",INDEX(烤漆色號編碼!$A:$G,MATCH(C32,烤漆色號編碼!$A:$A,),2))</f>
        <v>ATG</v>
      </c>
      <c r="E32" s="145">
        <f>IF(C32="","",SUMIF(採購入庫!D:D,$C32,採購入庫!$G:$G))</f>
        <v>0</v>
      </c>
      <c r="F32" s="146" t="s">
        <v>6</v>
      </c>
      <c r="G32" s="145">
        <f>IF(D32="","",SUMIF(每日用粉紀錄表!C:C,$C32,每日用粉紀錄表!F:F))</f>
        <v>0</v>
      </c>
      <c r="H32" s="146" t="s">
        <v>6</v>
      </c>
      <c r="I32" s="147">
        <f>IF(F32="","",SUMIF(當前庫存!C:C,$C32,當前庫存!G:G))</f>
        <v>0</v>
      </c>
      <c r="J32" s="146" t="s">
        <v>6</v>
      </c>
      <c r="K32" s="147">
        <f>IF(H32="","",SUMIF(當前庫存!C:C,$C32,當前庫存!F:F))</f>
        <v>0</v>
      </c>
      <c r="L32" s="146" t="s">
        <v>8</v>
      </c>
    </row>
    <row r="33" spans="2:12" ht="22.5" x14ac:dyDescent="0.15">
      <c r="B33" s="144">
        <v>31</v>
      </c>
      <c r="C33" s="144" t="str">
        <f>IF(烤漆色號編碼!A32="","",烤漆色號編碼!A32)</f>
        <v>BP-133S</v>
      </c>
      <c r="D33" s="144" t="str">
        <f>IF(C33="","",INDEX(烤漆色號編碼!$A:$G,MATCH(C33,烤漆色號編碼!$A:$A,),2))</f>
        <v>SAT2</v>
      </c>
      <c r="E33" s="145">
        <f>IF(C33="","",SUMIF(採購入庫!D:D,$C33,採購入庫!$G:$G))</f>
        <v>0</v>
      </c>
      <c r="F33" s="146" t="s">
        <v>6</v>
      </c>
      <c r="G33" s="145">
        <f>IF(D33="","",SUMIF(每日用粉紀錄表!C:C,$C33,每日用粉紀錄表!F:F))</f>
        <v>0</v>
      </c>
      <c r="H33" s="146" t="s">
        <v>6</v>
      </c>
      <c r="I33" s="147">
        <f>IF(F33="","",SUMIF(當前庫存!C:C,$C33,當前庫存!G:G))</f>
        <v>4</v>
      </c>
      <c r="J33" s="146" t="s">
        <v>6</v>
      </c>
      <c r="K33" s="147">
        <f>IF(H33="","",SUMIF(當前庫存!C:C,$C33,當前庫存!F:F))</f>
        <v>9</v>
      </c>
      <c r="L33" s="146" t="s">
        <v>8</v>
      </c>
    </row>
    <row r="34" spans="2:12" ht="22.5" x14ac:dyDescent="0.15">
      <c r="B34" s="144">
        <v>32</v>
      </c>
      <c r="C34" s="144" t="str">
        <f>IF(烤漆色號編碼!A33="","",烤漆色號編碼!A33)</f>
        <v>PC-20537Y</v>
      </c>
      <c r="D34" s="144" t="str">
        <f>IF(C34="","",INDEX(烤漆色號編碼!$A:$G,MATCH(C34,烤漆色號編碼!$A:$A,),2))</f>
        <v>ATG</v>
      </c>
      <c r="E34" s="145">
        <f>IF(C34="","",SUMIF(採購入庫!D:D,$C34,採購入庫!$G:$G))</f>
        <v>0</v>
      </c>
      <c r="F34" s="146" t="s">
        <v>6</v>
      </c>
      <c r="G34" s="145">
        <f>IF(D34="","",SUMIF(每日用粉紀錄表!C:C,$C34,每日用粉紀錄表!F:F))</f>
        <v>0</v>
      </c>
      <c r="H34" s="146" t="s">
        <v>6</v>
      </c>
      <c r="I34" s="147">
        <f>IF(F34="","",SUMIF(當前庫存!C:C,$C34,當前庫存!G:G))</f>
        <v>0</v>
      </c>
      <c r="J34" s="146" t="s">
        <v>6</v>
      </c>
      <c r="K34" s="147">
        <f>IF(H34="","",SUMIF(當前庫存!C:C,$C34,當前庫存!F:F))</f>
        <v>6</v>
      </c>
      <c r="L34" s="146" t="s">
        <v>8</v>
      </c>
    </row>
    <row r="35" spans="2:12" ht="22.5" x14ac:dyDescent="0.15">
      <c r="B35" s="144">
        <v>33</v>
      </c>
      <c r="C35" s="144" t="str">
        <f>IF(烤漆色號編碼!A34="","",烤漆色號編碼!A34)</f>
        <v>008/2H056</v>
      </c>
      <c r="D35" s="144" t="str">
        <f>IF(C35="","",INDEX(烤漆色號編碼!$A:$G,MATCH(C35,烤漆色號編碼!$A:$A,),2))</f>
        <v>YW1</v>
      </c>
      <c r="E35" s="145">
        <f>IF(C35="","",SUMIF(採購入庫!D:D,$C35,採購入庫!$G:$G))</f>
        <v>6</v>
      </c>
      <c r="F35" s="146" t="s">
        <v>6</v>
      </c>
      <c r="G35" s="145">
        <f>IF(D35="","",SUMIF(每日用粉紀錄表!C:C,$C35,每日用粉紀錄表!F:F))</f>
        <v>7</v>
      </c>
      <c r="H35" s="146" t="s">
        <v>6</v>
      </c>
      <c r="I35" s="147">
        <f>IF(F35="","",SUMIF(當前庫存!C:C,$C35,當前庫存!G:G))</f>
        <v>1</v>
      </c>
      <c r="J35" s="146" t="s">
        <v>6</v>
      </c>
      <c r="K35" s="147">
        <f>IF(H35="","",SUMIF(當前庫存!C:C,$C35,當前庫存!F:F))</f>
        <v>6</v>
      </c>
      <c r="L35" s="146" t="s">
        <v>8</v>
      </c>
    </row>
    <row r="36" spans="2:12" ht="22.5" x14ac:dyDescent="0.15">
      <c r="B36" s="144">
        <v>33</v>
      </c>
      <c r="C36" s="144" t="s">
        <v>170</v>
      </c>
      <c r="D36" s="144"/>
      <c r="E36" s="145">
        <f>SUM(E3:E34)</f>
        <v>62</v>
      </c>
      <c r="F36" s="146" t="s">
        <v>6</v>
      </c>
      <c r="G36" s="145">
        <f>SUM(G3:G34)</f>
        <v>57</v>
      </c>
      <c r="H36" s="146" t="s">
        <v>6</v>
      </c>
      <c r="I36" s="147">
        <f>SUM(I3:I34)</f>
        <v>78</v>
      </c>
      <c r="J36" s="146" t="s">
        <v>6</v>
      </c>
      <c r="K36" s="147">
        <f>SUM(K3:K34)</f>
        <v>501</v>
      </c>
      <c r="L36" s="146" t="s">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庫存查詢表</vt:lpstr>
      <vt:lpstr>每日用粉紀錄表</vt:lpstr>
      <vt:lpstr>當前庫存</vt:lpstr>
      <vt:lpstr>對照表</vt:lpstr>
      <vt:lpstr>期初庫存</vt:lpstr>
      <vt:lpstr>工作表1</vt:lpstr>
      <vt:lpstr>採購入庫</vt:lpstr>
      <vt:lpstr>烤漆色號編碼</vt:lpstr>
      <vt:lpstr>庫存統計</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2025-01-14T01:38:35Z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