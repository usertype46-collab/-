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4486C697-7637-0344-B4ED-43DBECF21FF8}" xr6:coauthVersionLast="47" xr6:coauthVersionMax="47" xr10:uidLastSave="{00000000-0000-0000-0000-000000000000}"/>
  <bookViews>
    <workbookView xWindow="-108" yWindow="-108" windowWidth="30936" windowHeight="12576" firstSheet="1"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每日用粉紀錄表!$B$2:$O$126</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3" l="1" a="1"/>
  <c r="C7" i="13"/>
  <c r="B7" i="13" a="1"/>
  <c r="B7" i="13"/>
  <c r="G62" i="1"/>
  <c r="F36" i="3"/>
  <c r="H12" i="6"/>
  <c r="H35" i="6"/>
  <c r="G74" i="1"/>
  <c r="I66" i="1"/>
  <c r="G66" i="1"/>
  <c r="G16" i="2"/>
  <c r="E59" i="1"/>
  <c r="E67" i="1"/>
  <c r="G19" i="2"/>
  <c r="E60" i="1"/>
  <c r="G13" i="2"/>
  <c r="E61" i="1"/>
  <c r="G36" i="2"/>
  <c r="E62" i="1"/>
  <c r="G14" i="2"/>
  <c r="E63" i="1"/>
  <c r="E12" i="13" a="1"/>
  <c r="E12" i="13"/>
  <c r="G37" i="2"/>
  <c r="E64" i="1"/>
  <c r="E13" i="13" a="1"/>
  <c r="E13" i="13"/>
  <c r="E65" i="1"/>
  <c r="E14" i="13" a="1"/>
  <c r="E14" i="13"/>
  <c r="G12" i="2"/>
  <c r="E58" i="1"/>
  <c r="E66" i="1"/>
  <c r="H58" i="1"/>
  <c r="J58" i="1"/>
  <c r="H59" i="1"/>
  <c r="J59" i="1"/>
  <c r="H60" i="1"/>
  <c r="J60" i="1"/>
  <c r="H61" i="1"/>
  <c r="J61" i="1"/>
  <c r="H62" i="1"/>
  <c r="J62" i="1"/>
  <c r="H63" i="1"/>
  <c r="J63" i="1"/>
  <c r="H64" i="1"/>
  <c r="I64" i="1"/>
  <c r="J64" i="1"/>
  <c r="H65" i="1"/>
  <c r="J65" i="1"/>
  <c r="E15" i="13" a="1"/>
  <c r="E15" i="13"/>
  <c r="E16" i="13" a="1"/>
  <c r="E16" i="13"/>
  <c r="E17" i="13" a="1"/>
  <c r="E17" i="13"/>
  <c r="E18" i="13" a="1"/>
  <c r="E18" i="13"/>
  <c r="E19" i="13" a="1"/>
  <c r="E19" i="13"/>
  <c r="E20" i="13" a="1"/>
  <c r="E20" i="13"/>
  <c r="E21" i="13" a="1"/>
  <c r="E21" i="13"/>
  <c r="E22" i="13" a="1"/>
  <c r="E22" i="13"/>
  <c r="E23" i="13" a="1"/>
  <c r="E23" i="13"/>
  <c r="E24" i="13" a="1"/>
  <c r="E24" i="13"/>
  <c r="E25" i="13" a="1"/>
  <c r="E25" i="13"/>
  <c r="E26" i="13" a="1"/>
  <c r="E26" i="13"/>
  <c r="E27" i="13" a="1"/>
  <c r="E27" i="13"/>
  <c r="E28" i="13" a="1"/>
  <c r="E28" i="13"/>
  <c r="E29" i="13" a="1"/>
  <c r="E29" i="13"/>
  <c r="E30" i="13" a="1"/>
  <c r="E30" i="13"/>
  <c r="E31" i="13" a="1"/>
  <c r="E31" i="13"/>
  <c r="E32" i="13" a="1"/>
  <c r="E32" i="13"/>
  <c r="G64" i="1"/>
  <c r="I55" i="1"/>
  <c r="G55" i="1"/>
  <c r="I50" i="1"/>
  <c r="I51" i="1"/>
  <c r="G50" i="1"/>
  <c r="I48" i="1"/>
  <c r="G48" i="1"/>
  <c r="I45" i="1"/>
  <c r="G42" i="1"/>
  <c r="I38" i="1"/>
  <c r="I37" i="1"/>
  <c r="G37" i="1"/>
  <c r="G29" i="1"/>
  <c r="I26" i="1"/>
  <c r="G26" i="1"/>
  <c r="G23" i="1"/>
  <c r="I18" i="1"/>
  <c r="I16" i="1"/>
  <c r="F42" i="3"/>
  <c r="F38" i="3"/>
  <c r="F27" i="3"/>
  <c r="F23" i="3"/>
  <c r="F22" i="3"/>
  <c r="F17" i="3"/>
  <c r="F16" i="3"/>
  <c r="F14" i="3"/>
  <c r="F13" i="3"/>
  <c r="F12" i="3"/>
  <c r="F8" i="3"/>
  <c r="F4" i="3"/>
  <c r="H3" i="6"/>
  <c r="D53" i="1"/>
  <c r="F34" i="2"/>
  <c r="G34" i="2"/>
  <c r="J34" i="2"/>
  <c r="E89" i="1"/>
  <c r="D48" i="1"/>
  <c r="E48" i="1"/>
  <c r="H48" i="1"/>
  <c r="J48" i="1"/>
  <c r="D49" i="1"/>
  <c r="E49" i="1"/>
  <c r="H49" i="1"/>
  <c r="J49" i="1"/>
  <c r="H7" i="6"/>
  <c r="H41" i="6"/>
  <c r="C41"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G41" i="2"/>
  <c r="C42" i="2"/>
  <c r="G42" i="2"/>
  <c r="G43" i="2"/>
  <c r="G44" i="2"/>
  <c r="G45" i="2"/>
  <c r="G46" i="2"/>
  <c r="G47" i="2"/>
  <c r="G48" i="2"/>
  <c r="G49" i="2"/>
  <c r="G50" i="2"/>
  <c r="G51" i="2"/>
  <c r="G52" i="2"/>
  <c r="G53" i="2"/>
  <c r="G54" i="2"/>
  <c r="G55" i="2"/>
  <c r="G56" i="2"/>
  <c r="G57" i="2"/>
  <c r="G58" i="2"/>
  <c r="G59" i="2"/>
  <c r="G60" i="2"/>
  <c r="G61" i="2"/>
  <c r="G62" i="2"/>
  <c r="G63" i="2"/>
  <c r="G64" i="2"/>
  <c r="G65" i="2"/>
  <c r="G66" i="2"/>
  <c r="C4" i="2"/>
  <c r="G4" i="2"/>
  <c r="C5" i="2"/>
  <c r="G5" i="2"/>
  <c r="C6" i="2"/>
  <c r="G6" i="2"/>
  <c r="C7" i="2"/>
  <c r="G7" i="2"/>
  <c r="C8" i="2"/>
  <c r="G8" i="2"/>
  <c r="C9" i="2"/>
  <c r="G9" i="2"/>
  <c r="C10" i="2"/>
  <c r="G10" i="2"/>
  <c r="C11" i="2"/>
  <c r="G11" i="2"/>
  <c r="C12" i="2"/>
  <c r="C13" i="2"/>
  <c r="C14" i="2"/>
  <c r="C15" i="2"/>
  <c r="G15" i="2"/>
  <c r="C16" i="2"/>
  <c r="C17" i="2"/>
  <c r="G17" i="2"/>
  <c r="C18" i="2"/>
  <c r="G18" i="2"/>
  <c r="C19" i="2"/>
  <c r="C20" i="2"/>
  <c r="G20" i="2"/>
  <c r="C21" i="2"/>
  <c r="G21" i="2"/>
  <c r="C22" i="2"/>
  <c r="G22" i="2"/>
  <c r="C23" i="2"/>
  <c r="G23" i="2"/>
  <c r="C24" i="2"/>
  <c r="G24" i="2"/>
  <c r="C25" i="2"/>
  <c r="G25" i="2"/>
  <c r="C26" i="2"/>
  <c r="G26" i="2"/>
  <c r="C27" i="2"/>
  <c r="G27" i="2"/>
  <c r="C28" i="2"/>
  <c r="G28" i="2"/>
  <c r="C29" i="2"/>
  <c r="G29" i="2"/>
  <c r="C30" i="2"/>
  <c r="G30" i="2"/>
  <c r="C31" i="2"/>
  <c r="G31" i="2"/>
  <c r="C32" i="2"/>
  <c r="G32" i="2"/>
  <c r="C33" i="2"/>
  <c r="G33" i="2"/>
  <c r="C34" i="2"/>
  <c r="C35" i="2"/>
  <c r="G35" i="2"/>
  <c r="C37" i="2"/>
  <c r="C38" i="2"/>
  <c r="G38" i="2"/>
  <c r="C39" i="2"/>
  <c r="G39" i="2"/>
  <c r="C40" i="2"/>
  <c r="G40" i="2"/>
  <c r="C36"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F4" i="2"/>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H37" i="6"/>
  <c r="C40" i="6"/>
  <c r="I40" i="6"/>
  <c r="C41" i="6"/>
  <c r="I41" i="6"/>
  <c r="B42" i="2"/>
  <c r="D42" i="2"/>
  <c r="E42" i="2"/>
  <c r="D42" i="3"/>
  <c r="E42" i="3"/>
  <c r="P42" i="3"/>
  <c r="H50" i="1"/>
  <c r="J50" i="1"/>
  <c r="D50"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51" i="1"/>
  <c r="D52" i="1"/>
  <c r="D54" i="1"/>
  <c r="D55" i="1"/>
  <c r="D56" i="1"/>
  <c r="D57" i="1"/>
  <c r="D58" i="1"/>
  <c r="D59" i="1"/>
  <c r="G2"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E43" i="2"/>
  <c r="I43" i="2"/>
  <c r="E44" i="2"/>
  <c r="I44" i="2"/>
  <c r="E45" i="2"/>
  <c r="I45" i="2"/>
  <c r="E46" i="2"/>
  <c r="I46" i="2"/>
  <c r="I47" i="2"/>
  <c r="I48" i="2"/>
  <c r="I49" i="2"/>
  <c r="I50" i="2"/>
  <c r="I51" i="2"/>
  <c r="I52" i="2"/>
  <c r="I53" i="2"/>
  <c r="I54" i="2"/>
  <c r="I55" i="2"/>
  <c r="I56" i="2"/>
  <c r="I57" i="2"/>
  <c r="I58" i="2"/>
  <c r="I59" i="2"/>
  <c r="I60" i="2"/>
  <c r="E79"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5" i="1"/>
  <c r="D67" i="1"/>
  <c r="D71" i="1"/>
  <c r="C8" i="13" a="1"/>
  <c r="C8" i="13"/>
  <c r="D5" i="1"/>
  <c r="D72" i="1"/>
  <c r="C9" i="13" a="1"/>
  <c r="C9" i="13"/>
  <c r="D73" i="1"/>
  <c r="D91" i="1"/>
  <c r="C10" i="13" a="1"/>
  <c r="C10" i="13"/>
  <c r="D74" i="1"/>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4" i="1"/>
  <c r="D3" i="1"/>
  <c r="D70" i="1"/>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46" i="1"/>
  <c r="J46" i="1"/>
  <c r="D14" i="13" a="1"/>
  <c r="D14" i="13"/>
  <c r="H47" i="1"/>
  <c r="J47" i="1"/>
  <c r="D15" i="13" a="1"/>
  <c r="D15" i="13"/>
  <c r="H51" i="1"/>
  <c r="J51" i="1"/>
  <c r="D13" i="13" a="1"/>
  <c r="D13" i="13"/>
  <c r="H52" i="1"/>
  <c r="J52" i="1"/>
  <c r="H53" i="1"/>
  <c r="J53" i="1"/>
  <c r="H54" i="1"/>
  <c r="J54" i="1"/>
  <c r="H55" i="1"/>
  <c r="J55" i="1"/>
  <c r="H56" i="1"/>
  <c r="J56" i="1"/>
  <c r="H57" i="1"/>
  <c r="J57" i="1"/>
  <c r="H70" i="1"/>
  <c r="J70" i="1"/>
  <c r="H73" i="1"/>
  <c r="J73" i="1"/>
  <c r="H91" i="1"/>
  <c r="J91" i="1"/>
  <c r="H78" i="1"/>
  <c r="J78" i="1"/>
  <c r="H82" i="1"/>
  <c r="J82" i="1"/>
  <c r="H94" i="1"/>
  <c r="J94" i="1"/>
  <c r="H71" i="1"/>
  <c r="J71" i="1"/>
  <c r="H74" i="1"/>
  <c r="J74" i="1"/>
  <c r="D10" i="13" a="1"/>
  <c r="D10" i="13"/>
  <c r="H66" i="1"/>
  <c r="J66" i="1"/>
  <c r="H83" i="1"/>
  <c r="J83" i="1"/>
  <c r="H72" i="1"/>
  <c r="J72" i="1"/>
  <c r="H67" i="1"/>
  <c r="J67" i="1"/>
  <c r="D12" i="13" a="1"/>
  <c r="D12" i="13"/>
  <c r="D16" i="13" a="1"/>
  <c r="D16" i="13"/>
  <c r="D17" i="13" a="1"/>
  <c r="D17" i="13"/>
  <c r="D18" i="13" a="1"/>
  <c r="D18" i="13"/>
  <c r="D19" i="13" a="1"/>
  <c r="D19" i="13"/>
  <c r="H68" i="1"/>
  <c r="J68" i="1"/>
  <c r="D20" i="13" a="1"/>
  <c r="D20" i="13"/>
  <c r="H69" i="1"/>
  <c r="J69" i="1"/>
  <c r="D21" i="13" a="1"/>
  <c r="D21" i="13"/>
  <c r="D22" i="13" a="1"/>
  <c r="D22" i="13"/>
  <c r="D23" i="13" a="1"/>
  <c r="D23" i="13"/>
  <c r="D24" i="13" a="1"/>
  <c r="D24" i="13"/>
  <c r="D25" i="13" a="1"/>
  <c r="D25" i="13"/>
  <c r="D26" i="13" a="1"/>
  <c r="D26" i="13"/>
  <c r="H75" i="1"/>
  <c r="J75" i="1"/>
  <c r="D11" i="13" a="1"/>
  <c r="D11" i="13"/>
  <c r="D27" i="13" a="1"/>
  <c r="D27" i="13"/>
  <c r="H76" i="1"/>
  <c r="J76" i="1"/>
  <c r="D28" i="13" a="1"/>
  <c r="D28" i="13"/>
  <c r="H77" i="1"/>
  <c r="J77" i="1"/>
  <c r="D29" i="13" a="1"/>
  <c r="D29" i="13"/>
  <c r="D30" i="13" a="1"/>
  <c r="D30" i="13"/>
  <c r="H79" i="1"/>
  <c r="J79" i="1"/>
  <c r="D31" i="13" a="1"/>
  <c r="D31" i="13"/>
  <c r="H80" i="1"/>
  <c r="J80" i="1"/>
  <c r="D32" i="13" a="1"/>
  <c r="D32" i="13"/>
  <c r="H81" i="1"/>
  <c r="J81" i="1"/>
  <c r="H84" i="1"/>
  <c r="J84" i="1"/>
  <c r="H85" i="1"/>
  <c r="J85" i="1"/>
  <c r="H86" i="1"/>
  <c r="J86" i="1"/>
  <c r="H87" i="1"/>
  <c r="J87" i="1"/>
  <c r="H88" i="1"/>
  <c r="J88" i="1"/>
  <c r="H89" i="1"/>
  <c r="J89" i="1"/>
  <c r="H90" i="1"/>
  <c r="J90" i="1"/>
  <c r="H92" i="1"/>
  <c r="J92" i="1"/>
  <c r="H93" i="1"/>
  <c r="J93"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125" i="1"/>
  <c r="J125" i="1"/>
  <c r="H126" i="1"/>
  <c r="J126"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7" i="1"/>
  <c r="E11" i="1"/>
  <c r="E18" i="1"/>
  <c r="E21" i="1"/>
  <c r="E22" i="1"/>
  <c r="E26" i="1"/>
  <c r="E29" i="1"/>
  <c r="E32" i="1"/>
  <c r="E35" i="1"/>
  <c r="E39" i="1"/>
  <c r="E40" i="1"/>
  <c r="E41" i="1"/>
  <c r="E43" i="1"/>
  <c r="E44" i="1"/>
  <c r="E52" i="1"/>
  <c r="E54" i="1"/>
  <c r="E57" i="1"/>
  <c r="E69" i="1"/>
  <c r="E70" i="1"/>
  <c r="E71" i="1"/>
  <c r="E72" i="1"/>
  <c r="E73" i="1"/>
  <c r="E9" i="13" a="1"/>
  <c r="E9" i="13"/>
  <c r="E74" i="1"/>
  <c r="E10" i="13" a="1"/>
  <c r="E10" i="13"/>
  <c r="D38" i="3"/>
  <c r="E38" i="3"/>
  <c r="I37" i="6"/>
  <c r="C26" i="6"/>
  <c r="C27" i="6"/>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E78" i="1"/>
  <c r="D78" i="1"/>
  <c r="E77" i="1"/>
  <c r="D77" i="1"/>
  <c r="D79" i="1"/>
  <c r="C28" i="6"/>
  <c r="C29" i="6"/>
  <c r="C30" i="6"/>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E82" i="1"/>
  <c r="E83" i="1"/>
  <c r="E84" i="1"/>
  <c r="E85" i="1"/>
  <c r="E86" i="1"/>
  <c r="E87" i="1"/>
  <c r="E88" i="1"/>
  <c r="E90" i="1"/>
  <c r="E91" i="1"/>
  <c r="E92" i="1"/>
  <c r="E93" i="1"/>
  <c r="E94" i="1"/>
  <c r="E95" i="1"/>
  <c r="E96" i="1"/>
  <c r="E97" i="1"/>
  <c r="E98" i="1"/>
  <c r="E99" i="1"/>
  <c r="E100" i="1"/>
  <c r="E101" i="1"/>
  <c r="E102" i="1"/>
  <c r="E103" i="1"/>
  <c r="E104"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4" i="1"/>
  <c r="D103" i="1"/>
  <c r="D102" i="1"/>
  <c r="D101" i="1"/>
  <c r="D100" i="1"/>
  <c r="D99" i="1"/>
  <c r="D98" i="1"/>
  <c r="D97" i="1"/>
  <c r="D96" i="1"/>
  <c r="D95" i="1"/>
  <c r="D94" i="1"/>
  <c r="D93" i="1"/>
  <c r="D92" i="1"/>
  <c r="D90" i="1"/>
  <c r="D89" i="1"/>
  <c r="D88" i="1"/>
  <c r="D87" i="1"/>
  <c r="D86" i="1"/>
  <c r="D85" i="1"/>
  <c r="D84" i="1"/>
  <c r="D83" i="1"/>
  <c r="D82" i="1"/>
  <c r="D81" i="1"/>
  <c r="D80" i="1"/>
  <c r="D76" i="1"/>
  <c r="D75" i="1"/>
  <c r="D69" i="1"/>
  <c r="D68" i="1"/>
  <c r="D66" i="1"/>
  <c r="D63" i="1"/>
  <c r="D62" i="1"/>
  <c r="D61" i="1"/>
  <c r="D60" i="1"/>
  <c r="E81" i="1"/>
  <c r="E80" i="1"/>
  <c r="E76" i="1"/>
  <c r="E75" i="1"/>
  <c r="E11" i="13" a="1"/>
  <c r="E11" i="13"/>
  <c r="D9" i="13" a="1"/>
  <c r="D9" i="13"/>
  <c r="D7" i="13" a="1"/>
  <c r="D7" i="13"/>
  <c r="D8" i="13" a="1"/>
  <c r="D8" i="13"/>
  <c r="D40" i="6"/>
  <c r="D41" i="6"/>
  <c r="D38" i="6"/>
  <c r="D39" i="6"/>
  <c r="C17" i="7"/>
  <c r="D37" i="6"/>
  <c r="D3"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5" i="6"/>
  <c r="D36" i="6"/>
  <c r="E68" i="1"/>
  <c r="E56" i="1"/>
  <c r="E55" i="1"/>
  <c r="E53" i="1"/>
  <c r="E51" i="1"/>
  <c r="E47" i="1"/>
  <c r="E46" i="1"/>
  <c r="E45" i="1"/>
  <c r="E42" i="1"/>
  <c r="E38" i="1"/>
  <c r="E37" i="1"/>
  <c r="E36" i="1"/>
  <c r="E34" i="1"/>
  <c r="E33" i="1"/>
  <c r="E31" i="1"/>
  <c r="E30" i="1"/>
  <c r="E28" i="1"/>
  <c r="E27" i="1"/>
  <c r="E25" i="1"/>
  <c r="E24" i="1"/>
  <c r="E23" i="1"/>
  <c r="E19" i="1"/>
  <c r="E17" i="1"/>
  <c r="E16" i="1"/>
  <c r="E15" i="1"/>
  <c r="E14" i="1"/>
  <c r="E13" i="1"/>
  <c r="E12" i="1"/>
  <c r="E10" i="1"/>
  <c r="E9" i="1"/>
  <c r="E8" i="1"/>
  <c r="E6" i="1"/>
  <c r="E5"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E50" i="1"/>
  <c r="I42" i="2"/>
  <c r="E36" i="6"/>
  <c r="F36" i="6"/>
  <c r="J36" i="6"/>
  <c r="K36" i="6"/>
  <c r="E35" i="6"/>
  <c r="F35" i="6"/>
  <c r="K35" i="6"/>
  <c r="J35" i="6"/>
  <c r="E4" i="6"/>
  <c r="F4" i="6"/>
  <c r="J4" i="6"/>
  <c r="E5" i="6"/>
  <c r="F5" i="6"/>
  <c r="J5" i="6"/>
  <c r="E6" i="6"/>
  <c r="F6" i="6"/>
  <c r="J6" i="6"/>
  <c r="E7" i="6"/>
  <c r="F7" i="6"/>
  <c r="J7" i="6"/>
  <c r="E8" i="6"/>
  <c r="F8" i="6"/>
  <c r="J8" i="6"/>
  <c r="E9" i="6"/>
  <c r="F9" i="6"/>
  <c r="J9" i="6"/>
  <c r="E10" i="6"/>
  <c r="F10" i="6"/>
  <c r="J10" i="6"/>
  <c r="E11" i="6"/>
  <c r="F11" i="6"/>
  <c r="J11" i="6"/>
  <c r="E12" i="6"/>
  <c r="F12" i="6"/>
  <c r="J12" i="6"/>
  <c r="E13" i="6"/>
  <c r="F13" i="6"/>
  <c r="J13" i="6"/>
  <c r="E14" i="6"/>
  <c r="F14" i="6"/>
  <c r="J14" i="6"/>
  <c r="E15" i="6"/>
  <c r="F15" i="6"/>
  <c r="J15" i="6"/>
  <c r="E16" i="6"/>
  <c r="F16" i="6"/>
  <c r="J16" i="6"/>
  <c r="E17" i="6"/>
  <c r="F17" i="6"/>
  <c r="J17" i="6"/>
  <c r="E18" i="6"/>
  <c r="F18" i="6"/>
  <c r="J18" i="6"/>
  <c r="E19" i="6"/>
  <c r="F19" i="6"/>
  <c r="J19" i="6"/>
  <c r="E20" i="6"/>
  <c r="F20" i="6"/>
  <c r="J20" i="6"/>
  <c r="E21" i="6"/>
  <c r="F21" i="6"/>
  <c r="J21" i="6"/>
  <c r="E22" i="6"/>
  <c r="F22" i="6"/>
  <c r="J22" i="6"/>
  <c r="E23" i="6"/>
  <c r="F23" i="6"/>
  <c r="J23" i="6"/>
  <c r="E24" i="6"/>
  <c r="F24" i="6"/>
  <c r="J24" i="6"/>
  <c r="E25" i="6"/>
  <c r="F25" i="6"/>
  <c r="J25" i="6"/>
  <c r="E26" i="6"/>
  <c r="F26" i="6"/>
  <c r="J26" i="6"/>
  <c r="E27" i="6"/>
  <c r="F27" i="6"/>
  <c r="J27" i="6"/>
  <c r="E28" i="6"/>
  <c r="F28" i="6"/>
  <c r="J28" i="6"/>
  <c r="E29" i="6"/>
  <c r="F29" i="6"/>
  <c r="J29" i="6"/>
  <c r="E30" i="6"/>
  <c r="F30" i="6"/>
  <c r="J30" i="6"/>
  <c r="E31" i="6"/>
  <c r="F31" i="6"/>
  <c r="J31" i="6"/>
  <c r="E32" i="6"/>
  <c r="F32" i="6"/>
  <c r="J32" i="6"/>
  <c r="E33" i="6"/>
  <c r="F33" i="6"/>
  <c r="J33" i="6"/>
  <c r="E34" i="6"/>
  <c r="F34" i="6"/>
  <c r="J34" i="6"/>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J39"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J41" i="2"/>
  <c r="E39" i="6"/>
  <c r="F39" i="6"/>
  <c r="K39" i="6"/>
  <c r="J39" i="6"/>
  <c r="E38" i="6"/>
  <c r="F38" i="6"/>
  <c r="K38" i="6"/>
  <c r="J38" i="6"/>
  <c r="H40" i="3"/>
  <c r="H39" i="3"/>
  <c r="H41" i="3"/>
  <c r="K40" i="8"/>
  <c r="H42" i="3"/>
  <c r="J42" i="2"/>
  <c r="E41" i="6"/>
  <c r="F41" i="6"/>
  <c r="K41" i="6"/>
  <c r="J41" i="6"/>
  <c r="E40" i="6"/>
  <c r="F40" i="6"/>
  <c r="K40" i="6"/>
  <c r="J40" i="6"/>
  <c r="E8" i="13" a="1"/>
  <c r="E8" i="13"/>
  <c r="E7" i="13" a="1"/>
  <c r="E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<sst xmlns="http://schemas.openxmlformats.org/spreadsheetml/2006/main" count="9544" uniqueCount="439">
  <si>
    <t>庫存查詢表</t>
  </si>
  <si>
    <t>選擇粉烤色號：</t>
  </si>
  <si>
    <t>K-91097G</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</si>
  <si>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</si>
  <si>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</si>
  <si>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</si>
  <si>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</si>
  <si>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</si>
  <si>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</si>
  <si>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</si>
  <si>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</si>
  <si>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</si>
  <si>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</si>
  <si>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</si>
  <si>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</si>
  <si>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</si>
  <si>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</si>
  <si>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</si>
  <si>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</si>
  <si>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</si>
  <si>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</si>
  <si>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</si>
  <si>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</si>
  <si>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</si>
  <si>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</si>
  <si>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</si>
  <si>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</si>
  <si>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</si>
  <si>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</si>
  <si>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</si>
  <si>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</si>
  <si>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</si>
  <si>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</si>
  <si>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</si>
  <si>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</si>
  <si>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</si>
  <si>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</si>
  <si>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</si>
  <si>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</si>
  <si>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</si>
  <si>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</si>
  <si>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</si>
  <si>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</si>
  <si>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</si>
  <si>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</si>
  <si>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</si>
  <si>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</si>
  <si>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</si>
  <si>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</si>
  <si>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</si>
  <si>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</si>
  <si>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</si>
  <si>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</si>
  <si>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</si>
  <si>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</si>
  <si>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</si>
  <si>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</si>
  <si>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</si>
  <si>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</si>
  <si>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</si>
  <si>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</si>
  <si>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</si>
  <si>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</si>
  <si>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</si>
  <si>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</si>
  <si>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</si>
  <si>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</si>
  <si>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</si>
  <si>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</si>
  <si>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</si>
  <si>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</si>
  <si>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</si>
  <si>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</si>
  <si>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</si>
  <si>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</si>
  <si>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</si>
  <si>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</si>
  <si>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</si>
  <si>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</si>
  <si>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</si>
  <si>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</si>
  <si>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</si>
  <si>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</si>
  <si>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</si>
  <si>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</si>
  <si>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</si>
  <si>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</si>
  <si>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</si>
  <si>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</si>
  <si>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</si>
  <si>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</si>
  <si>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</si>
  <si>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</si>
  <si>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</si>
  <si>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</si>
  <si>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</si>
  <si>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</si>
  <si>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</si>
  <si>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</si>
  <si>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</si>
  <si>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</si>
  <si>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</si>
  <si>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</si>
  <si>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</si>
  <si>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</si>
  <si>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</si>
  <si>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</si>
  <si>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</si>
  <si>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</si>
  <si>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</si>
  <si>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</si>
  <si>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</si>
  <si>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</si>
  <si>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</si>
  <si>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</si>
  <si>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</si>
  <si>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</si>
  <si>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</si>
  <si>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</si>
  <si>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</si>
  <si>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</si>
  <si>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</si>
  <si>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</si>
  <si>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</si>
  <si>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</si>
  <si>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</si>
  <si>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</si>
  <si>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</si>
  <si>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</si>
  <si>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</si>
  <si>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</si>
  <si>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</si>
  <si>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</si>
  <si>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</si>
  <si>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</si>
  <si>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</si>
  <si>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</si>
  <si>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</si>
  <si>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</si>
  <si>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</si>
  <si>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</si>
  <si>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</si>
  <si>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</si>
  <si>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</si>
  <si>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</si>
  <si>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</si>
  <si>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</si>
  <si>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</si>
  <si>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</si>
  <si>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</si>
  <si>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</si>
  <si>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</si>
  <si>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</si>
  <si>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</si>
  <si>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</si>
  <si>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</si>
  <si>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</si>
  <si>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</si>
  <si>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</si>
  <si>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</si>
  <si>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</si>
  <si>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</si>
  <si>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</si>
  <si>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</si>
  <si>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</si>
  <si>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</si>
  <si>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</si>
  <si>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</si>
  <si>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</si>
  <si>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</si>
  <si>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</si>
  <si>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</si>
  <si>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</si>
  <si>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</si>
  <si>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</si>
  <si>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</si>
  <si>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</si>
  <si>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</si>
  <si>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</si>
  <si>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</si>
  <si>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</si>
  <si>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</si>
  <si>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</si>
  <si>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</si>
  <si>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</si>
  <si>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</si>
  <si>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</si>
  <si>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</si>
  <si>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</si>
  <si>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</si>
  <si>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</si>
  <si>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</si>
  <si>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</si>
  <si>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</si>
  <si>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</si>
  <si>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</si>
  <si>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</si>
  <si>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</si>
  <si>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</si>
  <si>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</si>
  <si>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</si>
  <si>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</si>
  <si>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</si>
  <si>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</si>
  <si>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</si>
  <si>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</si>
  <si>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</si>
  <si>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</si>
  <si>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</si>
  <si>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</si>
  <si>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</si>
  <si>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</si>
  <si>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</si>
  <si>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</si>
  <si>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</si>
  <si>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</si>
  <si>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</si>
  <si>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</si>
  <si>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</si>
  <si>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</si>
  <si>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</si>
  <si>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</si>
  <si>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</si>
  <si>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</si>
  <si>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</si>
  <si>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</si>
  <si>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</si>
  <si>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</si>
  <si>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</si>
  <si>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</si>
  <si>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</si>
  <si>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</si>
  <si>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</si>
  <si>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</si>
  <si>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</si>
  <si>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</si>
  <si>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</si>
  <si>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</si>
  <si>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</si>
  <si>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</si>
  <si>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</si>
  <si>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</si>
  <si>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</si>
  <si>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</si>
  <si>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</si>
  <si>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</si>
  <si>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</si>
  <si>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</si>
  <si>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</si>
  <si>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</si>
  <si>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</si>
  <si>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</si>
  <si>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</si>
  <si>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</si>
  <si>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</si>
  <si>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</si>
  <si>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</si>
  <si>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</si>
  <si>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</si>
  <si>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</si>
  <si>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</si>
  <si>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</si>
  <si>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</si>
  <si>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</si>
  <si>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</si>
  <si>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</si>
  <si>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</si>
  <si>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</si>
  <si>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</si>
  <si>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</si>
  <si>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</si>
  <si>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</si>
  <si>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</si>
  <si>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</si>
  <si>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</si>
  <si>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</si>
  <si>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</si>
  <si>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</si>
  <si>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</si>
  <si>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</si>
  <si>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</si>
  <si>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</si>
  <si>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</si>
  <si>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</si>
  <si>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</si>
  <si>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</si>
  <si>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</si>
  <si>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</si>
  <si>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</si>
  <si>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</si>
  <si>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</si>
  <si>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</si>
  <si>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</si>
  <si>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</si>
  <si>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</si>
  <si>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</si>
  <si>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</si>
  <si>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</si>
  <si>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</si>
  <si>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</si>
  <si>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</si>
  <si>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</si>
  <si>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</si>
  <si>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</si>
  <si>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</si>
  <si>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</si>
  <si>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</si>
  <si>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</si>
  <si>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</si>
  <si>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</si>
  <si>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</si>
  <si>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</si>
  <si>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</si>
  <si>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</si>
  <si>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</si>
  <si>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</si>
  <si>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</si>
  <si>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</si>
  <si>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</si>
  <si>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</si>
  <si>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</si>
  <si>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</si>
  <si>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</si>
  <si>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</si>
  <si>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</si>
  <si>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</si>
  <si>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</si>
  <si>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</si>
  <si>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</si>
  <si>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</si>
  <si>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</si>
  <si>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</si>
  <si>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無烤漆</t>
  </si>
  <si>
    <t>例假日</t>
  </si>
  <si>
    <t>國定假日</t>
  </si>
  <si>
    <t>4605-505</t>
  </si>
  <si>
    <t>008/1H174</t>
  </si>
  <si>
    <t>廢粉</t>
  </si>
  <si>
    <t>EL-0365T</t>
  </si>
  <si>
    <t>008/2H056</t>
  </si>
  <si>
    <t>780-9B65</t>
  </si>
  <si>
    <t>EN-402T</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</si>
  <si>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</si>
  <si>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</si>
  <si>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</si>
  <si>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</si>
  <si>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</si>
  <si>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</si>
  <si>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</si>
  <si>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</si>
  <si>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</si>
  <si>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</si>
  <si>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</si>
  <si>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</si>
  <si>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</si>
  <si>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</si>
  <si>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</si>
  <si>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</si>
  <si>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</si>
  <si>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</si>
  <si>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</si>
  <si>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</si>
  <si>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</si>
  <si>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</si>
  <si>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</si>
  <si>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</si>
  <si>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</si>
  <si>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</si>
  <si>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</si>
  <si>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</si>
  <si>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</si>
  <si>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</si>
  <si>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</si>
  <si>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</si>
  <si>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</si>
  <si>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</si>
  <si>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</si>
  <si>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</si>
  <si>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</si>
  <si>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</si>
  <si>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790-41540H</t>
  </si>
  <si>
    <t>780-310AT</t>
  </si>
  <si>
    <t>770-739</t>
  </si>
  <si>
    <t>豔藍-孔雀藍</t>
  </si>
  <si>
    <t>長誠</t>
  </si>
  <si>
    <t>K-9287S</t>
  </si>
  <si>
    <t>BKSA1</t>
  </si>
  <si>
    <t>O-22170G</t>
  </si>
  <si>
    <t>DGS</t>
  </si>
  <si>
    <t>深灰砂</t>
  </si>
  <si>
    <t>O-200SB</t>
  </si>
  <si>
    <t>無粉</t>
  </si>
  <si>
    <t>閃銀</t>
  </si>
  <si>
    <t>K-5257CSB</t>
  </si>
  <si>
    <t>新閃銀</t>
  </si>
  <si>
    <t>K-4654</t>
  </si>
  <si>
    <t>PEL</t>
  </si>
  <si>
    <t>780-9Q70</t>
  </si>
  <si>
    <t>780-6902</t>
  </si>
  <si>
    <t>A-10067</t>
  </si>
  <si>
    <t>4605-702A</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</si>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</sst>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1"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199">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8"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19" xfId="0" applyFont="1" applyFill="1" applyBorder="1">
      <alignment vertical="center"/>
    </xf>
    <xf numFmtId="0" fontId="60" fillId="44" borderId="12" xfId="0"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20" xfId="0" applyFont="1" applyFill="1" applyBorder="1" applyAlignment="1">
      <alignment horizontal="center" vertical="center"/>
    </xf>
    <xf numFmtId="0" fontId="58" fillId="35" borderId="21" xfId="0"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0"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21" Type="http://www.wps.cn/officeDocument/2020/cellImage" Target="NUL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6" headerRowDxfId="86" headerRowBorderDxfId="85" tableBorderDxfId="84" totalsRowBorderDxfId="83">
  <autoFilter ref="B2:O126"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tableColumn id="7" xr3:uid="{00000000-0010-0000-0000-000007000000}" name="重量(Kg)" dataDxfId="76"/>
    <tableColumn id="8" xr3:uid="{00000000-0010-0000-0000-000008000000}" name="回庫" dataDxfId="75"/>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當前庫存" dataDxfId="62" totalsRowDxfId="61"/>
    <tableColumn id="9" xr3:uid="{6F9C61C9-81CC-414F-A5E8-27D190EDAA4C}" name="欄1" dataDxfId="60" totalsRowDxfId="59">
      <calculatedColumnFormula>IFERROR(VLOOKUP($C3,當前庫存!$C:$I,4,FALSE),"-")</calculatedColumnFormula>
    </tableColumn>
    <tableColumn id="10" xr3:uid="{49985858-CAE7-1644-9333-BA61B4585E73}" name="欄2" dataDxfId="58" totalsRowDxfId="57">
      <calculatedColumnFormula>IFERROR(VLOOKUP($C3,烤漆色號編碼!$A:$D,4,FALSE)*表格3[[#This Row],[當前庫存]]+表格3[[#This Row],[欄1]],"-")</calculatedColumnFormula>
    </tableColumn>
    <tableColumn id="8" xr3:uid="{00000000-0010-0000-0100-000008000000}" name="箱數" totalsRowDxfId="56"/>
    <tableColumn id="7" xr3:uid="{00000000-0010-0000-0100-000007000000}" name="散粉"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10"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8" t="s">
        <v>0</v>
      </c>
      <c r="B1" s="178"/>
      <c r="C1" s="178"/>
      <c r="D1" s="178"/>
      <c r="E1" s="178"/>
      <c r="F1" s="138"/>
      <c r="G1" s="138"/>
      <c r="H1" s="138"/>
    </row>
    <row r="2" spans="1:8" ht="13.5" customHeight="1" x14ac:dyDescent="0.15">
      <c r="A2" s="178"/>
      <c r="B2" s="178"/>
      <c r="C2" s="178"/>
      <c r="D2" s="178"/>
      <c r="E2" s="178"/>
      <c r="F2" s="138"/>
      <c r="G2" s="138"/>
      <c r="H2" s="138"/>
    </row>
    <row r="3" spans="1:8" ht="13.5" customHeight="1" x14ac:dyDescent="0.15">
      <c r="A3" s="178"/>
      <c r="B3" s="178"/>
      <c r="C3" s="178"/>
      <c r="D3" s="178"/>
      <c r="E3" s="178"/>
      <c r="F3" s="138"/>
      <c r="G3" s="138"/>
      <c r="H3" s="138"/>
    </row>
    <row r="4" spans="1:8" ht="13.5" customHeight="1" x14ac:dyDescent="0.15">
      <c r="A4" s="178"/>
      <c r="B4" s="178"/>
      <c r="C4" s="178"/>
      <c r="D4" s="178"/>
      <c r="E4" s="178"/>
      <c r="F4" s="138"/>
      <c r="G4" s="138"/>
      <c r="H4" s="138"/>
    </row>
    <row r="5" spans="1:8" ht="13.5" customHeight="1" x14ac:dyDescent="0.15">
      <c r="A5" s="178"/>
      <c r="B5" s="178"/>
      <c r="C5" s="178"/>
      <c r="D5" s="178"/>
      <c r="E5" s="178"/>
      <c r="F5" s="138"/>
      <c r="G5" s="138"/>
      <c r="H5" s="138"/>
    </row>
    <row r="6" spans="1:8" ht="13.5" customHeight="1" x14ac:dyDescent="0.15">
      <c r="A6" s="178"/>
      <c r="B6" s="178"/>
      <c r="C6" s="178"/>
      <c r="D6" s="178"/>
      <c r="E6" s="178"/>
      <c r="F6" s="138"/>
      <c r="G6" s="138"/>
      <c r="H6" s="138"/>
    </row>
    <row r="7" spans="1:8" ht="13.5" customHeight="1" x14ac:dyDescent="0.15">
      <c r="A7" s="178"/>
      <c r="B7" s="178"/>
      <c r="C7" s="178"/>
      <c r="D7" s="178"/>
      <c r="E7" s="178"/>
      <c r="F7" s="138"/>
      <c r="G7" s="138"/>
      <c r="H7" s="138"/>
    </row>
    <row r="8" spans="1:8" ht="13.5" customHeight="1" x14ac:dyDescent="0.15">
      <c r="A8" s="178"/>
      <c r="B8" s="178"/>
      <c r="C8" s="178"/>
      <c r="D8" s="178"/>
      <c r="E8" s="178"/>
      <c r="F8" s="138"/>
      <c r="G8" s="138"/>
      <c r="H8" s="138"/>
    </row>
    <row r="9" spans="1:8" ht="13.5" customHeight="1" x14ac:dyDescent="0.15">
      <c r="A9" s="178"/>
      <c r="B9" s="178"/>
      <c r="C9" s="178"/>
      <c r="D9" s="178"/>
      <c r="E9" s="178"/>
      <c r="F9" s="138"/>
      <c r="G9" s="138"/>
      <c r="H9" s="138"/>
    </row>
    <row r="10" spans="1:8" ht="13.5" x14ac:dyDescent="0.15">
      <c r="A10" s="178"/>
      <c r="B10" s="178"/>
      <c r="C10" s="178"/>
      <c r="D10" s="178"/>
      <c r="E10" s="178"/>
    </row>
    <row r="13" spans="1:8" s="134" customFormat="1" x14ac:dyDescent="0.25">
      <c r="B13" s="140" t="s">
        <v>1</v>
      </c>
      <c r="C13" s="135" t="s">
        <v>2</v>
      </c>
      <c r="D13" s="139"/>
    </row>
    <row r="14" spans="1:8" s="134" customFormat="1" x14ac:dyDescent="0.25">
      <c r="B14" s="140" t="s">
        <v>3</v>
      </c>
      <c r="C14" s="135" t="str">
        <f>IFERROR(VLOOKUP(C13,烤漆色號編碼!$A:$C,2,FALSE),"-")</f>
        <v>BKS1</v>
      </c>
      <c r="D14" s="139"/>
    </row>
    <row r="15" spans="1:8" x14ac:dyDescent="0.25">
      <c r="B15" s="140" t="s">
        <v>4</v>
      </c>
      <c r="C15" s="135" t="str">
        <f>IFERROR(VLOOKUP(C13,烤漆色號編碼!$A:$E,5,FALSE),"-")</f>
        <v>國麗</v>
      </c>
    </row>
    <row r="16" spans="1:8" x14ac:dyDescent="0.15">
      <c r="B16" s="137"/>
      <c r="C16" s="136"/>
    </row>
    <row r="17" spans="2:5" x14ac:dyDescent="0.25">
      <c r="B17" s="140" t="s">
        <v>5</v>
      </c>
      <c r="C17" s="173">
        <f>IFERROR(VLOOKUP(C13,當前庫存!$C:$I,5,FALSE),"-")</f>
        <v>17</v>
      </c>
      <c r="D17" s="141" t="s">
        <v>6</v>
      </c>
    </row>
    <row r="18" spans="2:5" x14ac:dyDescent="0.25">
      <c r="B18" s="140" t="s">
        <v>7</v>
      </c>
      <c r="C18" s="173">
        <f>IFERROR(VLOOKUP(C13,當前庫存!$C:$I,4,FALSE),"-")</f>
        <v>3</v>
      </c>
      <c r="D18" s="141" t="s">
        <v>8</v>
      </c>
    </row>
    <row r="19" spans="2:5" ht="24" thickBot="1" x14ac:dyDescent="0.3">
      <c r="B19" s="140" t="s">
        <v>9</v>
      </c>
      <c r="C19" s="173">
        <f>IFERROR(VLOOKUP(C13,烤漆色號編碼!$A:$D,4,FALSE)*C17+C18,"-"+D34)</f>
        <v>428</v>
      </c>
      <c r="D19" s="141" t="s">
        <v>8</v>
      </c>
      <c r="E19" s="174" t="s">
        <v>10</v>
      </c>
    </row>
    <row r="20" spans="2:5" x14ac:dyDescent="0.15">
      <c r="B20" s="137"/>
      <c r="C20" s="136"/>
    </row>
    <row r="21" spans="2:5" x14ac:dyDescent="0.25">
      <c r="B21" s="140" t="s">
        <v>11</v>
      </c>
      <c r="C21" s="172">
        <f>SUMIF(每日用粉紀錄表!C:C, C13, 每日用粉紀錄表!J:J)</f>
        <v>297</v>
      </c>
      <c r="D21" s="141" t="s">
        <v>8</v>
      </c>
    </row>
    <row r="23" spans="2:5" s="149" customFormat="1" ht="33" customHeight="1" x14ac:dyDescent="0.15">
      <c r="B23" s="179" t="s">
        <v>12</v>
      </c>
      <c r="C23" s="179"/>
      <c r="D23" s="179"/>
    </row>
    <row r="24" spans="2:5" x14ac:dyDescent="0.25">
      <c r="B24" s="140" t="s">
        <v>9</v>
      </c>
      <c r="C24" s="173">
        <f>IFERROR(VLOOKUP(B23,廢粉紀錄!B4:E4,3,FALSE),"-")</f>
        <v>600</v>
      </c>
      <c r="D24" s="141" t="s">
        <v>8</v>
      </c>
    </row>
    <row r="26" spans="2:5" ht="25.5" x14ac:dyDescent="0.15">
      <c r="B26" s="179" t="s">
        <v>13</v>
      </c>
      <c r="C26" s="179"/>
      <c r="D26" s="179"/>
    </row>
    <row r="27" spans="2:5" x14ac:dyDescent="0.25">
      <c r="B27" s="140" t="s">
        <v>9</v>
      </c>
      <c r="C27" s="172">
        <f>SUM(每日用粉紀錄表!J:J)</f>
        <v>2188</v>
      </c>
      <c r="D27" s="141"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topLeftCell="B1" zoomScaleNormal="60" zoomScaleSheetLayoutView="100" workbookViewId="0">
      <selection activeCell="C7" sqref="C7"/>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5" ht="13.5" customHeight="1" x14ac:dyDescent="0.15">
      <c r="B1" s="184" t="s">
        <v>14</v>
      </c>
      <c r="C1" s="184"/>
      <c r="D1" s="184"/>
      <c r="E1" s="184"/>
    </row>
    <row r="2" spans="2:5" ht="13.5" customHeight="1" x14ac:dyDescent="0.15">
      <c r="B2" s="184"/>
      <c r="C2" s="184"/>
      <c r="D2" s="184"/>
      <c r="E2" s="184"/>
    </row>
    <row r="3" spans="2:5" ht="14.25" customHeight="1" x14ac:dyDescent="0.15">
      <c r="B3" s="184"/>
      <c r="C3" s="184"/>
      <c r="D3" s="184"/>
      <c r="E3" s="184"/>
    </row>
    <row r="4" spans="2:5" ht="14.25" customHeight="1" x14ac:dyDescent="0.15">
      <c r="B4" s="180" t="s">
        <v>15</v>
      </c>
      <c r="C4" s="182">
        <v>45957</v>
      </c>
      <c r="D4" s="183"/>
      <c r="E4" s="183"/>
    </row>
    <row r="5" spans="2:5" ht="14.25" customHeight="1" x14ac:dyDescent="0.15">
      <c r="B5" s="181"/>
      <c r="C5" s="182"/>
      <c r="D5" s="183"/>
      <c r="E5" s="183"/>
    </row>
    <row r="6" spans="2:5" x14ac:dyDescent="0.15">
      <c r="B6" s="167" t="s">
        <v>16</v>
      </c>
      <c r="C6" s="171" t="s">
        <v>17</v>
      </c>
      <c r="D6" s="171" t="s">
        <v>18</v>
      </c>
      <c r="E6" s="171" t="s">
        <v>19</v>
      </c>
    </row>
    <row r="7" spans="2:5" x14ac:dyDescent="0.15">
      <c r="B7" s="168" t="str" cm="1">
        <f t="array" ref="B7">IFERROR(INDEX(每日用粉紀錄表!$C$3:$C$103, SMALL(IF($C$4=每日用粉紀錄表!$B$3:$B$103, ROW(每日用粉紀錄表!$B$3:$B$103)-ROW(每日用粉紀錄表!$B$3)+1), ROW(1:1))),"")</f>
        <v>008/2H056</v>
      </c>
      <c r="C7" s="169" t="str" cm="1">
        <f t="array" ref="C7">IFERROR(INDEX(每日用粉紀錄表!$D$3:$D$103, SMALL(IF($C$4=每日用粉紀錄表!$B$3:$B$103, ROW(每日用粉紀錄表!$B$3:$B$103)-ROW(每日用粉紀錄表!$B$3)+1), ROW(1:1))),"")</f>
        <v>YW1</v>
      </c>
      <c r="D7" s="170" cm="1">
        <f t="array" ref="D7">IFERROR(INDEX(每日用粉紀錄表!$J$3:$J$103, SMALL(IF($C$4=每日用粉紀錄表!$B$3:$B$103, ROW(每日用粉紀錄表!$B$3:$B$103)-ROW(每日用粉紀錄表!$B$3)+1), ROW(1:1))),"")</f>
        <v>30</v>
      </c>
      <c r="E7" s="175" cm="1">
        <f t="array" ref="E7">IFERROR(INDEX(每日用粉紀錄表!$E$3:$E$103, SMALL(IF($C$4=每日用粉紀錄表!$B$3:$B$103, ROW(每日用粉紀錄表!$B$3:$B$103)-ROW(每日用粉紀錄表!$B$3)+1), ROW(1:1))),"")</f>
        <v>12</v>
      </c>
    </row>
    <row r="8" spans="2:5" x14ac:dyDescent="0.15">
      <c r="B8" s="168" t="str" cm="1">
        <f t="array" ref="B8">IFERROR(INDEX(每日用粉紀錄表!$C$3:$C$103, SMALL(IF($C$4=每日用粉紀錄表!$B$3:$B$103, ROW(每日用粉紀錄表!$B$3:$B$103)-ROW(每日用粉紀錄表!$B$3)+1), ROW(2:2))),"")</f>
        <v>K-91097G</v>
      </c>
      <c r="C8" s="169" t="str" cm="1">
        <f t="array" ref="C8">IFERROR(INDEX(每日用粉紀錄表!$D$3:$D$103, SMALL(IF($C$4=每日用粉紀錄表!$B$3:$B$103, ROW(每日用粉紀錄表!$B$3:$B$103)-ROW(每日用粉紀錄表!$B$3)+1), ROW(2:2))),"")</f>
        <v>BKS1</v>
      </c>
      <c r="D8" s="170" cm="1">
        <f t="array" ref="D8">IFERROR(INDEX(每日用粉紀錄表!$J$3:$J$103, SMALL(IF($C$4=每日用粉紀錄表!$B$3:$B$103, ROW(每日用粉紀錄表!$B$3:$B$103)-ROW(每日用粉紀錄表!$B$3)+1), ROW(2:2))),"")</f>
        <v>16</v>
      </c>
      <c r="E8" s="175" cm="1">
        <f t="array" ref="E8">IFERROR(INDEX(每日用粉紀錄表!$E$3:$E$103, SMALL(IF($C$4=每日用粉紀錄表!$B$3:$B$103, ROW(每日用粉紀錄表!$B$3:$B$103)-ROW(每日用粉紀錄表!$B$3)+1), ROW(2:2))),"")</f>
        <v>17</v>
      </c>
    </row>
    <row r="9" spans="2:5" x14ac:dyDescent="0.15">
      <c r="B9" s="168" t="str" cm="1">
        <f t="array" ref="B9">IFERROR(INDEX(每日用粉紀錄表!$C$3:$C$103, SMALL(IF($C$4=每日用粉紀錄表!$B$3:$B$103, ROW(每日用粉紀錄表!$B$3:$B$103)-ROW(每日用粉紀錄表!$B$3)+1), ROW(3:3))),"")</f>
        <v>4605-505</v>
      </c>
      <c r="C9" s="169" t="str" cm="1">
        <f t="array" ref="C9">IFERROR(INDEX(每日用粉紀錄表!$D$3:$D$103, SMALL(IF($C$4=每日用粉紀錄表!$B$3:$B$103, ROW(每日用粉紀錄表!$B$3:$B$103)-ROW(每日用粉紀錄表!$B$3)+1), ROW(3:3))),"")</f>
        <v>EBK</v>
      </c>
      <c r="D9" s="170" cm="1">
        <f t="array" ref="D9">IFERROR(INDEX(每日用粉紀錄表!$J$3:$J$103, SMALL(IF($C$4=每日用粉紀錄表!$B$3:$B$103, ROW(每日用粉紀錄表!$B$3:$B$103)-ROW(每日用粉紀錄表!$B$3)+1), ROW(3:3))),"")</f>
        <v>0</v>
      </c>
      <c r="E9" s="175" cm="1">
        <f t="array" ref="E9">IFERROR(INDEX(每日用粉紀錄表!$E$3:$E$103, SMALL(IF($C$4=每日用粉紀錄表!$B$3:$B$103, ROW(每日用粉紀錄表!$B$3:$B$103)-ROW(每日用粉紀錄表!$B$3)+1), ROW(3:3))),"")</f>
        <v>3</v>
      </c>
    </row>
    <row r="10" spans="2:5" x14ac:dyDescent="0.15">
      <c r="B10" s="168" t="str" cm="1">
        <f t="array" ref="B10">IFERROR(INDEX(每日用粉紀錄表!$C$3:$C$103, SMALL(IF($C$4=每日用粉紀錄表!$B$3:$B$103, ROW(每日用粉紀錄表!$B$3:$B$103)-ROW(每日用粉紀錄表!$B$3)+1), ROW(4:4))),"")</f>
        <v>008/1H174</v>
      </c>
      <c r="C10" s="169" t="str" cm="1">
        <f t="array" ref="C10">IFERROR(INDEX(每日用粉紀錄表!$D$3:$D$103, SMALL(IF($C$4=每日用粉紀錄表!$B$3:$B$103, ROW(每日用粉紀錄表!$B$3:$B$103)-ROW(每日用粉紀錄表!$B$3)+1), ROW(4:4))),"")</f>
        <v>WE2</v>
      </c>
      <c r="D10" s="170" cm="1">
        <f t="array" ref="D10">IFERROR(INDEX(每日用粉紀錄表!$J$3:$J$103, SMALL(IF($C$4=每日用粉紀錄表!$B$3:$B$103, ROW(每日用粉紀錄表!$B$3:$B$103)-ROW(每日用粉紀錄表!$B$3)+1), ROW(4:4))),"")</f>
        <v>84</v>
      </c>
      <c r="E10" s="175" cm="1">
        <f t="array" ref="E10">IFERROR(INDEX(每日用粉紀錄表!$E$3:$E$103, SMALL(IF($C$4=每日用粉紀錄表!$B$3:$B$103, ROW(每日用粉紀錄表!$B$3:$B$103)-ROW(每日用粉紀錄表!$B$3)+1), ROW(4:4))),"")</f>
        <v>26</v>
      </c>
    </row>
    <row r="11" spans="2:5" x14ac:dyDescent="0.15">
      <c r="B11" s="168" t="str" cm="1">
        <f t="array" ref="B11">IFERROR(INDEX(每日用粉紀錄表!$C$3:$C$103, SMALL(IF($C$4=每日用粉紀錄表!$B$3:$B$103, ROW(每日用粉紀錄表!$B$3:$B$103)-ROW(每日用粉紀錄表!$B$3)+1), ROW(5:5))),"")</f>
        <v>廢粉</v>
      </c>
      <c r="C11" s="169" t="str" cm="1">
        <f t="array" ref="C11">IFERROR(INDEX(每日用粉紀錄表!$D$3:$D$103, SMALL(IF($C$4=每日用粉紀錄表!$B$3:$B$103, ROW(每日用粉紀錄表!$B$3:$B$103)-ROW(每日用粉紀錄表!$B$3)+1), ROW(5:5))),"")</f>
        <v>-</v>
      </c>
      <c r="D11" s="170" cm="1">
        <f t="array" ref="D11">IFERROR(INDEX(每日用粉紀錄表!$J$3:$J$103, SMALL(IF($C$4=每日用粉紀錄表!$B$3:$B$103, ROW(每日用粉紀錄表!$B$3:$B$103)-ROW(每日用粉紀錄表!$B$3)+1), ROW(5:5))),"")</f>
        <v>25</v>
      </c>
      <c r="E11" s="175" t="str" cm="1">
        <f t="array" ref="E11">IFERROR(INDEX(每日用粉紀錄表!$E$3:$E$103, SMALL(IF($C$4=每日用粉紀錄表!$B$3:$B$103, ROW(每日用粉紀錄表!$B$3:$B$103)-ROW(每日用粉紀錄表!$B$3)+1), ROW(5:5))),"")</f>
        <v>-</v>
      </c>
    </row>
    <row r="12" spans="2:5" x14ac:dyDescent="0.15">
      <c r="B12" s="168" t="str" cm="1">
        <f t="array" ref="B12">IFERROR(INDEX(每日用粉紀錄表!$C$3:$C$103, SMALL(IF($C$4=每日用粉紀錄表!$B$3:$B$103, ROW(每日用粉紀錄表!$B$3:$B$103)-ROW(每日用粉紀錄表!$B$3)+1), ROW(6:6))),"")</f>
        <v/>
      </c>
      <c r="C12" s="169" t="str" cm="1">
        <f t="array" ref="C12">IFERROR(INDEX(每日用粉紀錄表!$D$3:$D$103, SMALL(IF($C$4=每日用粉紀錄表!$B$3:$B$103, ROW(每日用粉紀錄表!$B$3:$B$103)-ROW(每日用粉紀錄表!$B$3)+1), ROW(6:6))),"")</f>
        <v/>
      </c>
      <c r="D12" s="170" t="str" cm="1">
        <f t="array" ref="D12">IFERROR(INDEX(每日用粉紀錄表!$J$3:$J$103, SMALL(IF($C$4=每日用粉紀錄表!$B$3:$B$103, ROW(每日用粉紀錄表!$B$3:$B$103)-ROW(每日用粉紀錄表!$B$3)+1), ROW(6:6))),"")</f>
        <v/>
      </c>
      <c r="E12" s="175" t="str" cm="1">
        <f t="array" ref="E12">IFERROR(INDEX(每日用粉紀錄表!$E$3:$E$103, SMALL(IF($C$4=每日用粉紀錄表!$B$3:$B$103, ROW(每日用粉紀錄表!$B$3:$B$103)-ROW(每日用粉紀錄表!$B$3)+1), ROW(6:6))),"")</f>
        <v/>
      </c>
    </row>
    <row r="13" spans="2:5" x14ac:dyDescent="0.15">
      <c r="B13" s="168" t="str" cm="1">
        <f t="array" ref="B13">IFERROR(INDEX(每日用粉紀錄表!$C$3:$C$103, SMALL(IF($C$4=每日用粉紀錄表!$B$3:$B$103, ROW(每日用粉紀錄表!$B$3:$B$103)-ROW(每日用粉紀錄表!$B$3)+1), ROW(7:7))),"")</f>
        <v/>
      </c>
      <c r="C13" s="169" t="str" cm="1">
        <f t="array" ref="C13">IFERROR(INDEX(每日用粉紀錄表!$D$3:$D$103, SMALL(IF($C$4=每日用粉紀錄表!$B$3:$B$103, ROW(每日用粉紀錄表!$B$3:$B$103)-ROW(每日用粉紀錄表!$B$3)+1), ROW(7:7))),"")</f>
        <v/>
      </c>
      <c r="D13" s="170" t="str" cm="1">
        <f t="array" ref="D13">IFERROR(INDEX(每日用粉紀錄表!$J$3:$J$103, SMALL(IF($C$4=每日用粉紀錄表!$B$3:$B$103, ROW(每日用粉紀錄表!$B$3:$B$103)-ROW(每日用粉紀錄表!$B$3)+1), ROW(7:7))),"")</f>
        <v/>
      </c>
      <c r="E13" s="175" t="str" cm="1">
        <f t="array" ref="E13">IFERROR(INDEX(每日用粉紀錄表!$E$3:$E$103, SMALL(IF($C$4=每日用粉紀錄表!$B$3:$B$103, ROW(每日用粉紀錄表!$B$3:$B$103)-ROW(每日用粉紀錄表!$B$3)+1), ROW(7:7))),"")</f>
        <v/>
      </c>
    </row>
    <row r="14" spans="2:5" x14ac:dyDescent="0.15">
      <c r="B14" s="168" t="str" cm="1">
        <f t="array" ref="B14">IFERROR(INDEX(每日用粉紀錄表!$C$3:$C$103, SMALL(IF($C$4=每日用粉紀錄表!$B$3:$B$103, ROW(每日用粉紀錄表!$B$3:$B$103)-ROW(每日用粉紀錄表!$B$3)+1), ROW(8:8))),"")</f>
        <v/>
      </c>
      <c r="C14" s="169" t="str" cm="1">
        <f t="array" ref="C14">IFERROR(INDEX(每日用粉紀錄表!$D$3:$D$103, SMALL(IF($C$4=每日用粉紀錄表!$B$3:$B$103, ROW(每日用粉紀錄表!$B$3:$B$103)-ROW(每日用粉紀錄表!$B$3)+1), ROW(8:8))),"")</f>
        <v/>
      </c>
      <c r="D14" s="170" t="str" cm="1">
        <f t="array" ref="D14">IFERROR(INDEX(每日用粉紀錄表!$J$3:$J$103, SMALL(IF($C$4=每日用粉紀錄表!$B$3:$B$103, ROW(每日用粉紀錄表!$B$3:$B$103)-ROW(每日用粉紀錄表!$B$3)+1), ROW(8:8))),"")</f>
        <v/>
      </c>
      <c r="E14" s="175" t="str" cm="1">
        <f t="array" ref="E14">IFERROR(INDEX(每日用粉紀錄表!$E$3:$E$103, SMALL(IF($C$4=每日用粉紀錄表!$B$3:$B$103, ROW(每日用粉紀錄表!$B$3:$B$103)-ROW(每日用粉紀錄表!$B$3)+1), ROW(8:8))),"")</f>
        <v/>
      </c>
    </row>
    <row r="15" spans="2:5" x14ac:dyDescent="0.15">
      <c r="B15" s="168" t="str" cm="1">
        <f t="array" ref="B15">IFERROR(INDEX(每日用粉紀錄表!$C$3:$C$103, SMALL(IF($C$4=每日用粉紀錄表!$B$3:$B$103, ROW(每日用粉紀錄表!$B$3:$B$103)-ROW(每日用粉紀錄表!$B$3)+1), ROW(9:9))),"")</f>
        <v/>
      </c>
      <c r="C15" s="169" t="str" cm="1">
        <f t="array" ref="C15">IFERROR(INDEX(每日用粉紀錄表!$D$3:$D$103, SMALL(IF($C$4=每日用粉紀錄表!$B$3:$B$103, ROW(每日用粉紀錄表!$B$3:$B$103)-ROW(每日用粉紀錄表!$B$3)+1), ROW(9:9))),"")</f>
        <v/>
      </c>
      <c r="D15" s="170" t="str" cm="1">
        <f t="array" ref="D15">IFERROR(INDEX(每日用粉紀錄表!$J$3:$J$103, SMALL(IF($C$4=每日用粉紀錄表!$B$3:$B$103, ROW(每日用粉紀錄表!$B$3:$B$103)-ROW(每日用粉紀錄表!$B$3)+1), ROW(9:9))),"")</f>
        <v/>
      </c>
      <c r="E15" s="175" t="str" cm="1">
        <f t="array" ref="E15">IFERROR(INDEX(每日用粉紀錄表!$J$3:$J$103, SMALL(IF($C$4=每日用粉紀錄表!$B$3:$B$103, ROW(每日用粉紀錄表!$B$3:$B$103)-ROW(每日用粉紀錄表!$B$3)+1), ROW(9:9))),"")</f>
        <v/>
      </c>
    </row>
    <row r="16" spans="2:5" x14ac:dyDescent="0.15">
      <c r="B16" s="168" t="str" cm="1">
        <f t="array" ref="B16">IFERROR(INDEX(每日用粉紀錄表!$C$3:$C$103, SMALL(IF($C$4=每日用粉紀錄表!$B$3:$B$103, ROW(每日用粉紀錄表!$B$3:$B$103)-ROW(每日用粉紀錄表!$B$3)+1), ROW(10:10))),"")</f>
        <v/>
      </c>
      <c r="C16" s="169" t="str" cm="1">
        <f t="array" ref="C16">IFERROR(INDEX(每日用粉紀錄表!$D$3:$D$103, SMALL(IF($C$4=每日用粉紀錄表!$B$3:$B$103, ROW(每日用粉紀錄表!$B$3:$B$103)-ROW(每日用粉紀錄表!$B$3)+1), ROW(10:10))),"")</f>
        <v/>
      </c>
      <c r="D16" s="170" t="str" cm="1">
        <f t="array" ref="D16">IFERROR(INDEX(每日用粉紀錄表!$J$3:$J$103, SMALL(IF($C$4=每日用粉紀錄表!$B$3:$B$103, ROW(每日用粉紀錄表!$B$3:$B$103)-ROW(每日用粉紀錄表!$B$3)+1), ROW(10:10))),"")</f>
        <v/>
      </c>
      <c r="E16" s="175" t="str" cm="1">
        <f t="array" ref="E16">IFERROR(INDEX(每日用粉紀錄表!$J$3:$J$103, SMALL(IF($C$4=每日用粉紀錄表!$B$3:$B$103, ROW(每日用粉紀錄表!$B$3:$B$103)-ROW(每日用粉紀錄表!$B$3)+1), ROW(10:10))),"")</f>
        <v/>
      </c>
    </row>
    <row r="17" spans="2:5" x14ac:dyDescent="0.15">
      <c r="B17" s="168" t="str" cm="1">
        <f t="array" ref="B17">IFERROR(INDEX(每日用粉紀錄表!$C$3:$C$103, SMALL(IF($C$4=每日用粉紀錄表!$B$3:$B$103, ROW(每日用粉紀錄表!$B$3:$B$103)-ROW(每日用粉紀錄表!$B$3)+1), ROW(11:11))),"")</f>
        <v/>
      </c>
      <c r="C17" s="169" t="str" cm="1">
        <f t="array" ref="C17">IFERROR(INDEX(每日用粉紀錄表!$D$3:$D$103, SMALL(IF($C$4=每日用粉紀錄表!$B$3:$B$103, ROW(每日用粉紀錄表!$B$3:$B$103)-ROW(每日用粉紀錄表!$B$3)+1), ROW(11:11))),"")</f>
        <v/>
      </c>
      <c r="D17" s="170" t="str" cm="1">
        <f t="array" ref="D17">IFERROR(INDEX(每日用粉紀錄表!$J$3:$J$103, SMALL(IF($C$4=每日用粉紀錄表!$B$3:$B$103, ROW(每日用粉紀錄表!$B$3:$B$103)-ROW(每日用粉紀錄表!$B$3)+1), ROW(11:11))),"")</f>
        <v/>
      </c>
      <c r="E17" s="175" t="str" cm="1">
        <f t="array" ref="E17">IFERROR(INDEX(每日用粉紀錄表!$J$3:$J$103, SMALL(IF($C$4=每日用粉紀錄表!$B$3:$B$103, ROW(每日用粉紀錄表!$B$3:$B$103)-ROW(每日用粉紀錄表!$B$3)+1), ROW(11:11))),"")</f>
        <v/>
      </c>
    </row>
    <row r="18" spans="2:5" x14ac:dyDescent="0.15">
      <c r="B18" s="168" t="str" cm="1">
        <f t="array" ref="B18">IFERROR(INDEX(每日用粉紀錄表!$C$3:$C$103, SMALL(IF($C$4=每日用粉紀錄表!$B$3:$B$103, ROW(每日用粉紀錄表!$B$3:$B$103)-ROW(每日用粉紀錄表!$B$3)+1), ROW(12:12))),"")</f>
        <v/>
      </c>
      <c r="C18" s="169" t="str" cm="1">
        <f t="array" ref="C18">IFERROR(INDEX(每日用粉紀錄表!$D$3:$D$103, SMALL(IF($C$4=每日用粉紀錄表!$B$3:$B$103, ROW(每日用粉紀錄表!$B$3:$B$103)-ROW(每日用粉紀錄表!$B$3)+1), ROW(12:12))),"")</f>
        <v/>
      </c>
      <c r="D18" s="170" t="str" cm="1">
        <f t="array" ref="D18">IFERROR(INDEX(每日用粉紀錄表!$J$3:$J$103, SMALL(IF($C$4=每日用粉紀錄表!$B$3:$B$103, ROW(每日用粉紀錄表!$B$3:$B$103)-ROW(每日用粉紀錄表!$B$3)+1), ROW(12:12))),"")</f>
        <v/>
      </c>
      <c r="E18" s="175" t="str" cm="1">
        <f t="array" ref="E18">IFERROR(INDEX(每日用粉紀錄表!$J$3:$J$103, SMALL(IF($C$4=每日用粉紀錄表!$B$3:$B$103, ROW(每日用粉紀錄表!$B$3:$B$103)-ROW(每日用粉紀錄表!$B$3)+1), ROW(12:12))),"")</f>
        <v/>
      </c>
    </row>
    <row r="19" spans="2:5" x14ac:dyDescent="0.15">
      <c r="B19" s="168" t="str" cm="1">
        <f t="array" ref="B19">IFERROR(INDEX(每日用粉紀錄表!$C$3:$C$103, SMALL(IF($C$4=每日用粉紀錄表!$B$3:$B$103, ROW(每日用粉紀錄表!$B$3:$B$103)-ROW(每日用粉紀錄表!$B$3)+1), ROW(13:13))),"")</f>
        <v/>
      </c>
      <c r="C19" s="169" t="str" cm="1">
        <f t="array" ref="C19">IFERROR(INDEX(每日用粉紀錄表!$D$3:$D$103, SMALL(IF($C$4=每日用粉紀錄表!$B$3:$B$103, ROW(每日用粉紀錄表!$B$3:$B$103)-ROW(每日用粉紀錄表!$B$3)+1), ROW(13:13))),"")</f>
        <v/>
      </c>
      <c r="D19" s="170" t="str" cm="1">
        <f t="array" ref="D19">IFERROR(INDEX(每日用粉紀錄表!$J$3:$J$103, SMALL(IF($C$4=每日用粉紀錄表!$B$3:$B$103, ROW(每日用粉紀錄表!$B$3:$B$103)-ROW(每日用粉紀錄表!$B$3)+1), ROW(13:13))),"")</f>
        <v/>
      </c>
      <c r="E19" s="175" t="str" cm="1">
        <f t="array" ref="E19">IFERROR(INDEX(每日用粉紀錄表!$J$3:$J$103, SMALL(IF($C$4=每日用粉紀錄表!$B$3:$B$103, ROW(每日用粉紀錄表!$B$3:$B$103)-ROW(每日用粉紀錄表!$B$3)+1), ROW(13:13))),"")</f>
        <v/>
      </c>
    </row>
    <row r="20" spans="2:5" x14ac:dyDescent="0.15">
      <c r="B20" s="168" t="str" cm="1">
        <f t="array" ref="B20">IFERROR(INDEX(每日用粉紀錄表!$C$3:$C$103, SMALL(IF($C$4=每日用粉紀錄表!$B$3:$B$103, ROW(每日用粉紀錄表!$B$3:$B$103)-ROW(每日用粉紀錄表!$B$3)+1), ROW(14:14))),"")</f>
        <v/>
      </c>
      <c r="C20" s="169" t="str" cm="1">
        <f t="array" ref="C20">IFERROR(INDEX(每日用粉紀錄表!$D$3:$D$103, SMALL(IF($C$4=每日用粉紀錄表!$B$3:$B$103, ROW(每日用粉紀錄表!$B$3:$B$103)-ROW(每日用粉紀錄表!$B$3)+1), ROW(14:14))),"")</f>
        <v/>
      </c>
      <c r="D20" s="170" t="str" cm="1">
        <f t="array" ref="D20">IFERROR(INDEX(每日用粉紀錄表!$J$3:$J$103, SMALL(IF($C$4=每日用粉紀錄表!$B$3:$B$103, ROW(每日用粉紀錄表!$B$3:$B$103)-ROW(每日用粉紀錄表!$B$3)+1), ROW(14:14))),"")</f>
        <v/>
      </c>
      <c r="E20" s="175" t="str" cm="1">
        <f t="array" ref="E20">IFERROR(INDEX(每日用粉紀錄表!$J$3:$J$103, SMALL(IF($C$4=每日用粉紀錄表!$B$3:$B$103, ROW(每日用粉紀錄表!$B$3:$B$103)-ROW(每日用粉紀錄表!$B$3)+1), ROW(14:14))),"")</f>
        <v/>
      </c>
    </row>
    <row r="21" spans="2:5" x14ac:dyDescent="0.15">
      <c r="B21" s="168" t="str" cm="1">
        <f t="array" ref="B21">IFERROR(INDEX(每日用粉紀錄表!$C$3:$C$103, SMALL(IF($C$4=每日用粉紀錄表!$B$3:$B$103, ROW(每日用粉紀錄表!$B$3:$B$103)-ROW(每日用粉紀錄表!$B$3)+1), ROW(15:15))),"")</f>
        <v/>
      </c>
      <c r="C21" s="169" t="str" cm="1">
        <f t="array" ref="C21">IFERROR(INDEX(每日用粉紀錄表!$D$3:$D$103, SMALL(IF($C$4=每日用粉紀錄表!$B$3:$B$103, ROW(每日用粉紀錄表!$B$3:$B$103)-ROW(每日用粉紀錄表!$B$3)+1), ROW(15:15))),"")</f>
        <v/>
      </c>
      <c r="D21" s="170" t="str" cm="1">
        <f t="array" ref="D21">IFERROR(INDEX(每日用粉紀錄表!$J$3:$J$103, SMALL(IF($C$4=每日用粉紀錄表!$B$3:$B$103, ROW(每日用粉紀錄表!$B$3:$B$103)-ROW(每日用粉紀錄表!$B$3)+1), ROW(15:15))),"")</f>
        <v/>
      </c>
      <c r="E21" s="175" t="str" cm="1">
        <f t="array" ref="E21">IFERROR(INDEX(每日用粉紀錄表!$J$3:$J$103, SMALL(IF($C$4=每日用粉紀錄表!$B$3:$B$103, ROW(每日用粉紀錄表!$B$3:$B$103)-ROW(每日用粉紀錄表!$B$3)+1), ROW(15:15))),"")</f>
        <v/>
      </c>
    </row>
    <row r="22" spans="2:5" x14ac:dyDescent="0.15">
      <c r="B22" s="168" t="str" cm="1">
        <f t="array" ref="B22">IFERROR(INDEX(每日用粉紀錄表!$C$3:$C$103, SMALL(IF($C$4=每日用粉紀錄表!$B$3:$B$103, ROW(每日用粉紀錄表!$B$3:$B$103)-ROW(每日用粉紀錄表!$B$3)+1), ROW(16:16))),"")</f>
        <v/>
      </c>
      <c r="C22" s="169" t="str" cm="1">
        <f t="array" ref="C22">IFERROR(INDEX(每日用粉紀錄表!$D$3:$D$103, SMALL(IF($C$4=每日用粉紀錄表!$B$3:$B$103, ROW(每日用粉紀錄表!$B$3:$B$103)-ROW(每日用粉紀錄表!$B$3)+1), ROW(16:16))),"")</f>
        <v/>
      </c>
      <c r="D22" s="170" t="str" cm="1">
        <f t="array" ref="D22">IFERROR(INDEX(每日用粉紀錄表!$J$3:$J$103, SMALL(IF($C$4=每日用粉紀錄表!$B$3:$B$103, ROW(每日用粉紀錄表!$B$3:$B$103)-ROW(每日用粉紀錄表!$B$3)+1), ROW(16:16))),"")</f>
        <v/>
      </c>
      <c r="E22" s="175" t="str" cm="1">
        <f t="array" ref="E22">IFERROR(INDEX(每日用粉紀錄表!$J$3:$J$103, SMALL(IF($C$4=每日用粉紀錄表!$B$3:$B$103, ROW(每日用粉紀錄表!$B$3:$B$103)-ROW(每日用粉紀錄表!$B$3)+1), ROW(16:16))),"")</f>
        <v/>
      </c>
    </row>
    <row r="23" spans="2:5" x14ac:dyDescent="0.15">
      <c r="B23" s="168" t="str" cm="1">
        <f t="array" ref="B23">IFERROR(INDEX(每日用粉紀錄表!$C$3:$C$103, SMALL(IF($C$4=每日用粉紀錄表!$B$3:$B$103, ROW(每日用粉紀錄表!$B$3:$B$103)-ROW(每日用粉紀錄表!$B$3)+1), ROW(17:17))),"")</f>
        <v/>
      </c>
      <c r="C23" s="169" t="str" cm="1">
        <f t="array" ref="C23">IFERROR(INDEX(每日用粉紀錄表!$D$3:$D$103, SMALL(IF($C$4=每日用粉紀錄表!$B$3:$B$103, ROW(每日用粉紀錄表!$B$3:$B$103)-ROW(每日用粉紀錄表!$B$3)+1), ROW(17:17))),"")</f>
        <v/>
      </c>
      <c r="D23" s="170" t="str" cm="1">
        <f t="array" ref="D23">IFERROR(INDEX(每日用粉紀錄表!$J$3:$J$103, SMALL(IF($C$4=每日用粉紀錄表!$B$3:$B$103, ROW(每日用粉紀錄表!$B$3:$B$103)-ROW(每日用粉紀錄表!$B$3)+1), ROW(17:17))),"")</f>
        <v/>
      </c>
      <c r="E23" s="175" t="str" cm="1">
        <f t="array" ref="E23">IFERROR(INDEX(每日用粉紀錄表!$J$3:$J$103, SMALL(IF($C$4=每日用粉紀錄表!$B$3:$B$103, ROW(每日用粉紀錄表!$B$3:$B$103)-ROW(每日用粉紀錄表!$B$3)+1), ROW(17:17))),"")</f>
        <v/>
      </c>
    </row>
    <row r="24" spans="2:5" x14ac:dyDescent="0.15">
      <c r="B24" s="168" t="str" cm="1">
        <f t="array" ref="B24">IFERROR(INDEX(每日用粉紀錄表!$C$3:$C$103, SMALL(IF($C$4=每日用粉紀錄表!$B$3:$B$103, ROW(每日用粉紀錄表!$B$3:$B$103)-ROW(每日用粉紀錄表!$B$3)+1), ROW(18:18))),"")</f>
        <v/>
      </c>
      <c r="C24" s="169" t="str" cm="1">
        <f t="array" ref="C24">IFERROR(INDEX(每日用粉紀錄表!$D$3:$D$103, SMALL(IF($C$4=每日用粉紀錄表!$B$3:$B$103, ROW(每日用粉紀錄表!$B$3:$B$103)-ROW(每日用粉紀錄表!$B$3)+1), ROW(18:18))),"")</f>
        <v/>
      </c>
      <c r="D24" s="170" t="str" cm="1">
        <f t="array" ref="D24">IFERROR(INDEX(每日用粉紀錄表!$J$3:$J$103, SMALL(IF($C$4=每日用粉紀錄表!$B$3:$B$103, ROW(每日用粉紀錄表!$B$3:$B$103)-ROW(每日用粉紀錄表!$B$3)+1), ROW(18:18))),"")</f>
        <v/>
      </c>
      <c r="E24" s="175" t="str" cm="1">
        <f t="array" ref="E24">IFERROR(INDEX(每日用粉紀錄表!$J$3:$J$103, SMALL(IF($C$4=每日用粉紀錄表!$B$3:$B$103, ROW(每日用粉紀錄表!$B$3:$B$103)-ROW(每日用粉紀錄表!$B$3)+1), ROW(18:18))),"")</f>
        <v/>
      </c>
    </row>
    <row r="25" spans="2:5" x14ac:dyDescent="0.15">
      <c r="B25" s="168" t="str" cm="1">
        <f t="array" ref="B25">IFERROR(INDEX(每日用粉紀錄表!$C$3:$C$103, SMALL(IF($C$4=每日用粉紀錄表!$B$3:$B$103, ROW(每日用粉紀錄表!$B$3:$B$103)-ROW(每日用粉紀錄表!$B$3)+1), ROW(19:19))),"")</f>
        <v/>
      </c>
      <c r="C25" s="169" t="str" cm="1">
        <f t="array" ref="C25">IFERROR(INDEX(每日用粉紀錄表!$D$3:$D$103, SMALL(IF($C$4=每日用粉紀錄表!$B$3:$B$103, ROW(每日用粉紀錄表!$B$3:$B$103)-ROW(每日用粉紀錄表!$B$3)+1), ROW(19:19))),"")</f>
        <v/>
      </c>
      <c r="D25" s="170" t="str" cm="1">
        <f t="array" ref="D25">IFERROR(INDEX(每日用粉紀錄表!$J$3:$J$103, SMALL(IF($C$4=每日用粉紀錄表!$B$3:$B$103, ROW(每日用粉紀錄表!$B$3:$B$103)-ROW(每日用粉紀錄表!$B$3)+1), ROW(19:19))),"")</f>
        <v/>
      </c>
      <c r="E25" s="175" t="str" cm="1">
        <f t="array" ref="E25">IFERROR(INDEX(每日用粉紀錄表!$J$3:$J$103, SMALL(IF($C$4=每日用粉紀錄表!$B$3:$B$103, ROW(每日用粉紀錄表!$B$3:$B$103)-ROW(每日用粉紀錄表!$B$3)+1), ROW(19:19))),"")</f>
        <v/>
      </c>
    </row>
    <row r="26" spans="2:5" x14ac:dyDescent="0.15">
      <c r="B26" s="168" t="str" cm="1">
        <f t="array" ref="B26">IFERROR(INDEX(每日用粉紀錄表!$C$3:$C$103, SMALL(IF($C$4=每日用粉紀錄表!$B$3:$B$103, ROW(每日用粉紀錄表!$B$3:$B$103)-ROW(每日用粉紀錄表!$B$3)+1), ROW(20:20))),"")</f>
        <v/>
      </c>
      <c r="C26" s="169" t="str" cm="1">
        <f t="array" ref="C26">IFERROR(INDEX(每日用粉紀錄表!$D$3:$D$103, SMALL(IF($C$4=每日用粉紀錄表!$B$3:$B$103, ROW(每日用粉紀錄表!$B$3:$B$103)-ROW(每日用粉紀錄表!$B$3)+1), ROW(20:20))),"")</f>
        <v/>
      </c>
      <c r="D26" s="170" t="str" cm="1">
        <f t="array" ref="D26">IFERROR(INDEX(每日用粉紀錄表!$J$3:$J$103, SMALL(IF($C$4=每日用粉紀錄表!$B$3:$B$103, ROW(每日用粉紀錄表!$B$3:$B$103)-ROW(每日用粉紀錄表!$B$3)+1), ROW(20:20))),"")</f>
        <v/>
      </c>
      <c r="E26" s="175" t="str" cm="1">
        <f t="array" ref="E26">IFERROR(INDEX(每日用粉紀錄表!$J$3:$J$103, SMALL(IF($C$4=每日用粉紀錄表!$B$3:$B$103, ROW(每日用粉紀錄表!$B$3:$B$103)-ROW(每日用粉紀錄表!$B$3)+1), ROW(20:20))),"")</f>
        <v/>
      </c>
    </row>
    <row r="27" spans="2:5" x14ac:dyDescent="0.15">
      <c r="B27" s="168" t="str" cm="1">
        <f t="array" ref="B27">IFERROR(INDEX(每日用粉紀錄表!$C$3:$C$103, SMALL(IF($C$4=每日用粉紀錄表!$B$3:$B$103, ROW(每日用粉紀錄表!$B$3:$B$103)-ROW(每日用粉紀錄表!$B$3)+1), ROW(21:21))),"")</f>
        <v/>
      </c>
      <c r="C27" s="169" t="str" cm="1">
        <f t="array" ref="C27">IFERROR(INDEX(每日用粉紀錄表!$D$3:$D$103, SMALL(IF($C$4=每日用粉紀錄表!$B$3:$B$103, ROW(每日用粉紀錄表!$B$3:$B$103)-ROW(每日用粉紀錄表!$B$3)+1), ROW(21:21))),"")</f>
        <v/>
      </c>
      <c r="D27" s="170" t="str" cm="1">
        <f t="array" ref="D27">IFERROR(INDEX(每日用粉紀錄表!$J$3:$J$103, SMALL(IF($C$4=每日用粉紀錄表!$B$3:$B$103, ROW(每日用粉紀錄表!$B$3:$B$103)-ROW(每日用粉紀錄表!$B$3)+1), ROW(21:21))),"")</f>
        <v/>
      </c>
      <c r="E27" s="175" t="str" cm="1">
        <f t="array" ref="E27">IFERROR(INDEX(每日用粉紀錄表!$J$3:$J$103, SMALL(IF($C$4=每日用粉紀錄表!$B$3:$B$103, ROW(每日用粉紀錄表!$B$3:$B$103)-ROW(每日用粉紀錄表!$B$3)+1), ROW(21:21))),"")</f>
        <v/>
      </c>
    </row>
    <row r="28" spans="2:5" x14ac:dyDescent="0.15">
      <c r="B28" s="168" t="str" cm="1">
        <f t="array" ref="B28">IFERROR(INDEX(每日用粉紀錄表!$C$3:$C$103, SMALL(IF($C$4=每日用粉紀錄表!$B$3:$B$103, ROW(每日用粉紀錄表!$B$3:$B$103)-ROW(每日用粉紀錄表!$B$3)+1), ROW(22:22))),"")</f>
        <v/>
      </c>
      <c r="C28" s="169" t="str" cm="1">
        <f t="array" ref="C28">IFERROR(INDEX(每日用粉紀錄表!$D$3:$D$103, SMALL(IF($C$4=每日用粉紀錄表!$B$3:$B$103, ROW(每日用粉紀錄表!$B$3:$B$103)-ROW(每日用粉紀錄表!$B$3)+1), ROW(22:22))),"")</f>
        <v/>
      </c>
      <c r="D28" s="170" t="str" cm="1">
        <f t="array" ref="D28">IFERROR(INDEX(每日用粉紀錄表!$J$3:$J$103, SMALL(IF($C$4=每日用粉紀錄表!$B$3:$B$103, ROW(每日用粉紀錄表!$B$3:$B$103)-ROW(每日用粉紀錄表!$B$3)+1), ROW(22:22))),"")</f>
        <v/>
      </c>
      <c r="E28" s="175" t="str" cm="1">
        <f t="array" ref="E28">IFERROR(INDEX(每日用粉紀錄表!$J$3:$J$103, SMALL(IF($C$4=每日用粉紀錄表!$B$3:$B$103, ROW(每日用粉紀錄表!$B$3:$B$103)-ROW(每日用粉紀錄表!$B$3)+1), ROW(22:22))),"")</f>
        <v/>
      </c>
    </row>
    <row r="29" spans="2:5" x14ac:dyDescent="0.15">
      <c r="B29" s="168" t="str" cm="1">
        <f t="array" ref="B29">IFERROR(INDEX(每日用粉紀錄表!$C$3:$C$103, SMALL(IF($C$4=每日用粉紀錄表!$B$3:$B$103, ROW(每日用粉紀錄表!$B$3:$B$103)-ROW(每日用粉紀錄表!$B$3)+1), ROW(23:23))),"")</f>
        <v/>
      </c>
      <c r="C29" s="169" t="str" cm="1">
        <f t="array" ref="C29">IFERROR(INDEX(每日用粉紀錄表!$D$3:$D$103, SMALL(IF($C$4=每日用粉紀錄表!$B$3:$B$103, ROW(每日用粉紀錄表!$B$3:$B$103)-ROW(每日用粉紀錄表!$B$3)+1), ROW(23:23))),"")</f>
        <v/>
      </c>
      <c r="D29" s="170" t="str" cm="1">
        <f t="array" ref="D29">IFERROR(INDEX(每日用粉紀錄表!$J$3:$J$103, SMALL(IF($C$4=每日用粉紀錄表!$B$3:$B$103, ROW(每日用粉紀錄表!$B$3:$B$103)-ROW(每日用粉紀錄表!$B$3)+1), ROW(23:23))),"")</f>
        <v/>
      </c>
      <c r="E29" s="175" t="str" cm="1">
        <f t="array" ref="E29">IFERROR(INDEX(每日用粉紀錄表!$J$3:$J$103, SMALL(IF($C$4=每日用粉紀錄表!$B$3:$B$103, ROW(每日用粉紀錄表!$B$3:$B$103)-ROW(每日用粉紀錄表!$B$3)+1), ROW(23:23))),"")</f>
        <v/>
      </c>
    </row>
    <row r="30" spans="2:5" x14ac:dyDescent="0.15">
      <c r="B30" s="168" t="str" cm="1">
        <f t="array" ref="B30">IFERROR(INDEX(每日用粉紀錄表!$C$3:$C$103, SMALL(IF($C$4=每日用粉紀錄表!$B$3:$B$103, ROW(每日用粉紀錄表!$B$3:$B$103)-ROW(每日用粉紀錄表!$B$3)+1), ROW(24:24))),"")</f>
        <v/>
      </c>
      <c r="C30" s="169" t="str" cm="1">
        <f t="array" ref="C30">IFERROR(INDEX(每日用粉紀錄表!$D$3:$D$103, SMALL(IF($C$4=每日用粉紀錄表!$B$3:$B$103, ROW(每日用粉紀錄表!$B$3:$B$103)-ROW(每日用粉紀錄表!$B$3)+1), ROW(24:24))),"")</f>
        <v/>
      </c>
      <c r="D30" s="170" t="str" cm="1">
        <f t="array" ref="D30">IFERROR(INDEX(每日用粉紀錄表!$J$3:$J$103, SMALL(IF($C$4=每日用粉紀錄表!$B$3:$B$103, ROW(每日用粉紀錄表!$B$3:$B$103)-ROW(每日用粉紀錄表!$B$3)+1), ROW(24:24))),"")</f>
        <v/>
      </c>
      <c r="E30" s="175" t="str" cm="1">
        <f t="array" ref="E30">IFERROR(INDEX(每日用粉紀錄表!$J$3:$J$103, SMALL(IF($C$4=每日用粉紀錄表!$B$3:$B$103, ROW(每日用粉紀錄表!$B$3:$B$103)-ROW(每日用粉紀錄表!$B$3)+1), ROW(24:24))),"")</f>
        <v/>
      </c>
    </row>
    <row r="31" spans="2:5" x14ac:dyDescent="0.15">
      <c r="B31" s="168" t="str" cm="1">
        <f t="array" ref="B31">IFERROR(INDEX(每日用粉紀錄表!$C$3:$C$103, SMALL(IF($C$4=每日用粉紀錄表!$B$3:$B$103, ROW(每日用粉紀錄表!$B$3:$B$103)-ROW(每日用粉紀錄表!$B$3)+1), ROW(25:25))),"")</f>
        <v/>
      </c>
      <c r="C31" s="169" t="str" cm="1">
        <f t="array" ref="C31">IFERROR(INDEX(每日用粉紀錄表!$D$3:$D$103, SMALL(IF($C$4=每日用粉紀錄表!$B$3:$B$103, ROW(每日用粉紀錄表!$B$3:$B$103)-ROW(每日用粉紀錄表!$B$3)+1), ROW(25:25))),"")</f>
        <v/>
      </c>
      <c r="D31" s="170" t="str" cm="1">
        <f t="array" ref="D31">IFERROR(INDEX(每日用粉紀錄表!$J$3:$J$103, SMALL(IF($C$4=每日用粉紀錄表!$B$3:$B$103, ROW(每日用粉紀錄表!$B$3:$B$103)-ROW(每日用粉紀錄表!$B$3)+1), ROW(25:25))),"")</f>
        <v/>
      </c>
      <c r="E31" s="175" t="str" cm="1">
        <f t="array" ref="E31">IFERROR(INDEX(每日用粉紀錄表!$J$3:$J$103, SMALL(IF($C$4=每日用粉紀錄表!$B$3:$B$103, ROW(每日用粉紀錄表!$B$3:$B$103)-ROW(每日用粉紀錄表!$B$3)+1), ROW(25:25))),"")</f>
        <v/>
      </c>
    </row>
    <row r="32" spans="2:5" x14ac:dyDescent="0.15">
      <c r="B32" s="168" t="str" cm="1">
        <f t="array" ref="B32">IFERROR(INDEX(每日用粉紀錄表!$C$3:$C$103, SMALL(IF($C$4=每日用粉紀錄表!$B$3:$B$103, ROW(每日用粉紀錄表!$B$3:$B$103)-ROW(每日用粉紀錄表!$B$3)+1), ROW(26:26))),"")</f>
        <v/>
      </c>
      <c r="C32" s="169" t="str" cm="1">
        <f t="array" ref="C32">IFERROR(INDEX(每日用粉紀錄表!$D$3:$D$103, SMALL(IF($C$4=每日用粉紀錄表!$B$3:$B$103, ROW(每日用粉紀錄表!$B$3:$B$103)-ROW(每日用粉紀錄表!$B$3)+1), ROW(26:26))),"")</f>
        <v/>
      </c>
      <c r="D32" s="170" t="str" cm="1">
        <f t="array" ref="D32">IFERROR(INDEX(每日用粉紀錄表!$J$3:$J$103, SMALL(IF($C$4=每日用粉紀錄表!$B$3:$B$103, ROW(每日用粉紀錄表!$B$3:$B$103)-ROW(每日用粉紀錄表!$B$3)+1), ROW(26:26))),"")</f>
        <v/>
      </c>
      <c r="E32" s="175" t="str" cm="1">
        <f t="array" ref="E32">IFERROR(INDEX(每日用粉紀錄表!$J$3:$J$103, SMALL(IF($C$4=每日用粉紀錄表!$B$3:$B$103, ROW(每日用粉紀錄表!$B$3:$B$103)-ROW(每日用粉紀錄表!$B$3)+1), ROW(26:26))),"")</f>
        <v/>
      </c>
    </row>
    <row r="33" spans="2:5" x14ac:dyDescent="0.15">
      <c r="B33" s="168" t="str" cm="1">
        <f t="array" ref="B33">IFERROR(INDEX(每日用粉紀錄表!$C$3:$C$103, SMALL(IF($C$4=每日用粉紀錄表!$B$3:$B$103, ROW(每日用粉紀錄表!$B$3:$B$103)-ROW(每日用粉紀錄表!$B$3)+1), ROW(27:27))),"")</f>
        <v/>
      </c>
      <c r="C33" s="169" t="str" cm="1">
        <f t="array" ref="C33">IFERROR(INDEX(每日用粉紀錄表!$D$3:$D$103, SMALL(IF($C$4=每日用粉紀錄表!$B$3:$B$103, ROW(每日用粉紀錄表!$B$3:$B$103)-ROW(每日用粉紀錄表!$B$3)+1), ROW(27:27))),"")</f>
        <v/>
      </c>
      <c r="D33" s="170"/>
      <c r="E33" s="175"/>
    </row>
  </sheetData>
  <mergeCells count="3">
    <mergeCell ref="B4:B5"/>
    <mergeCell ref="C4:E5"/>
    <mergeCell ref="B1: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78"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20</v>
      </c>
      <c r="B1" s="162" t="s">
        <v>21</v>
      </c>
      <c r="C1" s="162" t="s">
        <v>17</v>
      </c>
      <c r="D1" s="162" t="s">
        <v>22</v>
      </c>
      <c r="E1" s="162" t="s">
        <v>23</v>
      </c>
      <c r="F1" s="162" t="s">
        <v>24</v>
      </c>
      <c r="G1" s="162" t="s">
        <v>25</v>
      </c>
      <c r="H1" s="162" t="s">
        <v>26</v>
      </c>
      <c r="J1" s="162" t="s">
        <v>27</v>
      </c>
    </row>
    <row r="2" spans="1:10" x14ac:dyDescent="0.15">
      <c r="A2" s="176" t="s">
        <v>28</v>
      </c>
      <c r="B2" s="176" t="s">
        <v>29</v>
      </c>
      <c r="C2" s="176" t="s">
        <v>30</v>
      </c>
      <c r="D2" s="176"/>
      <c r="E2" s="176" t="s">
        <v>31</v>
      </c>
      <c r="F2" s="176" t="s">
        <v>32</v>
      </c>
      <c r="G2" s="176"/>
      <c r="H2" s="176"/>
      <c r="I2" s="176"/>
      <c r="J2" s="176"/>
    </row>
    <row r="3" spans="1:10" x14ac:dyDescent="0.15">
      <c r="A3" s="176" t="s">
        <v>33</v>
      </c>
      <c r="B3" s="176" t="s">
        <v>29</v>
      </c>
      <c r="C3" s="176" t="s">
        <v>30</v>
      </c>
      <c r="D3" s="176"/>
      <c r="E3" s="176" t="s">
        <v>34</v>
      </c>
      <c r="F3" s="176" t="s">
        <v>35</v>
      </c>
      <c r="G3" s="176" t="s">
        <v>36</v>
      </c>
      <c r="H3" s="176"/>
      <c r="I3" s="176"/>
      <c r="J3" s="176"/>
    </row>
    <row r="4" spans="1:10" x14ac:dyDescent="0.15">
      <c r="A4" s="176"/>
      <c r="B4" s="176" t="s">
        <v>29</v>
      </c>
      <c r="C4" s="176" t="s">
        <v>30</v>
      </c>
      <c r="D4" s="176"/>
      <c r="E4" s="176" t="s">
        <v>37</v>
      </c>
      <c r="F4" s="176" t="s">
        <v>38</v>
      </c>
      <c r="G4" s="176" t="s">
        <v>39</v>
      </c>
      <c r="H4" s="176" t="s">
        <v>40</v>
      </c>
      <c r="I4" s="176"/>
      <c r="J4" s="176"/>
    </row>
    <row r="5" spans="1:10" x14ac:dyDescent="0.15">
      <c r="A5" s="176" t="s">
        <v>28</v>
      </c>
      <c r="B5" s="176" t="s">
        <v>29</v>
      </c>
      <c r="C5" s="176" t="s">
        <v>41</v>
      </c>
      <c r="D5" s="176"/>
      <c r="E5" s="176" t="s">
        <v>42</v>
      </c>
      <c r="F5" s="176" t="s">
        <v>43</v>
      </c>
      <c r="G5" s="176"/>
      <c r="H5" s="176"/>
      <c r="I5" s="176"/>
      <c r="J5" s="176"/>
    </row>
    <row r="6" spans="1:10" x14ac:dyDescent="0.15">
      <c r="A6" s="176" t="s">
        <v>44</v>
      </c>
      <c r="B6" s="176" t="s">
        <v>29</v>
      </c>
      <c r="C6" s="176" t="s">
        <v>41</v>
      </c>
      <c r="D6" s="176"/>
      <c r="E6" s="176" t="s">
        <v>45</v>
      </c>
      <c r="F6" s="176" t="s">
        <v>46</v>
      </c>
      <c r="G6" s="176" t="s">
        <v>47</v>
      </c>
      <c r="H6" s="176"/>
      <c r="I6" s="176"/>
      <c r="J6" s="176" t="s">
        <v>48</v>
      </c>
    </row>
    <row r="7" spans="1:10" x14ac:dyDescent="0.15">
      <c r="A7" s="176" t="s">
        <v>49</v>
      </c>
      <c r="B7" s="176" t="s">
        <v>29</v>
      </c>
      <c r="C7" s="176" t="s">
        <v>41</v>
      </c>
      <c r="D7" s="176"/>
      <c r="E7" s="176" t="s">
        <v>50</v>
      </c>
      <c r="F7" s="176" t="s">
        <v>38</v>
      </c>
      <c r="G7" s="176" t="s">
        <v>39</v>
      </c>
      <c r="H7" s="176" t="s">
        <v>51</v>
      </c>
      <c r="I7" s="176" t="s">
        <v>52</v>
      </c>
      <c r="J7" s="176"/>
    </row>
    <row r="8" spans="1:10" x14ac:dyDescent="0.15">
      <c r="A8" s="176" t="s">
        <v>28</v>
      </c>
      <c r="B8" s="176" t="s">
        <v>29</v>
      </c>
      <c r="C8" s="176" t="s">
        <v>53</v>
      </c>
      <c r="D8" s="176"/>
      <c r="E8" s="176" t="s">
        <v>54</v>
      </c>
      <c r="F8" s="176" t="s">
        <v>32</v>
      </c>
      <c r="G8" s="176"/>
      <c r="H8" s="176" t="s">
        <v>55</v>
      </c>
      <c r="I8" s="176"/>
      <c r="J8" s="176"/>
    </row>
    <row r="9" spans="1:10" x14ac:dyDescent="0.15">
      <c r="A9" s="176" t="s">
        <v>28</v>
      </c>
      <c r="B9" s="176" t="s">
        <v>29</v>
      </c>
      <c r="C9" s="176" t="s">
        <v>56</v>
      </c>
      <c r="D9" s="176"/>
      <c r="E9" s="176" t="s">
        <v>57</v>
      </c>
      <c r="F9" s="176" t="s">
        <v>32</v>
      </c>
      <c r="G9" s="176"/>
      <c r="H9" s="176">
        <v>40023</v>
      </c>
      <c r="I9" s="176"/>
      <c r="J9" s="176"/>
    </row>
    <row r="10" spans="1:10" x14ac:dyDescent="0.15">
      <c r="A10" s="176" t="s">
        <v>44</v>
      </c>
      <c r="B10" s="176" t="s">
        <v>29</v>
      </c>
      <c r="C10" s="176" t="s">
        <v>56</v>
      </c>
      <c r="D10" s="176"/>
      <c r="E10" s="176" t="s">
        <v>58</v>
      </c>
      <c r="F10" s="176" t="s">
        <v>46</v>
      </c>
      <c r="G10" s="176" t="s">
        <v>59</v>
      </c>
      <c r="H10" s="176" t="s">
        <v>60</v>
      </c>
      <c r="I10" s="176"/>
      <c r="J10" s="176" t="s">
        <v>61</v>
      </c>
    </row>
    <row r="11" spans="1:10" x14ac:dyDescent="0.15">
      <c r="A11" s="176" t="s">
        <v>62</v>
      </c>
      <c r="B11" s="176" t="s">
        <v>63</v>
      </c>
      <c r="C11" s="176" t="s">
        <v>64</v>
      </c>
      <c r="D11" s="176"/>
      <c r="E11" s="176" t="s">
        <v>65</v>
      </c>
      <c r="F11" s="176" t="s">
        <v>66</v>
      </c>
      <c r="G11" s="176" t="s">
        <v>39</v>
      </c>
      <c r="H11" s="176" t="s">
        <v>67</v>
      </c>
      <c r="I11" s="176"/>
      <c r="J11" s="176"/>
    </row>
    <row r="12" spans="1:10" x14ac:dyDescent="0.15">
      <c r="A12" s="176" t="s">
        <v>28</v>
      </c>
      <c r="B12" s="176" t="s">
        <v>68</v>
      </c>
      <c r="C12" s="176" t="s">
        <v>69</v>
      </c>
      <c r="D12" s="176"/>
      <c r="E12" s="176" t="s">
        <v>70</v>
      </c>
      <c r="F12" s="176" t="s">
        <v>32</v>
      </c>
      <c r="G12" s="176"/>
      <c r="H12" s="176"/>
      <c r="I12" s="176"/>
      <c r="J12" s="176"/>
    </row>
    <row r="13" spans="1:10" x14ac:dyDescent="0.15">
      <c r="A13" s="176" t="s">
        <v>28</v>
      </c>
      <c r="B13" s="176" t="s">
        <v>71</v>
      </c>
      <c r="C13" s="176" t="s">
        <v>72</v>
      </c>
      <c r="D13" s="176"/>
      <c r="E13" s="176" t="s">
        <v>73</v>
      </c>
      <c r="F13" s="176" t="s">
        <v>32</v>
      </c>
      <c r="G13" s="176"/>
      <c r="H13" s="176"/>
      <c r="I13" s="176"/>
      <c r="J13" s="176"/>
    </row>
    <row r="14" spans="1:10" x14ac:dyDescent="0.15">
      <c r="A14" s="176" t="s">
        <v>28</v>
      </c>
      <c r="B14" s="176" t="s">
        <v>74</v>
      </c>
      <c r="C14" s="176" t="s">
        <v>75</v>
      </c>
      <c r="D14" s="176"/>
      <c r="E14" s="176" t="s">
        <v>76</v>
      </c>
      <c r="F14" s="176" t="s">
        <v>32</v>
      </c>
      <c r="G14" s="176"/>
      <c r="H14" s="176"/>
      <c r="I14" s="176"/>
      <c r="J14" s="176"/>
    </row>
    <row r="15" spans="1:10" x14ac:dyDescent="0.15">
      <c r="A15" s="176" t="s">
        <v>49</v>
      </c>
      <c r="B15" s="176" t="s">
        <v>77</v>
      </c>
      <c r="C15" s="176" t="s">
        <v>78</v>
      </c>
      <c r="D15" s="176"/>
      <c r="E15" s="176" t="s">
        <v>79</v>
      </c>
      <c r="F15" s="176" t="s">
        <v>35</v>
      </c>
      <c r="G15" s="176" t="s">
        <v>36</v>
      </c>
      <c r="H15" s="176" t="s">
        <v>80</v>
      </c>
      <c r="I15" s="176"/>
      <c r="J15" s="176"/>
    </row>
    <row r="16" spans="1:10" x14ac:dyDescent="0.15">
      <c r="A16" s="176" t="s">
        <v>81</v>
      </c>
      <c r="B16" s="176" t="s">
        <v>82</v>
      </c>
      <c r="C16" s="176" t="s">
        <v>83</v>
      </c>
      <c r="D16" s="176"/>
      <c r="E16" s="176" t="s">
        <v>84</v>
      </c>
      <c r="F16" s="176" t="s">
        <v>85</v>
      </c>
      <c r="G16" s="176" t="s">
        <v>86</v>
      </c>
      <c r="H16" s="176" t="s">
        <v>87</v>
      </c>
      <c r="I16" s="176" t="s">
        <v>88</v>
      </c>
      <c r="J16" s="176"/>
    </row>
    <row r="17" spans="1:9" x14ac:dyDescent="0.15">
      <c r="A17" s="176" t="s">
        <v>81</v>
      </c>
      <c r="B17" s="176" t="s">
        <v>82</v>
      </c>
      <c r="C17" s="176" t="s">
        <v>83</v>
      </c>
      <c r="D17" s="176"/>
      <c r="E17" s="176" t="s">
        <v>89</v>
      </c>
      <c r="F17" s="176" t="s">
        <v>90</v>
      </c>
      <c r="G17" s="176" t="s">
        <v>86</v>
      </c>
      <c r="H17" s="176" t="s">
        <v>87</v>
      </c>
      <c r="I17" s="176"/>
    </row>
    <row r="18" spans="1:9" x14ac:dyDescent="0.15">
      <c r="A18" s="176" t="s">
        <v>28</v>
      </c>
      <c r="B18" s="176" t="s">
        <v>91</v>
      </c>
      <c r="C18" s="176" t="s">
        <v>92</v>
      </c>
      <c r="D18" s="176"/>
      <c r="E18" s="176" t="s">
        <v>93</v>
      </c>
      <c r="F18" s="176" t="s">
        <v>32</v>
      </c>
      <c r="G18" s="176"/>
      <c r="H18" s="176"/>
      <c r="I18" s="176"/>
    </row>
    <row r="19" spans="1:9" x14ac:dyDescent="0.15">
      <c r="A19" s="176" t="s">
        <v>28</v>
      </c>
      <c r="B19" s="176" t="s">
        <v>94</v>
      </c>
      <c r="C19" s="176" t="s">
        <v>95</v>
      </c>
      <c r="D19" s="176"/>
      <c r="E19" s="176" t="s">
        <v>96</v>
      </c>
      <c r="F19" s="176" t="s">
        <v>32</v>
      </c>
      <c r="G19" s="176"/>
      <c r="H19" s="176" t="s">
        <v>97</v>
      </c>
      <c r="I19" s="176"/>
    </row>
    <row r="20" spans="1:9" x14ac:dyDescent="0.15">
      <c r="A20" s="176" t="s">
        <v>49</v>
      </c>
      <c r="B20" s="176" t="s">
        <v>94</v>
      </c>
      <c r="C20" s="176" t="s">
        <v>95</v>
      </c>
      <c r="D20" s="176"/>
      <c r="E20" s="176" t="s">
        <v>98</v>
      </c>
      <c r="F20" s="176" t="s">
        <v>46</v>
      </c>
      <c r="G20" s="176" t="s">
        <v>59</v>
      </c>
      <c r="H20" s="176" t="s">
        <v>99</v>
      </c>
      <c r="I20" s="176"/>
    </row>
    <row r="21" spans="1:9" x14ac:dyDescent="0.15">
      <c r="A21" s="176" t="s">
        <v>49</v>
      </c>
      <c r="B21" s="176" t="s">
        <v>100</v>
      </c>
      <c r="C21" s="176" t="s">
        <v>101</v>
      </c>
      <c r="D21" s="176"/>
      <c r="E21" s="176" t="s">
        <v>102</v>
      </c>
      <c r="F21" s="176" t="s">
        <v>85</v>
      </c>
      <c r="G21" s="176" t="s">
        <v>59</v>
      </c>
      <c r="H21" s="176"/>
      <c r="I21" s="176"/>
    </row>
    <row r="22" spans="1:9" x14ac:dyDescent="0.15">
      <c r="A22" s="176" t="s">
        <v>28</v>
      </c>
      <c r="B22" s="176" t="s">
        <v>103</v>
      </c>
      <c r="C22" s="176" t="s">
        <v>104</v>
      </c>
      <c r="D22" s="176"/>
      <c r="E22" s="176" t="s">
        <v>105</v>
      </c>
      <c r="F22" s="176" t="s">
        <v>85</v>
      </c>
      <c r="G22" s="176" t="s">
        <v>59</v>
      </c>
      <c r="H22" s="176"/>
      <c r="I22" s="176"/>
    </row>
    <row r="23" spans="1:9" x14ac:dyDescent="0.15">
      <c r="A23" s="176" t="s">
        <v>81</v>
      </c>
      <c r="B23" s="176" t="s">
        <v>106</v>
      </c>
      <c r="C23" s="176" t="s">
        <v>107</v>
      </c>
      <c r="D23" s="176"/>
      <c r="E23" s="176" t="s">
        <v>108</v>
      </c>
      <c r="F23" s="176" t="s">
        <v>85</v>
      </c>
      <c r="G23" s="176" t="s">
        <v>59</v>
      </c>
      <c r="H23" s="176" t="s">
        <v>109</v>
      </c>
      <c r="I23" s="176" t="s">
        <v>110</v>
      </c>
    </row>
    <row r="24" spans="1:9" x14ac:dyDescent="0.15">
      <c r="A24" s="176" t="s">
        <v>28</v>
      </c>
      <c r="B24" s="176" t="s">
        <v>106</v>
      </c>
      <c r="C24" s="176" t="s">
        <v>111</v>
      </c>
      <c r="D24" s="176"/>
      <c r="E24" s="176" t="s">
        <v>112</v>
      </c>
      <c r="F24" s="176" t="s">
        <v>43</v>
      </c>
      <c r="G24" s="176" t="s">
        <v>86</v>
      </c>
      <c r="H24" s="176">
        <v>136</v>
      </c>
      <c r="I24" s="176"/>
    </row>
    <row r="25" spans="1:9" x14ac:dyDescent="0.15">
      <c r="A25" s="176" t="s">
        <v>28</v>
      </c>
      <c r="B25" s="176" t="s">
        <v>113</v>
      </c>
      <c r="C25" s="176"/>
      <c r="D25" s="176"/>
      <c r="E25" s="176" t="s">
        <v>114</v>
      </c>
      <c r="F25" s="176" t="s">
        <v>43</v>
      </c>
      <c r="G25" s="176" t="s">
        <v>86</v>
      </c>
      <c r="H25" s="176"/>
      <c r="I25" s="176"/>
    </row>
    <row r="26" spans="1:9" x14ac:dyDescent="0.15">
      <c r="A26" s="176" t="s">
        <v>49</v>
      </c>
      <c r="B26" s="176" t="s">
        <v>115</v>
      </c>
      <c r="C26" s="176" t="s">
        <v>116</v>
      </c>
      <c r="D26" s="176"/>
      <c r="E26" s="176" t="s">
        <v>117</v>
      </c>
      <c r="F26" s="176" t="s">
        <v>43</v>
      </c>
      <c r="G26" s="176" t="s">
        <v>59</v>
      </c>
      <c r="H26" s="176"/>
      <c r="I26" s="176"/>
    </row>
    <row r="27" spans="1:9" x14ac:dyDescent="0.15">
      <c r="A27" s="176" t="s">
        <v>118</v>
      </c>
      <c r="B27" s="176" t="s">
        <v>119</v>
      </c>
      <c r="C27" s="176" t="s">
        <v>120</v>
      </c>
      <c r="D27" s="176"/>
      <c r="E27" s="176" t="s">
        <v>121</v>
      </c>
      <c r="F27" s="176" t="s">
        <v>46</v>
      </c>
      <c r="G27" s="176" t="s">
        <v>86</v>
      </c>
      <c r="H27" s="176" t="s">
        <v>122</v>
      </c>
      <c r="I27" s="176" t="s">
        <v>123</v>
      </c>
    </row>
    <row r="28" spans="1:9" x14ac:dyDescent="0.15">
      <c r="A28" s="176" t="s">
        <v>124</v>
      </c>
      <c r="B28" s="176" t="s">
        <v>125</v>
      </c>
      <c r="C28" s="176" t="s">
        <v>126</v>
      </c>
      <c r="D28" s="176"/>
      <c r="E28" s="176" t="s">
        <v>127</v>
      </c>
      <c r="F28" s="176" t="s">
        <v>35</v>
      </c>
      <c r="G28" s="176" t="s">
        <v>36</v>
      </c>
      <c r="H28" s="176" t="s">
        <v>128</v>
      </c>
      <c r="I28" s="176"/>
    </row>
    <row r="29" spans="1:9" x14ac:dyDescent="0.15">
      <c r="A29" s="176" t="s">
        <v>49</v>
      </c>
      <c r="B29" s="176" t="s">
        <v>129</v>
      </c>
      <c r="C29" s="176" t="s">
        <v>130</v>
      </c>
      <c r="D29" s="176"/>
      <c r="E29" s="176" t="s">
        <v>131</v>
      </c>
      <c r="F29" s="176" t="s">
        <v>35</v>
      </c>
      <c r="G29" s="176" t="s">
        <v>36</v>
      </c>
      <c r="H29" s="176" t="s">
        <v>132</v>
      </c>
      <c r="I29" s="176"/>
    </row>
    <row r="30" spans="1:9" x14ac:dyDescent="0.15">
      <c r="A30" s="176" t="s">
        <v>28</v>
      </c>
      <c r="B30" s="176" t="s">
        <v>133</v>
      </c>
      <c r="C30" s="176"/>
      <c r="D30" s="176"/>
      <c r="E30" s="176" t="s">
        <v>134</v>
      </c>
      <c r="F30" s="176" t="s">
        <v>32</v>
      </c>
      <c r="G30" s="176"/>
      <c r="H30" s="176"/>
      <c r="I30" s="176"/>
    </row>
    <row r="31" spans="1:9" x14ac:dyDescent="0.15">
      <c r="A31" s="176" t="s">
        <v>28</v>
      </c>
      <c r="B31" s="176" t="s">
        <v>135</v>
      </c>
      <c r="C31" s="176" t="s">
        <v>136</v>
      </c>
      <c r="D31" s="176"/>
      <c r="E31" s="176" t="s">
        <v>137</v>
      </c>
      <c r="F31" s="176" t="s">
        <v>85</v>
      </c>
      <c r="G31" s="176" t="s">
        <v>86</v>
      </c>
      <c r="H31" s="176"/>
      <c r="I31" s="176"/>
    </row>
    <row r="32" spans="1:9" x14ac:dyDescent="0.15">
      <c r="A32" s="176" t="s">
        <v>49</v>
      </c>
      <c r="B32" s="176" t="s">
        <v>135</v>
      </c>
      <c r="C32" s="176" t="s">
        <v>136</v>
      </c>
      <c r="D32" s="176"/>
      <c r="E32" s="176" t="s">
        <v>138</v>
      </c>
      <c r="F32" s="176" t="s">
        <v>46</v>
      </c>
      <c r="G32" s="176" t="s">
        <v>59</v>
      </c>
      <c r="H32" s="176" t="s">
        <v>99</v>
      </c>
      <c r="I32" s="176"/>
    </row>
    <row r="33" spans="1:9" x14ac:dyDescent="0.15">
      <c r="A33" s="176" t="s">
        <v>28</v>
      </c>
      <c r="B33" s="176" t="s">
        <v>139</v>
      </c>
      <c r="C33" s="176" t="s">
        <v>140</v>
      </c>
      <c r="D33" s="176"/>
      <c r="E33" s="176" t="s">
        <v>141</v>
      </c>
      <c r="F33" s="176" t="s">
        <v>43</v>
      </c>
      <c r="G33" s="176" t="s">
        <v>59</v>
      </c>
      <c r="H33" s="176"/>
      <c r="I33" s="176"/>
    </row>
    <row r="34" spans="1:9" x14ac:dyDescent="0.15">
      <c r="A34" s="176" t="s">
        <v>49</v>
      </c>
      <c r="B34" s="176" t="s">
        <v>139</v>
      </c>
      <c r="C34" s="176" t="s">
        <v>140</v>
      </c>
      <c r="D34" s="176"/>
      <c r="E34" s="176" t="s">
        <v>142</v>
      </c>
      <c r="F34" s="176" t="s">
        <v>43</v>
      </c>
      <c r="G34" s="176" t="s">
        <v>59</v>
      </c>
      <c r="H34" s="176"/>
      <c r="I34" s="176"/>
    </row>
    <row r="35" spans="1:9" x14ac:dyDescent="0.15">
      <c r="A35" s="176" t="s">
        <v>81</v>
      </c>
      <c r="B35" s="176" t="s">
        <v>139</v>
      </c>
      <c r="C35" s="176" t="s">
        <v>140</v>
      </c>
      <c r="D35" s="176"/>
      <c r="E35" s="176" t="s">
        <v>143</v>
      </c>
      <c r="F35" s="176" t="s">
        <v>85</v>
      </c>
      <c r="G35" s="176" t="s">
        <v>59</v>
      </c>
      <c r="H35" s="176" t="s">
        <v>144</v>
      </c>
      <c r="I35" s="176"/>
    </row>
    <row r="36" spans="1:9" x14ac:dyDescent="0.15">
      <c r="A36" s="176" t="s">
        <v>28</v>
      </c>
      <c r="B36" s="176" t="s">
        <v>145</v>
      </c>
      <c r="C36" s="176" t="s">
        <v>146</v>
      </c>
      <c r="D36" s="176"/>
      <c r="E36" s="176" t="s">
        <v>147</v>
      </c>
      <c r="F36" s="176" t="s">
        <v>85</v>
      </c>
      <c r="G36" s="176" t="s">
        <v>59</v>
      </c>
      <c r="H36" s="176"/>
      <c r="I36" s="176"/>
    </row>
    <row r="37" spans="1:9" x14ac:dyDescent="0.15">
      <c r="A37" s="176" t="s">
        <v>33</v>
      </c>
      <c r="B37" s="176" t="s">
        <v>145</v>
      </c>
      <c r="C37" s="176" t="s">
        <v>146</v>
      </c>
      <c r="D37" s="176"/>
      <c r="E37" s="176" t="s">
        <v>148</v>
      </c>
      <c r="F37" s="176" t="s">
        <v>38</v>
      </c>
      <c r="G37" s="176" t="s">
        <v>149</v>
      </c>
      <c r="H37" s="176" t="s">
        <v>150</v>
      </c>
      <c r="I37" s="176" t="s">
        <v>151</v>
      </c>
    </row>
    <row r="38" spans="1:9" x14ac:dyDescent="0.15">
      <c r="A38" s="176" t="s">
        <v>49</v>
      </c>
      <c r="B38" s="176" t="s">
        <v>152</v>
      </c>
      <c r="C38" s="176" t="s">
        <v>153</v>
      </c>
      <c r="D38" s="176"/>
      <c r="E38" s="176" t="s">
        <v>154</v>
      </c>
      <c r="F38" s="176" t="s">
        <v>46</v>
      </c>
      <c r="G38" s="176" t="s">
        <v>59</v>
      </c>
      <c r="H38" s="176" t="s">
        <v>99</v>
      </c>
      <c r="I38" s="176"/>
    </row>
    <row r="39" spans="1:9" x14ac:dyDescent="0.15">
      <c r="A39" s="176" t="s">
        <v>33</v>
      </c>
      <c r="B39" s="176" t="s">
        <v>155</v>
      </c>
      <c r="C39" s="176" t="s">
        <v>156</v>
      </c>
      <c r="D39" s="176"/>
      <c r="E39" s="176" t="s">
        <v>157</v>
      </c>
      <c r="F39" s="176" t="s">
        <v>35</v>
      </c>
      <c r="G39" s="176" t="s">
        <v>36</v>
      </c>
      <c r="H39" s="176"/>
      <c r="I39" s="176"/>
    </row>
    <row r="40" spans="1:9" x14ac:dyDescent="0.15">
      <c r="A40" s="176" t="s">
        <v>28</v>
      </c>
      <c r="B40" s="176" t="s">
        <v>158</v>
      </c>
      <c r="C40" s="176" t="s">
        <v>159</v>
      </c>
      <c r="D40" s="176"/>
      <c r="E40" s="176" t="s">
        <v>160</v>
      </c>
      <c r="F40" s="176" t="s">
        <v>32</v>
      </c>
      <c r="G40" s="176"/>
      <c r="H40" s="176"/>
      <c r="I40" s="176"/>
    </row>
    <row r="41" spans="1:9" x14ac:dyDescent="0.15">
      <c r="A41" s="176" t="s">
        <v>28</v>
      </c>
      <c r="B41" s="176" t="s">
        <v>161</v>
      </c>
      <c r="C41" s="176" t="s">
        <v>162</v>
      </c>
      <c r="D41" s="176"/>
      <c r="E41" s="176"/>
      <c r="F41" s="176" t="s">
        <v>32</v>
      </c>
      <c r="G41" s="176"/>
      <c r="H41" s="176"/>
      <c r="I41" s="176"/>
    </row>
    <row r="42" spans="1:9" x14ac:dyDescent="0.15">
      <c r="A42" s="176" t="s">
        <v>28</v>
      </c>
      <c r="B42" s="176" t="s">
        <v>163</v>
      </c>
      <c r="C42" s="176" t="s">
        <v>164</v>
      </c>
      <c r="D42" s="176"/>
      <c r="E42" s="176" t="s">
        <v>165</v>
      </c>
      <c r="F42" s="176" t="s">
        <v>32</v>
      </c>
      <c r="G42" s="176"/>
      <c r="H42" s="176"/>
      <c r="I42" s="176"/>
    </row>
    <row r="43" spans="1:9" x14ac:dyDescent="0.15">
      <c r="A43" s="176" t="s">
        <v>28</v>
      </c>
      <c r="B43" s="176" t="s">
        <v>166</v>
      </c>
      <c r="C43" s="176" t="s">
        <v>167</v>
      </c>
      <c r="D43" s="176"/>
      <c r="E43" s="176"/>
      <c r="F43" s="176" t="s">
        <v>32</v>
      </c>
      <c r="G43" s="176"/>
      <c r="H43" s="176"/>
      <c r="I43" s="176"/>
    </row>
    <row r="44" spans="1:9" x14ac:dyDescent="0.15">
      <c r="A44" s="176" t="s">
        <v>28</v>
      </c>
      <c r="B44" s="176" t="s">
        <v>163</v>
      </c>
      <c r="C44" s="176" t="s">
        <v>168</v>
      </c>
      <c r="D44" s="176"/>
      <c r="E44" s="176" t="s">
        <v>169</v>
      </c>
      <c r="F44" s="176" t="s">
        <v>32</v>
      </c>
      <c r="G44" s="176"/>
      <c r="H44" s="176"/>
      <c r="I44" s="176"/>
    </row>
    <row r="45" spans="1:9" x14ac:dyDescent="0.15">
      <c r="A45" s="176" t="s">
        <v>28</v>
      </c>
      <c r="B45" s="176" t="s">
        <v>163</v>
      </c>
      <c r="C45" s="176" t="s">
        <v>170</v>
      </c>
      <c r="D45" s="176"/>
      <c r="E45" s="176" t="s">
        <v>171</v>
      </c>
      <c r="F45" s="176" t="s">
        <v>32</v>
      </c>
      <c r="G45" s="176"/>
      <c r="H45" s="176"/>
      <c r="I45" s="176"/>
    </row>
    <row r="46" spans="1:9" x14ac:dyDescent="0.15">
      <c r="A46" s="176" t="s">
        <v>44</v>
      </c>
      <c r="B46" s="176" t="s">
        <v>172</v>
      </c>
      <c r="C46" s="176" t="s">
        <v>173</v>
      </c>
      <c r="D46" s="176"/>
      <c r="E46" s="176" t="s">
        <v>174</v>
      </c>
      <c r="F46" s="176" t="s">
        <v>85</v>
      </c>
      <c r="G46" s="176" t="s">
        <v>86</v>
      </c>
      <c r="H46" s="176" t="s">
        <v>175</v>
      </c>
      <c r="I46" s="176" t="s">
        <v>123</v>
      </c>
    </row>
    <row r="47" spans="1:9" x14ac:dyDescent="0.15">
      <c r="A47" s="176" t="s">
        <v>49</v>
      </c>
      <c r="B47" s="176" t="s">
        <v>176</v>
      </c>
      <c r="C47" s="176" t="s">
        <v>173</v>
      </c>
      <c r="D47" s="176"/>
      <c r="E47" s="176" t="s">
        <v>177</v>
      </c>
      <c r="F47" s="176" t="s">
        <v>38</v>
      </c>
      <c r="G47" s="176"/>
      <c r="H47" s="176" t="s">
        <v>175</v>
      </c>
      <c r="I47" s="176"/>
    </row>
    <row r="48" spans="1:9" x14ac:dyDescent="0.15">
      <c r="A48" s="176" t="s">
        <v>28</v>
      </c>
      <c r="B48" s="176" t="s">
        <v>178</v>
      </c>
      <c r="C48" s="176" t="s">
        <v>179</v>
      </c>
      <c r="D48" s="176"/>
      <c r="E48" s="176" t="s">
        <v>180</v>
      </c>
      <c r="F48" s="176" t="s">
        <v>85</v>
      </c>
      <c r="G48" s="176" t="s">
        <v>86</v>
      </c>
      <c r="H48" s="176" t="s">
        <v>181</v>
      </c>
      <c r="I48" s="176" t="s">
        <v>123</v>
      </c>
    </row>
    <row r="49" spans="1:9" x14ac:dyDescent="0.15">
      <c r="A49" s="176" t="s">
        <v>33</v>
      </c>
      <c r="B49" s="176" t="s">
        <v>178</v>
      </c>
      <c r="C49" s="176" t="s">
        <v>179</v>
      </c>
      <c r="D49" s="176"/>
      <c r="E49" s="176" t="s">
        <v>182</v>
      </c>
      <c r="F49" s="176" t="s">
        <v>46</v>
      </c>
      <c r="G49" s="176" t="s">
        <v>86</v>
      </c>
      <c r="H49" s="176" t="s">
        <v>99</v>
      </c>
      <c r="I49" s="176" t="s">
        <v>123</v>
      </c>
    </row>
    <row r="50" spans="1:9" x14ac:dyDescent="0.15">
      <c r="A50" s="176" t="s">
        <v>28</v>
      </c>
      <c r="B50" s="176" t="s">
        <v>183</v>
      </c>
      <c r="C50" s="176" t="s">
        <v>184</v>
      </c>
      <c r="D50" s="176"/>
      <c r="E50" s="176" t="s">
        <v>185</v>
      </c>
      <c r="F50" s="176" t="s">
        <v>32</v>
      </c>
      <c r="G50" s="176"/>
      <c r="H50" s="176"/>
      <c r="I50" s="176"/>
    </row>
    <row r="51" spans="1:9" x14ac:dyDescent="0.15">
      <c r="A51" s="176" t="s">
        <v>28</v>
      </c>
      <c r="B51" s="176" t="s">
        <v>186</v>
      </c>
      <c r="C51" s="176" t="s">
        <v>187</v>
      </c>
      <c r="D51" s="176"/>
      <c r="E51" s="176" t="s">
        <v>188</v>
      </c>
      <c r="F51" s="176" t="s">
        <v>32</v>
      </c>
      <c r="G51" s="176"/>
      <c r="H51" s="176"/>
      <c r="I51" s="176"/>
    </row>
    <row r="52" spans="1:9" x14ac:dyDescent="0.15">
      <c r="A52" s="176" t="s">
        <v>49</v>
      </c>
      <c r="B52" s="176" t="s">
        <v>189</v>
      </c>
      <c r="C52" s="176" t="s">
        <v>190</v>
      </c>
      <c r="D52" s="176"/>
      <c r="E52" s="176" t="s">
        <v>191</v>
      </c>
      <c r="F52" s="176" t="s">
        <v>85</v>
      </c>
      <c r="G52" s="176" t="s">
        <v>59</v>
      </c>
      <c r="H52" s="176"/>
      <c r="I52" s="176" t="s">
        <v>192</v>
      </c>
    </row>
    <row r="53" spans="1:9" x14ac:dyDescent="0.15">
      <c r="A53" s="176" t="s">
        <v>28</v>
      </c>
      <c r="B53" s="176" t="s">
        <v>193</v>
      </c>
      <c r="C53" s="176" t="s">
        <v>194</v>
      </c>
      <c r="D53" s="176"/>
      <c r="E53" s="176" t="s">
        <v>195</v>
      </c>
      <c r="F53" s="176" t="s">
        <v>32</v>
      </c>
      <c r="G53" s="176"/>
      <c r="H53" s="176" t="s">
        <v>196</v>
      </c>
      <c r="I53" s="176"/>
    </row>
    <row r="54" spans="1:9" x14ac:dyDescent="0.15">
      <c r="A54" s="176" t="s">
        <v>28</v>
      </c>
      <c r="B54" s="176" t="s">
        <v>197</v>
      </c>
      <c r="C54" s="176" t="s">
        <v>198</v>
      </c>
      <c r="D54" s="176"/>
      <c r="E54" s="176" t="s">
        <v>199</v>
      </c>
      <c r="F54" s="176" t="s">
        <v>32</v>
      </c>
      <c r="G54" s="176"/>
      <c r="H54" s="176" t="s">
        <v>200</v>
      </c>
      <c r="I54" s="176"/>
    </row>
    <row r="55" spans="1:9" x14ac:dyDescent="0.15">
      <c r="A55" s="176" t="s">
        <v>28</v>
      </c>
      <c r="B55" s="176" t="s">
        <v>201</v>
      </c>
      <c r="C55" s="176" t="s">
        <v>202</v>
      </c>
      <c r="D55" s="176"/>
      <c r="E55" s="176" t="s">
        <v>203</v>
      </c>
      <c r="F55" s="176" t="s">
        <v>85</v>
      </c>
      <c r="G55" s="176" t="s">
        <v>59</v>
      </c>
      <c r="H55" s="176"/>
      <c r="I55" s="176"/>
    </row>
    <row r="56" spans="1:9" x14ac:dyDescent="0.15">
      <c r="A56" s="176" t="s">
        <v>49</v>
      </c>
      <c r="B56" s="176" t="s">
        <v>201</v>
      </c>
      <c r="C56" s="176" t="s">
        <v>202</v>
      </c>
      <c r="D56" s="176"/>
      <c r="E56" s="176" t="s">
        <v>204</v>
      </c>
      <c r="F56" s="176" t="s">
        <v>46</v>
      </c>
      <c r="G56" s="176" t="s">
        <v>59</v>
      </c>
      <c r="H56" s="176"/>
      <c r="I56" s="176"/>
    </row>
    <row r="57" spans="1:9" x14ac:dyDescent="0.15">
      <c r="A57" s="176" t="s">
        <v>49</v>
      </c>
      <c r="B57" s="176" t="s">
        <v>205</v>
      </c>
      <c r="C57" s="176" t="s">
        <v>206</v>
      </c>
      <c r="D57" s="176"/>
      <c r="E57" s="176" t="s">
        <v>207</v>
      </c>
      <c r="F57" s="176" t="s">
        <v>85</v>
      </c>
      <c r="G57" s="176" t="s">
        <v>59</v>
      </c>
      <c r="H57" s="176"/>
      <c r="I57" s="176"/>
    </row>
    <row r="58" spans="1:9" x14ac:dyDescent="0.15">
      <c r="A58" s="176" t="s">
        <v>28</v>
      </c>
      <c r="B58" s="176" t="s">
        <v>208</v>
      </c>
      <c r="C58" s="176" t="s">
        <v>209</v>
      </c>
      <c r="D58" s="176"/>
      <c r="E58" s="176" t="s">
        <v>210</v>
      </c>
      <c r="F58" s="176" t="s">
        <v>32</v>
      </c>
      <c r="G58" s="176"/>
      <c r="H58" s="176"/>
      <c r="I58" s="176"/>
    </row>
    <row r="59" spans="1:9" x14ac:dyDescent="0.15">
      <c r="A59" s="176" t="s">
        <v>28</v>
      </c>
      <c r="B59" s="176" t="s">
        <v>211</v>
      </c>
      <c r="C59" s="176" t="s">
        <v>212</v>
      </c>
      <c r="D59" s="176"/>
      <c r="E59" s="176" t="s">
        <v>213</v>
      </c>
      <c r="F59" s="176" t="s">
        <v>32</v>
      </c>
      <c r="G59" s="176"/>
      <c r="H59" s="176"/>
      <c r="I59" s="176"/>
    </row>
    <row r="60" spans="1:9" x14ac:dyDescent="0.15">
      <c r="A60" s="176" t="s">
        <v>49</v>
      </c>
      <c r="B60" s="176" t="s">
        <v>214</v>
      </c>
      <c r="C60" s="176" t="s">
        <v>215</v>
      </c>
      <c r="D60" s="176"/>
      <c r="E60" s="176" t="s">
        <v>216</v>
      </c>
      <c r="F60" s="176" t="s">
        <v>85</v>
      </c>
      <c r="G60" s="176" t="s">
        <v>86</v>
      </c>
      <c r="H60" s="176" t="s">
        <v>217</v>
      </c>
      <c r="I60" s="176"/>
    </row>
    <row r="61" spans="1:9" x14ac:dyDescent="0.15">
      <c r="A61" s="176" t="s">
        <v>28</v>
      </c>
      <c r="B61" s="176" t="s">
        <v>218</v>
      </c>
      <c r="C61" s="176" t="s">
        <v>219</v>
      </c>
      <c r="D61" s="176"/>
      <c r="E61" s="176" t="s">
        <v>220</v>
      </c>
      <c r="F61" s="176" t="s">
        <v>32</v>
      </c>
      <c r="G61" s="176"/>
      <c r="H61" s="176">
        <v>880</v>
      </c>
      <c r="I61" s="176"/>
    </row>
    <row r="62" spans="1:9" x14ac:dyDescent="0.15">
      <c r="A62" s="176" t="s">
        <v>33</v>
      </c>
      <c r="B62" s="176" t="s">
        <v>221</v>
      </c>
      <c r="C62" s="176" t="s">
        <v>222</v>
      </c>
      <c r="D62" s="176"/>
      <c r="E62" s="176" t="s">
        <v>223</v>
      </c>
      <c r="F62" s="176" t="s">
        <v>85</v>
      </c>
      <c r="G62" s="176" t="s">
        <v>59</v>
      </c>
      <c r="H62" s="176" t="s">
        <v>99</v>
      </c>
      <c r="I62" s="176"/>
    </row>
    <row r="63" spans="1:9" x14ac:dyDescent="0.15">
      <c r="A63" s="176" t="s">
        <v>44</v>
      </c>
      <c r="B63" s="176" t="s">
        <v>224</v>
      </c>
      <c r="C63" s="176" t="s">
        <v>225</v>
      </c>
      <c r="D63" s="176"/>
      <c r="E63" s="176" t="s">
        <v>226</v>
      </c>
      <c r="F63" s="176" t="s">
        <v>85</v>
      </c>
      <c r="G63" s="176" t="s">
        <v>86</v>
      </c>
      <c r="H63" s="176" t="s">
        <v>227</v>
      </c>
      <c r="I63" s="176" t="s">
        <v>228</v>
      </c>
    </row>
    <row r="64" spans="1:9" x14ac:dyDescent="0.15">
      <c r="A64" s="176" t="s">
        <v>49</v>
      </c>
      <c r="B64" s="176" t="s">
        <v>224</v>
      </c>
      <c r="C64" s="176" t="s">
        <v>225</v>
      </c>
      <c r="D64" s="176"/>
      <c r="E64" s="176" t="s">
        <v>229</v>
      </c>
      <c r="F64" s="176" t="s">
        <v>46</v>
      </c>
      <c r="G64" s="176" t="s">
        <v>59</v>
      </c>
      <c r="H64" s="176"/>
      <c r="I64" s="176" t="s">
        <v>230</v>
      </c>
    </row>
    <row r="65" spans="1:9" x14ac:dyDescent="0.15">
      <c r="A65" s="176" t="s">
        <v>28</v>
      </c>
      <c r="B65" s="176" t="s">
        <v>231</v>
      </c>
      <c r="C65" s="176" t="s">
        <v>232</v>
      </c>
      <c r="D65" s="176"/>
      <c r="E65" s="176" t="s">
        <v>233</v>
      </c>
      <c r="F65" s="176" t="s">
        <v>32</v>
      </c>
      <c r="G65" s="176"/>
      <c r="H65" s="176"/>
      <c r="I65" s="176"/>
    </row>
    <row r="66" spans="1:9" x14ac:dyDescent="0.15">
      <c r="A66" s="176" t="s">
        <v>28</v>
      </c>
      <c r="B66" s="176" t="s">
        <v>234</v>
      </c>
      <c r="C66" s="176" t="s">
        <v>235</v>
      </c>
      <c r="D66" s="176"/>
      <c r="E66" s="176" t="s">
        <v>236</v>
      </c>
      <c r="F66" s="176" t="s">
        <v>32</v>
      </c>
      <c r="G66" s="176"/>
      <c r="H66" s="176"/>
      <c r="I66" s="176"/>
    </row>
    <row r="67" spans="1:9" x14ac:dyDescent="0.15">
      <c r="A67" s="176" t="s">
        <v>28</v>
      </c>
      <c r="B67" s="176" t="s">
        <v>237</v>
      </c>
      <c r="C67" s="176" t="s">
        <v>238</v>
      </c>
      <c r="D67" s="176"/>
      <c r="E67" s="176" t="s">
        <v>239</v>
      </c>
      <c r="F67" s="176" t="s">
        <v>32</v>
      </c>
      <c r="G67" s="176"/>
      <c r="H67" s="176"/>
      <c r="I67" s="176"/>
    </row>
    <row r="68" spans="1:9" x14ac:dyDescent="0.15">
      <c r="A68" s="176" t="s">
        <v>81</v>
      </c>
      <c r="B68" s="176" t="s">
        <v>240</v>
      </c>
      <c r="C68" s="176" t="s">
        <v>241</v>
      </c>
      <c r="D68" s="176"/>
      <c r="E68" s="176" t="s">
        <v>242</v>
      </c>
      <c r="F68" s="176" t="s">
        <v>85</v>
      </c>
      <c r="G68" s="176" t="s">
        <v>59</v>
      </c>
      <c r="H68" s="176" t="s">
        <v>243</v>
      </c>
      <c r="I68" s="176" t="s">
        <v>244</v>
      </c>
    </row>
    <row r="69" spans="1:9" x14ac:dyDescent="0.15">
      <c r="A69" s="176" t="s">
        <v>81</v>
      </c>
      <c r="B69" s="176" t="s">
        <v>245</v>
      </c>
      <c r="C69" s="176" t="s">
        <v>246</v>
      </c>
      <c r="D69" s="176"/>
      <c r="E69" s="176" t="s">
        <v>247</v>
      </c>
      <c r="F69" s="176" t="s">
        <v>46</v>
      </c>
      <c r="G69" s="176" t="s">
        <v>59</v>
      </c>
      <c r="H69" s="176" t="s">
        <v>248</v>
      </c>
      <c r="I69" s="176"/>
    </row>
    <row r="70" spans="1:9" x14ac:dyDescent="0.15">
      <c r="A70" s="176" t="s">
        <v>28</v>
      </c>
      <c r="B70" s="176" t="s">
        <v>249</v>
      </c>
      <c r="C70" s="176" t="s">
        <v>250</v>
      </c>
      <c r="D70" s="176"/>
      <c r="E70" s="176" t="s">
        <v>251</v>
      </c>
      <c r="F70" s="176" t="s">
        <v>32</v>
      </c>
      <c r="G70" s="176"/>
      <c r="H70" s="176"/>
      <c r="I70" s="176"/>
    </row>
    <row r="71" spans="1:9" x14ac:dyDescent="0.15">
      <c r="A71" s="176" t="s">
        <v>28</v>
      </c>
      <c r="B71" s="176" t="s">
        <v>252</v>
      </c>
      <c r="C71" s="176" t="s">
        <v>253</v>
      </c>
      <c r="D71" s="176"/>
      <c r="E71" s="176" t="s">
        <v>254</v>
      </c>
      <c r="F71" s="176" t="s">
        <v>32</v>
      </c>
      <c r="G71" s="176"/>
      <c r="H71" s="176"/>
      <c r="I71" s="176"/>
    </row>
    <row r="72" spans="1:9" x14ac:dyDescent="0.15">
      <c r="A72" s="176" t="s">
        <v>28</v>
      </c>
      <c r="B72" s="176" t="s">
        <v>255</v>
      </c>
      <c r="C72" s="176" t="s">
        <v>256</v>
      </c>
      <c r="D72" s="176"/>
      <c r="E72" s="176" t="s">
        <v>257</v>
      </c>
      <c r="F72" s="176" t="s">
        <v>32</v>
      </c>
      <c r="G72" s="176"/>
      <c r="H72" s="176"/>
      <c r="I72" s="176"/>
    </row>
    <row r="73" spans="1:9" x14ac:dyDescent="0.15">
      <c r="A73" s="176" t="s">
        <v>28</v>
      </c>
      <c r="B73" s="176" t="s">
        <v>258</v>
      </c>
      <c r="C73" s="176" t="s">
        <v>259</v>
      </c>
      <c r="D73" s="176"/>
      <c r="E73" s="176" t="s">
        <v>260</v>
      </c>
      <c r="F73" s="176" t="s">
        <v>32</v>
      </c>
      <c r="G73" s="176"/>
      <c r="H73" s="176"/>
      <c r="I73" s="176"/>
    </row>
    <row r="74" spans="1:9" x14ac:dyDescent="0.15">
      <c r="A74" s="176" t="s">
        <v>28</v>
      </c>
      <c r="B74" s="176" t="s">
        <v>261</v>
      </c>
      <c r="C74" s="176" t="s">
        <v>262</v>
      </c>
      <c r="D74" s="176"/>
      <c r="E74" s="176" t="s">
        <v>263</v>
      </c>
      <c r="F74" s="176" t="s">
        <v>32</v>
      </c>
      <c r="G74" s="176"/>
      <c r="H74" s="176"/>
      <c r="I74" s="176"/>
    </row>
    <row r="75" spans="1:9" x14ac:dyDescent="0.15">
      <c r="A75" s="176" t="s">
        <v>28</v>
      </c>
      <c r="B75" s="176" t="s">
        <v>264</v>
      </c>
      <c r="C75" s="176" t="s">
        <v>265</v>
      </c>
      <c r="D75" s="176"/>
      <c r="E75" s="176"/>
      <c r="F75" s="176" t="s">
        <v>32</v>
      </c>
      <c r="G75" s="176"/>
      <c r="H75" s="176" t="s">
        <v>266</v>
      </c>
      <c r="I75" s="176"/>
    </row>
    <row r="76" spans="1:9" x14ac:dyDescent="0.15">
      <c r="A76" s="176" t="s">
        <v>49</v>
      </c>
      <c r="B76" s="176" t="s">
        <v>267</v>
      </c>
      <c r="C76" s="176" t="s">
        <v>268</v>
      </c>
      <c r="D76" s="176"/>
      <c r="E76" s="176" t="s">
        <v>269</v>
      </c>
      <c r="F76" s="176" t="s">
        <v>46</v>
      </c>
      <c r="G76" s="176" t="s">
        <v>59</v>
      </c>
      <c r="H76" s="176" t="s">
        <v>196</v>
      </c>
      <c r="I76" s="176"/>
    </row>
    <row r="77" spans="1:9" x14ac:dyDescent="0.15">
      <c r="A77" s="176" t="s">
        <v>49</v>
      </c>
      <c r="B77" s="176" t="s">
        <v>270</v>
      </c>
      <c r="C77" s="176" t="s">
        <v>271</v>
      </c>
      <c r="D77" s="176"/>
      <c r="E77" s="176" t="s">
        <v>272</v>
      </c>
      <c r="F77" s="176" t="s">
        <v>46</v>
      </c>
      <c r="G77" s="176" t="s">
        <v>86</v>
      </c>
      <c r="H77" s="176" t="s">
        <v>196</v>
      </c>
      <c r="I77" s="176"/>
    </row>
    <row r="78" spans="1:9" x14ac:dyDescent="0.15">
      <c r="A78" s="176" t="s">
        <v>44</v>
      </c>
      <c r="B78" s="176" t="s">
        <v>273</v>
      </c>
      <c r="C78" s="176" t="s">
        <v>274</v>
      </c>
      <c r="D78" s="176"/>
      <c r="E78" s="176" t="s">
        <v>275</v>
      </c>
      <c r="F78" s="176" t="s">
        <v>38</v>
      </c>
      <c r="G78" s="176" t="s">
        <v>149</v>
      </c>
      <c r="H78" s="176" t="s">
        <v>276</v>
      </c>
      <c r="I78" s="176" t="s">
        <v>151</v>
      </c>
    </row>
    <row r="79" spans="1:9" x14ac:dyDescent="0.15">
      <c r="A79" s="176" t="s">
        <v>277</v>
      </c>
      <c r="B79" s="176" t="s">
        <v>278</v>
      </c>
      <c r="C79" s="176" t="s">
        <v>279</v>
      </c>
      <c r="D79" s="176"/>
      <c r="E79" s="176" t="s">
        <v>280</v>
      </c>
      <c r="F79" s="176" t="s">
        <v>85</v>
      </c>
      <c r="G79" s="176" t="s">
        <v>59</v>
      </c>
      <c r="H79" s="176"/>
      <c r="I79" s="176"/>
    </row>
    <row r="80" spans="1:9" x14ac:dyDescent="0.15">
      <c r="A80" s="176" t="s">
        <v>44</v>
      </c>
      <c r="B80" s="176" t="s">
        <v>281</v>
      </c>
      <c r="C80" s="176"/>
      <c r="D80" s="176"/>
      <c r="E80" s="176" t="s">
        <v>282</v>
      </c>
      <c r="F80" s="176" t="s">
        <v>38</v>
      </c>
      <c r="G80" s="176" t="s">
        <v>149</v>
      </c>
      <c r="H80" s="176" t="s">
        <v>283</v>
      </c>
      <c r="I80" s="176"/>
    </row>
    <row r="81" spans="1:10" x14ac:dyDescent="0.15">
      <c r="A81" s="176" t="s">
        <v>44</v>
      </c>
      <c r="B81" s="176" t="s">
        <v>284</v>
      </c>
      <c r="C81" s="176"/>
      <c r="D81" s="176"/>
      <c r="E81" s="176" t="s">
        <v>285</v>
      </c>
      <c r="F81" s="176" t="s">
        <v>85</v>
      </c>
      <c r="G81" s="176" t="s">
        <v>86</v>
      </c>
      <c r="H81" s="176" t="s">
        <v>286</v>
      </c>
      <c r="I81" s="176"/>
      <c r="J81" s="176"/>
    </row>
    <row r="82" spans="1:10" x14ac:dyDescent="0.15">
      <c r="A82" s="176" t="s">
        <v>44</v>
      </c>
      <c r="B82" s="176" t="s">
        <v>287</v>
      </c>
      <c r="C82" s="176"/>
      <c r="D82" s="176"/>
      <c r="E82" s="176" t="s">
        <v>288</v>
      </c>
      <c r="F82" s="176" t="s">
        <v>85</v>
      </c>
      <c r="G82" s="176" t="s">
        <v>59</v>
      </c>
      <c r="H82" s="176" t="s">
        <v>289</v>
      </c>
      <c r="I82" s="176"/>
      <c r="J82" s="176"/>
    </row>
    <row r="83" spans="1:10" x14ac:dyDescent="0.15">
      <c r="A83" s="176" t="s">
        <v>44</v>
      </c>
      <c r="B83" s="176" t="s">
        <v>290</v>
      </c>
      <c r="C83" s="176"/>
      <c r="D83" s="176"/>
      <c r="E83" s="176" t="s">
        <v>291</v>
      </c>
      <c r="F83" s="176" t="s">
        <v>85</v>
      </c>
      <c r="G83" s="176" t="s">
        <v>59</v>
      </c>
      <c r="H83" s="176" t="s">
        <v>289</v>
      </c>
      <c r="I83" s="176"/>
      <c r="J83" s="176"/>
    </row>
    <row r="87" spans="1:10" x14ac:dyDescent="0.15">
      <c r="A87" s="185" t="s">
        <v>292</v>
      </c>
      <c r="B87" s="185"/>
      <c r="C87" s="185"/>
      <c r="D87" s="185"/>
      <c r="E87" s="185"/>
      <c r="F87" s="185"/>
      <c r="G87" s="185"/>
      <c r="H87" s="185"/>
      <c r="I87" s="185"/>
      <c r="J87" s="185"/>
    </row>
    <row r="88" spans="1:10" x14ac:dyDescent="0.15">
      <c r="A88" s="176"/>
      <c r="B88" s="176"/>
      <c r="C88" s="176" t="s">
        <v>293</v>
      </c>
      <c r="D88" s="176"/>
      <c r="E88" s="176"/>
      <c r="F88" s="176"/>
      <c r="G88" s="176"/>
      <c r="H88" s="176"/>
      <c r="I88" s="176"/>
      <c r="J88" s="176"/>
    </row>
    <row r="90" spans="1:10" x14ac:dyDescent="0.15">
      <c r="A90" s="176"/>
      <c r="B90" s="176"/>
      <c r="C90" s="176" t="s">
        <v>294</v>
      </c>
      <c r="D90" s="176"/>
      <c r="E90" s="176"/>
      <c r="F90" s="176"/>
      <c r="G90" s="176"/>
      <c r="H90" s="176"/>
      <c r="I90" s="176"/>
      <c r="J90" s="176"/>
    </row>
    <row r="91" spans="1:10" x14ac:dyDescent="0.15">
      <c r="A91" s="176"/>
      <c r="B91" s="176"/>
      <c r="C91" s="176" t="s">
        <v>295</v>
      </c>
      <c r="D91" s="176"/>
      <c r="E91" s="176"/>
      <c r="F91" s="176"/>
      <c r="G91" s="176"/>
      <c r="H91" s="176"/>
      <c r="I91" s="176"/>
      <c r="J91" s="176"/>
    </row>
    <row r="92" spans="1:10" x14ac:dyDescent="0.15">
      <c r="A92" s="176"/>
      <c r="B92" s="176"/>
      <c r="C92" s="176" t="s">
        <v>296</v>
      </c>
      <c r="D92" s="176"/>
      <c r="E92" s="176"/>
      <c r="F92" s="176"/>
      <c r="G92" s="176"/>
      <c r="H92" s="176"/>
      <c r="I92" s="176"/>
      <c r="J92" s="176"/>
    </row>
    <row r="94" spans="1:10" x14ac:dyDescent="0.15">
      <c r="A94" s="176"/>
      <c r="B94" s="176"/>
      <c r="C94" s="176" t="s">
        <v>297</v>
      </c>
      <c r="D94" s="176"/>
      <c r="E94" s="176"/>
      <c r="F94" s="176"/>
      <c r="G94" s="176"/>
      <c r="H94" s="176"/>
      <c r="I94" s="176"/>
      <c r="J94" s="176"/>
    </row>
    <row r="95" spans="1:10" x14ac:dyDescent="0.15">
      <c r="A95" s="176"/>
      <c r="B95" s="176"/>
      <c r="C95" s="176" t="s">
        <v>298</v>
      </c>
      <c r="D95" s="176"/>
      <c r="E95" s="176"/>
      <c r="F95" s="176"/>
      <c r="G95" s="176"/>
      <c r="H95" s="176"/>
      <c r="I95" s="176"/>
      <c r="J95" s="176"/>
    </row>
    <row r="96" spans="1:10" x14ac:dyDescent="0.15">
      <c r="A96" s="176"/>
      <c r="B96" s="176"/>
      <c r="C96" s="176" t="s">
        <v>299</v>
      </c>
      <c r="D96" s="176"/>
      <c r="E96" s="176"/>
      <c r="F96" s="176"/>
      <c r="G96" s="176"/>
      <c r="H96" s="176"/>
      <c r="I96" s="176"/>
      <c r="J96" s="176"/>
    </row>
    <row r="97" spans="1:11" x14ac:dyDescent="0.15">
      <c r="A97" s="176"/>
      <c r="B97" s="176"/>
      <c r="C97" s="176" t="s">
        <v>300</v>
      </c>
      <c r="D97" s="176"/>
      <c r="E97" s="176"/>
      <c r="F97" s="176"/>
      <c r="G97" s="176"/>
      <c r="H97" s="176"/>
      <c r="I97" s="176"/>
      <c r="J97" s="176"/>
      <c r="K97" s="176"/>
    </row>
    <row r="99" spans="1:11" x14ac:dyDescent="0.15">
      <c r="A99" s="176" t="s">
        <v>301</v>
      </c>
      <c r="B99" s="176"/>
      <c r="C99" s="176"/>
      <c r="D99" s="176"/>
      <c r="E99" s="176"/>
      <c r="F99" s="176"/>
      <c r="G99" s="176"/>
      <c r="H99" s="176"/>
      <c r="I99" s="176"/>
      <c r="J99" s="176" t="s">
        <v>302</v>
      </c>
      <c r="K99" s="176" t="s">
        <v>303</v>
      </c>
    </row>
    <row r="100" spans="1:11" x14ac:dyDescent="0.15">
      <c r="A100" s="176" t="s">
        <v>304</v>
      </c>
      <c r="B100" s="176"/>
      <c r="C100" s="176" t="s">
        <v>305</v>
      </c>
      <c r="D100" s="176"/>
      <c r="E100" s="176"/>
      <c r="F100" s="176"/>
      <c r="G100" s="176"/>
      <c r="H100" s="176" t="s">
        <v>306</v>
      </c>
      <c r="I100" s="176"/>
      <c r="J100" s="176" t="s">
        <v>44</v>
      </c>
      <c r="K100" s="176" t="s">
        <v>307</v>
      </c>
    </row>
    <row r="101" spans="1:11" x14ac:dyDescent="0.15">
      <c r="A101" s="176" t="s">
        <v>308</v>
      </c>
      <c r="B101" s="176"/>
      <c r="C101" s="176"/>
      <c r="D101" s="176"/>
      <c r="E101" s="176"/>
      <c r="F101" s="176"/>
      <c r="G101" s="176"/>
      <c r="H101" s="176"/>
      <c r="I101" s="176" t="s">
        <v>49</v>
      </c>
      <c r="J101" s="176" t="s">
        <v>309</v>
      </c>
      <c r="K101" s="176"/>
    </row>
    <row r="102" spans="1:11" x14ac:dyDescent="0.15">
      <c r="A102" s="176" t="s">
        <v>310</v>
      </c>
      <c r="B102" s="176"/>
      <c r="C102" s="176"/>
      <c r="D102" s="176"/>
      <c r="E102" s="176"/>
      <c r="F102" s="176"/>
      <c r="G102" s="176"/>
      <c r="H102" s="176"/>
      <c r="I102" s="176" t="s">
        <v>81</v>
      </c>
      <c r="J102" s="176" t="s">
        <v>311</v>
      </c>
      <c r="K102" s="176"/>
    </row>
    <row r="104" spans="1:11" x14ac:dyDescent="0.15">
      <c r="A104" s="176"/>
      <c r="B104" s="176"/>
      <c r="C104" s="176" t="s">
        <v>312</v>
      </c>
      <c r="D104" s="176"/>
      <c r="E104" s="176"/>
      <c r="F104" s="176"/>
      <c r="G104" s="176"/>
      <c r="H104" s="176"/>
      <c r="I104" s="176"/>
      <c r="J104" s="176"/>
      <c r="K104" s="176" t="s">
        <v>313</v>
      </c>
    </row>
    <row r="105" spans="1:11" x14ac:dyDescent="0.15">
      <c r="A105" s="176"/>
      <c r="B105" s="176"/>
      <c r="C105" s="176"/>
      <c r="D105" s="176"/>
      <c r="E105" s="176"/>
      <c r="F105" s="176"/>
      <c r="G105" s="176"/>
      <c r="H105" s="176"/>
      <c r="I105" s="176"/>
      <c r="J105" s="176"/>
      <c r="K105" s="176" t="s">
        <v>314</v>
      </c>
    </row>
    <row r="106" spans="1:11" x14ac:dyDescent="0.15">
      <c r="A106" s="176" t="s">
        <v>315</v>
      </c>
      <c r="B106" s="176"/>
      <c r="C106" s="176" t="s">
        <v>316</v>
      </c>
      <c r="D106" s="176"/>
      <c r="E106" s="176"/>
      <c r="F106" s="176"/>
      <c r="G106" s="176"/>
      <c r="H106" s="176"/>
      <c r="I106" s="176"/>
      <c r="J106" s="176"/>
      <c r="K106" s="176"/>
    </row>
    <row r="107" spans="1:11" x14ac:dyDescent="0.15">
      <c r="A107" s="176" t="s">
        <v>317</v>
      </c>
      <c r="B107" s="176"/>
      <c r="C107" s="176"/>
      <c r="D107" s="176"/>
      <c r="E107" s="176"/>
      <c r="F107" s="176"/>
      <c r="G107" s="176"/>
      <c r="H107" s="176"/>
      <c r="I107" s="176"/>
      <c r="J107" s="176"/>
      <c r="K107" s="176"/>
    </row>
    <row r="108" spans="1:11" x14ac:dyDescent="0.15">
      <c r="A108" s="176" t="s">
        <v>318</v>
      </c>
      <c r="B108" s="176"/>
      <c r="C108" s="176"/>
      <c r="D108" s="176"/>
      <c r="E108" s="176"/>
      <c r="F108" s="176"/>
      <c r="G108" s="176"/>
      <c r="H108" s="176"/>
      <c r="I108" s="176"/>
      <c r="J108" s="176"/>
      <c r="K108" s="176"/>
    </row>
    <row r="109" spans="1:11" x14ac:dyDescent="0.15">
      <c r="A109" s="176" t="s">
        <v>319</v>
      </c>
      <c r="B109" s="176"/>
      <c r="C109" s="176"/>
      <c r="D109" s="176"/>
      <c r="E109" s="176"/>
      <c r="F109" s="176"/>
      <c r="G109" s="176"/>
      <c r="H109" s="176"/>
      <c r="I109" s="176"/>
      <c r="J109" s="176"/>
      <c r="K109" s="176"/>
    </row>
    <row r="110" spans="1:11" x14ac:dyDescent="0.15">
      <c r="A110" s="176" t="s">
        <v>320</v>
      </c>
      <c r="B110" s="176"/>
      <c r="C110" s="176"/>
      <c r="D110" s="176"/>
      <c r="E110" s="176"/>
      <c r="F110" s="176"/>
      <c r="G110" s="176"/>
      <c r="H110" s="176"/>
      <c r="I110" s="176"/>
      <c r="J110" s="176"/>
      <c r="K110" s="176"/>
    </row>
    <row r="111" spans="1:11" x14ac:dyDescent="0.15">
      <c r="A111" s="176" t="s">
        <v>321</v>
      </c>
      <c r="B111" s="176"/>
      <c r="C111" s="176"/>
      <c r="D111" s="176"/>
      <c r="E111" s="176"/>
      <c r="F111" s="176"/>
      <c r="G111" s="176"/>
      <c r="H111" s="176"/>
      <c r="I111" s="176"/>
      <c r="J111" s="176"/>
      <c r="K111" s="176"/>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6"/>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322</v>
      </c>
      <c r="C2" s="23" t="s">
        <v>23</v>
      </c>
      <c r="D2" s="23" t="s">
        <v>17</v>
      </c>
      <c r="E2" s="23" t="s">
        <v>19</v>
      </c>
      <c r="F2" s="23" t="s">
        <v>323</v>
      </c>
      <c r="G2" s="23" t="s">
        <v>324</v>
      </c>
      <c r="H2" s="23" t="s">
        <v>325</v>
      </c>
      <c r="I2" s="23" t="s">
        <v>326</v>
      </c>
      <c r="J2" s="23" t="s">
        <v>18</v>
      </c>
      <c r="K2" s="24" t="s">
        <v>327</v>
      </c>
      <c r="L2" s="25" t="s">
        <v>328</v>
      </c>
      <c r="M2" s="23" t="s">
        <v>329</v>
      </c>
      <c r="N2" s="23" t="s">
        <v>330</v>
      </c>
      <c r="O2" s="23" t="s">
        <v>331</v>
      </c>
      <c r="AH2" s="26"/>
    </row>
    <row r="3" spans="1:257" x14ac:dyDescent="0.15">
      <c r="A3" s="125"/>
      <c r="B3" s="121">
        <v>45926</v>
      </c>
      <c r="C3" s="27" t="s">
        <v>332</v>
      </c>
      <c r="D3" s="27" t="str">
        <f>IFERROR(VLOOKUP($C3,烤漆色號編碼!$A:$C,2,FALSE),"-")</f>
        <v>-</v>
      </c>
      <c r="E3" s="27" t="str">
        <f>IFERROR(VLOOKUP($C3,當前庫存!$C:$I,5,FALSE),"-")</f>
        <v>-</v>
      </c>
      <c r="F3" s="28"/>
      <c r="G3" s="28"/>
      <c r="H3" s="27" t="str">
        <f>IFERROR(VLOOKUP($C3,烤漆色號編碼!$A:$D,4,FALSE)*表格2[[#This Row],[出]]+表格2[[#This Row],[散粉]],"-")</f>
        <v>-</v>
      </c>
      <c r="I3" s="29"/>
      <c r="J3" s="30" t="str">
        <f>IFERROR(表格2[[#This Row],[重量(Kg)]]-表格2[[#This Row],[回庫]],"-")</f>
        <v>-</v>
      </c>
      <c r="K3" s="31"/>
      <c r="L3" s="32"/>
      <c r="M3" s="33"/>
      <c r="N3" s="27"/>
      <c r="O3" s="27"/>
    </row>
    <row r="4" spans="1:257" x14ac:dyDescent="0.15">
      <c r="A4" s="125"/>
      <c r="B4" s="121">
        <v>45927</v>
      </c>
      <c r="C4" s="27" t="s">
        <v>333</v>
      </c>
      <c r="D4" s="27" t="str">
        <f>IFERROR(VLOOKUP($C4,烤漆色號編碼!$A:$C,2,FALSE),"-")</f>
        <v>-</v>
      </c>
      <c r="E4" s="27" t="str">
        <f>IFERROR(VLOOKUP($C4,當前庫存!$C:$I,5,FALSE),"-")</f>
        <v>-</v>
      </c>
      <c r="F4" s="28"/>
      <c r="G4" s="28"/>
      <c r="H4" s="27" t="str">
        <f>IFERROR(VLOOKUP($C4,烤漆色號編碼!$A:$D,4,FALSE)*表格2[[#This Row],[出]]+表格2[[#This Row],[散粉]],"-")</f>
        <v>-</v>
      </c>
      <c r="I4" s="29"/>
      <c r="J4" s="30" t="str">
        <f>IFERROR(表格2[[#This Row],[重量(Kg)]]-表格2[[#This Row],[回庫]],"-")</f>
        <v>-</v>
      </c>
      <c r="K4" s="31"/>
      <c r="L4" s="32"/>
      <c r="M4" s="33"/>
      <c r="N4" s="27"/>
      <c r="O4" s="27"/>
    </row>
    <row r="5" spans="1:257" x14ac:dyDescent="0.15">
      <c r="A5" s="125"/>
      <c r="B5" s="121">
        <v>45928</v>
      </c>
      <c r="C5" s="27" t="s">
        <v>333</v>
      </c>
      <c r="D5" s="27" t="str">
        <f>IFERROR(VLOOKUP($C5,烤漆色號編碼!$A:$C,2,FALSE),"-")</f>
        <v>-</v>
      </c>
      <c r="E5" s="27" t="str">
        <f>IFERROR(VLOOKUP($C5,當前庫存!$C:$I,5,FALSE),"-")</f>
        <v>-</v>
      </c>
      <c r="F5" s="28"/>
      <c r="G5" s="28"/>
      <c r="H5" s="27" t="str">
        <f>IFERROR(VLOOKUP($C5,烤漆色號編碼!$A:$D,4,FALSE)*表格2[[#This Row],[出]]+表格2[[#This Row],[散粉]],"-")</f>
        <v>-</v>
      </c>
      <c r="I5" s="29"/>
      <c r="J5" s="30" t="str">
        <f>IFERROR(表格2[[#This Row],[重量(Kg)]]-表格2[[#This Row],[回庫]],"-")</f>
        <v>-</v>
      </c>
      <c r="K5" s="31"/>
      <c r="L5" s="32"/>
      <c r="M5" s="33"/>
      <c r="N5" s="27"/>
      <c r="O5" s="27"/>
    </row>
    <row r="6" spans="1:257" x14ac:dyDescent="0.15">
      <c r="A6" s="125"/>
      <c r="B6" s="121">
        <v>45929</v>
      </c>
      <c r="C6" s="27" t="s">
        <v>334</v>
      </c>
      <c r="D6" s="27" t="str">
        <f>IFERROR(VLOOKUP($C6,烤漆色號編碼!$A:$C,2,FALSE),"-")</f>
        <v>-</v>
      </c>
      <c r="E6" s="27" t="str">
        <f>IFERROR(VLOOKUP($C6,當前庫存!$C:$I,5,FALSE),"-")</f>
        <v>-</v>
      </c>
      <c r="F6" s="28"/>
      <c r="G6" s="28"/>
      <c r="H6" s="27" t="str">
        <f>IFERROR(VLOOKUP($C6,烤漆色號編碼!$A:$D,4,FALSE)*表格2[[#This Row],[出]]+表格2[[#This Row],[散粉]],"-")</f>
        <v>-</v>
      </c>
      <c r="I6" s="29"/>
      <c r="J6" s="30" t="str">
        <f>IFERROR(表格2[[#This Row],[重量(Kg)]]-表格2[[#This Row],[回庫]],"-")</f>
        <v>-</v>
      </c>
      <c r="K6" s="31"/>
      <c r="L6" s="32"/>
      <c r="M6" s="33"/>
      <c r="N6" s="27"/>
      <c r="O6" s="27"/>
    </row>
    <row r="7" spans="1:257" x14ac:dyDescent="0.15">
      <c r="A7" s="125"/>
      <c r="B7" s="121">
        <v>45930</v>
      </c>
      <c r="C7" s="27" t="s">
        <v>138</v>
      </c>
      <c r="D7" s="27" t="str">
        <f>IFERROR(VLOOKUP($C7,烤漆色號編碼!$A:$C,2,FALSE),"-")</f>
        <v>BK</v>
      </c>
      <c r="E7" s="27">
        <f>IFERROR(VLOOKUP($C7,當前庫存!$C:$I,5,FALSE),"-")</f>
        <v>4</v>
      </c>
      <c r="F7" s="28"/>
      <c r="G7" s="28">
        <v>16</v>
      </c>
      <c r="H7" s="27">
        <f>IFERROR(VLOOKUP($C7,烤漆色號編碼!$A:$D,4,FALSE)*表格2[[#This Row],[出]]+表格2[[#This Row],[散粉]],"-")</f>
        <v>16</v>
      </c>
      <c r="I7" s="29">
        <v>5</v>
      </c>
      <c r="J7" s="30">
        <f>IFERROR(表格2[[#This Row],[重量(Kg)]]-表格2[[#This Row],[回庫]],"-")</f>
        <v>11</v>
      </c>
      <c r="K7" s="31"/>
      <c r="L7" s="32"/>
      <c r="M7" s="33"/>
      <c r="N7" s="27"/>
      <c r="O7" s="27"/>
    </row>
    <row r="8" spans="1:257" x14ac:dyDescent="0.15">
      <c r="A8" s="125"/>
      <c r="B8" s="121">
        <v>45930</v>
      </c>
      <c r="C8" s="27" t="s">
        <v>335</v>
      </c>
      <c r="D8" s="27" t="str">
        <f>IFERROR(VLOOKUP($C8,烤漆色號編碼!$A:$C,2,FALSE),"-")</f>
        <v>EBK</v>
      </c>
      <c r="E8" s="27">
        <f>IFERROR(VLOOKUP($C8,當前庫存!$C:$I,5,FALSE),"-")</f>
        <v>3</v>
      </c>
      <c r="F8" s="28"/>
      <c r="G8" s="28">
        <v>12</v>
      </c>
      <c r="H8" s="27">
        <f>IFERROR(VLOOKUP($C8,烤漆色號編碼!$A:$D,4,FALSE)*表格2[[#This Row],[出]]+表格2[[#This Row],[散粉]],"-")</f>
        <v>12</v>
      </c>
      <c r="I8" s="29">
        <v>10</v>
      </c>
      <c r="J8" s="30">
        <f>IFERROR(表格2[[#This Row],[重量(Kg)]]-表格2[[#This Row],[回庫]],"-")</f>
        <v>2</v>
      </c>
      <c r="K8" s="31"/>
      <c r="L8" s="32"/>
      <c r="M8" s="33"/>
      <c r="N8" s="27"/>
      <c r="O8" s="27"/>
    </row>
    <row r="9" spans="1:257" x14ac:dyDescent="0.15">
      <c r="A9" s="125"/>
      <c r="B9" s="121">
        <v>45930</v>
      </c>
      <c r="C9" s="27" t="s">
        <v>336</v>
      </c>
      <c r="D9" s="27" t="str">
        <f>IFERROR(VLOOKUP($C9,烤漆色號編碼!$A:$C,2,FALSE),"-")</f>
        <v>WE2</v>
      </c>
      <c r="E9" s="27">
        <f>IFERROR(VLOOKUP($C9,當前庫存!$C:$I,5,FALSE),"-")</f>
        <v>26</v>
      </c>
      <c r="F9" s="28">
        <v>4</v>
      </c>
      <c r="G9" s="28">
        <v>6</v>
      </c>
      <c r="H9" s="27">
        <f>IFERROR(VLOOKUP($C9,烤漆色號編碼!$A:$D,4,FALSE)*表格2[[#This Row],[出]]+表格2[[#This Row],[散粉]],"-")</f>
        <v>106</v>
      </c>
      <c r="I9" s="29">
        <v>6</v>
      </c>
      <c r="J9" s="30">
        <f>IFERROR(表格2[[#This Row],[重量(Kg)]]-表格2[[#This Row],[回庫]],"-")</f>
        <v>100</v>
      </c>
      <c r="K9" s="31"/>
      <c r="L9" s="32"/>
      <c r="M9" s="33"/>
      <c r="N9" s="27"/>
      <c r="O9" s="27"/>
    </row>
    <row r="10" spans="1:257" x14ac:dyDescent="0.15">
      <c r="A10" s="125"/>
      <c r="B10" s="121">
        <v>45930</v>
      </c>
      <c r="C10" s="27" t="s">
        <v>337</v>
      </c>
      <c r="D10" s="27" t="str">
        <f>IFERROR(VLOOKUP($C10,烤漆色號編碼!$A:$C,2,FALSE),"-")</f>
        <v>-</v>
      </c>
      <c r="E10" s="27" t="str">
        <f>IFERROR(VLOOKUP($C10,當前庫存!$C:$I,5,FALSE),"-")</f>
        <v>-</v>
      </c>
      <c r="F10" s="28">
        <v>1</v>
      </c>
      <c r="G10" s="28"/>
      <c r="H10" s="27">
        <f>IFERROR(VLOOKUP($C10,烤漆色號編碼!$A:$D,4,FALSE)*表格2[[#This Row],[出]]+表格2[[#This Row],[散粉]],"-")</f>
        <v>25</v>
      </c>
      <c r="I10" s="29"/>
      <c r="J10" s="30">
        <f>IFERROR(表格2[[#This Row],[重量(Kg)]]-表格2[[#This Row],[回庫]],"-")</f>
        <v>25</v>
      </c>
      <c r="K10" s="31"/>
      <c r="L10" s="32"/>
      <c r="M10" s="33"/>
      <c r="N10" s="27"/>
      <c r="O10" s="27"/>
    </row>
    <row r="11" spans="1:257" x14ac:dyDescent="0.15">
      <c r="A11" s="125"/>
      <c r="B11" s="121">
        <v>45931</v>
      </c>
      <c r="C11" s="27" t="s">
        <v>138</v>
      </c>
      <c r="D11" s="27" t="str">
        <f>IFERROR(VLOOKUP($C11,烤漆色號編碼!$A:$C,2,FALSE),"-")</f>
        <v>BK</v>
      </c>
      <c r="E11" s="27">
        <f>IFERROR(VLOOKUP($C11,當前庫存!$C:$I,5,FALSE),"-")</f>
        <v>4</v>
      </c>
      <c r="F11" s="28">
        <v>1</v>
      </c>
      <c r="G11" s="28">
        <v>5</v>
      </c>
      <c r="H11" s="27">
        <f>IFERROR(VLOOKUP($C11,烤漆色號編碼!$A:$D,4,FALSE)*表格2[[#This Row],[出]]+表格2[[#This Row],[散粉]],"-")</f>
        <v>30</v>
      </c>
      <c r="I11" s="29">
        <v>16</v>
      </c>
      <c r="J11" s="30">
        <f>IFERROR(表格2[[#This Row],[重量(Kg)]]-表格2[[#This Row],[回庫]],"-")</f>
        <v>14</v>
      </c>
      <c r="K11" s="31"/>
      <c r="L11" s="32"/>
      <c r="M11" s="33"/>
      <c r="N11" s="27"/>
      <c r="O11" s="27"/>
    </row>
    <row r="12" spans="1:257" x14ac:dyDescent="0.15">
      <c r="A12" s="125"/>
      <c r="B12" s="121">
        <v>45931</v>
      </c>
      <c r="C12" s="27" t="s">
        <v>335</v>
      </c>
      <c r="D12" s="27" t="str">
        <f>IFERROR(VLOOKUP($C12,烤漆色號編碼!$A:$C,2,FALSE),"-")</f>
        <v>EBK</v>
      </c>
      <c r="E12" s="27">
        <f>IFERROR(VLOOKUP($C12,當前庫存!$C:$I,5,FALSE),"-")</f>
        <v>3</v>
      </c>
      <c r="F12" s="28"/>
      <c r="G12" s="28">
        <v>10</v>
      </c>
      <c r="H12" s="27">
        <f>IFERROR(VLOOKUP($C12,烤漆色號編碼!$A:$D,4,FALSE)*表格2[[#This Row],[出]]+表格2[[#This Row],[散粉]],"-")</f>
        <v>10</v>
      </c>
      <c r="I12" s="29">
        <v>9</v>
      </c>
      <c r="J12" s="30">
        <f>IFERROR(表格2[[#This Row],[重量(Kg)]]-表格2[[#This Row],[回庫]],"-")</f>
        <v>1</v>
      </c>
      <c r="K12" s="31"/>
      <c r="L12" s="32"/>
      <c r="M12" s="33"/>
      <c r="N12" s="27"/>
      <c r="O12" s="27"/>
    </row>
    <row r="13" spans="1:257" x14ac:dyDescent="0.15">
      <c r="A13" s="125"/>
      <c r="B13" s="121">
        <v>45931</v>
      </c>
      <c r="C13" s="27" t="s">
        <v>336</v>
      </c>
      <c r="D13" s="27" t="str">
        <f>IFERROR(VLOOKUP($C13,烤漆色號編碼!$A:$C,2,FALSE),"-")</f>
        <v>WE2</v>
      </c>
      <c r="E13" s="27">
        <f>IFERROR(VLOOKUP($C13,當前庫存!$C:$I,5,FALSE),"-")</f>
        <v>26</v>
      </c>
      <c r="F13" s="28">
        <v>4</v>
      </c>
      <c r="G13" s="28">
        <v>6</v>
      </c>
      <c r="H13" s="27">
        <f>IFERROR(VLOOKUP($C13,烤漆色號編碼!$A:$D,4,FALSE)*表格2[[#This Row],[出]]+表格2[[#This Row],[散粉]],"-")</f>
        <v>106</v>
      </c>
      <c r="I13" s="29">
        <v>5</v>
      </c>
      <c r="J13" s="30">
        <f>IFERROR(表格2[[#This Row],[重量(Kg)]]-表格2[[#This Row],[回庫]],"-")</f>
        <v>101</v>
      </c>
      <c r="K13" s="31"/>
      <c r="L13" s="32"/>
      <c r="M13" s="33"/>
      <c r="N13" s="27"/>
      <c r="O13" s="27"/>
    </row>
    <row r="14" spans="1:257" x14ac:dyDescent="0.15">
      <c r="A14" s="125"/>
      <c r="B14" s="121">
        <v>45931</v>
      </c>
      <c r="C14" s="27" t="s">
        <v>337</v>
      </c>
      <c r="D14" s="27" t="str">
        <f>IFERROR(VLOOKUP($C14,烤漆色號編碼!$A:$C,2,FALSE),"-")</f>
        <v>-</v>
      </c>
      <c r="E14" s="27" t="str">
        <f>IFERROR(VLOOKUP($C14,當前庫存!$C:$I,5,FALSE),"-")</f>
        <v>-</v>
      </c>
      <c r="F14" s="28">
        <v>2</v>
      </c>
      <c r="G14" s="28"/>
      <c r="H14" s="27">
        <f>IFERROR(VLOOKUP($C14,烤漆色號編碼!$A:$D,4,FALSE)*表格2[[#This Row],[出]]+表格2[[#This Row],[散粉]],"-")</f>
        <v>50</v>
      </c>
      <c r="I14" s="29"/>
      <c r="J14" s="30">
        <f>IFERROR(表格2[[#This Row],[重量(Kg)]]-表格2[[#This Row],[回庫]],"-")</f>
        <v>50</v>
      </c>
      <c r="K14" s="31"/>
      <c r="L14" s="32"/>
      <c r="M14" s="33"/>
      <c r="N14" s="27"/>
      <c r="O14" s="27"/>
    </row>
    <row r="15" spans="1:257" x14ac:dyDescent="0.15">
      <c r="A15" s="125"/>
      <c r="B15" s="121">
        <v>45932</v>
      </c>
      <c r="C15" s="27" t="s">
        <v>332</v>
      </c>
      <c r="D15" s="27" t="str">
        <f>IFERROR(VLOOKUP($C15,烤漆色號編碼!$A:$C,2,FALSE),"-")</f>
        <v>-</v>
      </c>
      <c r="E15" s="27" t="str">
        <f>IFERROR(VLOOKUP($C15,當前庫存!$C:$I,5,FALSE),"-")</f>
        <v>-</v>
      </c>
      <c r="F15" s="28"/>
      <c r="G15" s="28"/>
      <c r="H15" s="27" t="str">
        <f>IFERROR(VLOOKUP($C15,烤漆色號編碼!$A:$D,4,FALSE)*表格2[[#This Row],[出]]+表格2[[#This Row],[散粉]],"-")</f>
        <v>-</v>
      </c>
      <c r="I15" s="29"/>
      <c r="J15" s="30" t="str">
        <f>IFERROR(表格2[[#This Row],[重量(Kg)]]-表格2[[#This Row],[回庫]],"-")</f>
        <v>-</v>
      </c>
      <c r="K15" s="31"/>
      <c r="L15" s="32"/>
      <c r="M15" s="33"/>
      <c r="N15" s="27"/>
      <c r="O15" s="27"/>
    </row>
    <row r="16" spans="1:257" x14ac:dyDescent="0.15">
      <c r="A16" s="125"/>
      <c r="B16" s="121">
        <v>45933</v>
      </c>
      <c r="C16" s="27" t="s">
        <v>336</v>
      </c>
      <c r="D16" s="27" t="str">
        <f>IFERROR(VLOOKUP($C16,烤漆色號編碼!$A:$C,2,FALSE),"-")</f>
        <v>WE2</v>
      </c>
      <c r="E16" s="27">
        <f>IFERROR(VLOOKUP($C16,當前庫存!$C:$I,5,FALSE),"-")</f>
        <v>26</v>
      </c>
      <c r="F16" s="28">
        <v>2</v>
      </c>
      <c r="G16" s="28">
        <v>5</v>
      </c>
      <c r="H16" s="27">
        <f>IFERROR(VLOOKUP($C16,烤漆色號編碼!$A:$D,4,FALSE)*表格2[[#This Row],[出]]+表格2[[#This Row],[散粉]],"-")</f>
        <v>55</v>
      </c>
      <c r="I16" s="29">
        <f>17+8</f>
        <v>25</v>
      </c>
      <c r="J16" s="30">
        <f>IFERROR(表格2[[#This Row],[重量(Kg)]]-表格2[[#This Row],[回庫]],"-")</f>
        <v>30</v>
      </c>
      <c r="K16" s="31"/>
      <c r="L16" s="32"/>
      <c r="M16" s="33"/>
      <c r="N16" s="27"/>
      <c r="O16" s="27"/>
    </row>
    <row r="17" spans="1:15" x14ac:dyDescent="0.15">
      <c r="A17" s="125"/>
      <c r="B17" s="121">
        <v>45933</v>
      </c>
      <c r="C17" s="27" t="s">
        <v>138</v>
      </c>
      <c r="D17" s="27" t="str">
        <f>IFERROR(VLOOKUP($C17,烤漆色號編碼!$A:$C,2,FALSE),"-")</f>
        <v>BK</v>
      </c>
      <c r="E17" s="27">
        <f>IFERROR(VLOOKUP($C17,當前庫存!$C:$I,5,FALSE),"-")</f>
        <v>4</v>
      </c>
      <c r="F17" s="28">
        <v>1</v>
      </c>
      <c r="G17" s="28">
        <v>16</v>
      </c>
      <c r="H17" s="27">
        <f>IFERROR(VLOOKUP($C17,烤漆色號編碼!$A:$D,4,FALSE)*表格2[[#This Row],[出]]+表格2[[#This Row],[散粉]],"-")</f>
        <v>41</v>
      </c>
      <c r="I17" s="29">
        <v>27</v>
      </c>
      <c r="J17" s="30">
        <f>IFERROR(表格2[[#This Row],[重量(Kg)]]-表格2[[#This Row],[回庫]],"-")</f>
        <v>14</v>
      </c>
      <c r="K17" s="31"/>
      <c r="L17" s="32"/>
      <c r="M17" s="33"/>
      <c r="N17" s="27"/>
      <c r="O17" s="27"/>
    </row>
    <row r="18" spans="1:15" x14ac:dyDescent="0.15">
      <c r="A18" s="125"/>
      <c r="B18" s="121">
        <v>45933</v>
      </c>
      <c r="C18" s="27" t="s">
        <v>338</v>
      </c>
      <c r="D18" s="27" t="str">
        <f>IFERROR(VLOOKUP($C18,烤漆色號編碼!$A:$C,2,FALSE),"-")</f>
        <v>IGS</v>
      </c>
      <c r="E18" s="27">
        <f>IFERROR(VLOOKUP($C18,當前庫存!$C:$I,5,FALSE),"-")</f>
        <v>2</v>
      </c>
      <c r="F18" s="28">
        <v>3</v>
      </c>
      <c r="G18" s="28">
        <v>24</v>
      </c>
      <c r="H18" s="27">
        <f>IFERROR(VLOOKUP($C18,烤漆色號編碼!$A:$D,4,FALSE)*表格2[[#This Row],[出]]+表格2[[#This Row],[散粉]],"-")</f>
        <v>99</v>
      </c>
      <c r="I18" s="29">
        <f>19+6</f>
        <v>25</v>
      </c>
      <c r="J18" s="30">
        <f>IFERROR(表格2[[#This Row],[重量(Kg)]]-表格2[[#This Row],[回庫]],"-")</f>
        <v>74</v>
      </c>
      <c r="K18" s="31"/>
      <c r="L18" s="32"/>
      <c r="M18" s="33"/>
      <c r="N18" s="27"/>
      <c r="O18" s="27"/>
    </row>
    <row r="19" spans="1:15" x14ac:dyDescent="0.15">
      <c r="A19" s="125"/>
      <c r="B19" s="121">
        <v>45933</v>
      </c>
      <c r="C19" s="27" t="s">
        <v>337</v>
      </c>
      <c r="D19" s="27" t="str">
        <f>IFERROR(VLOOKUP($C19,烤漆色號編碼!$A:$C,2,FALSE),"-")</f>
        <v>-</v>
      </c>
      <c r="E19" s="27" t="str">
        <f>IFERROR(VLOOKUP($C19,當前庫存!$C:$I,5,FALSE),"-")</f>
        <v>-</v>
      </c>
      <c r="F19" s="28">
        <v>2</v>
      </c>
      <c r="G19" s="28"/>
      <c r="H19" s="27">
        <f>IFERROR(VLOOKUP($C19,烤漆色號編碼!$A:$D,4,FALSE)*表格2[[#This Row],[出]]+表格2[[#This Row],[散粉]],"-")</f>
        <v>50</v>
      </c>
      <c r="I19" s="29"/>
      <c r="J19" s="30">
        <f>IFERROR(表格2[[#This Row],[重量(Kg)]]-表格2[[#This Row],[回庫]],"-")</f>
        <v>50</v>
      </c>
      <c r="K19" s="31"/>
      <c r="L19" s="32"/>
      <c r="M19" s="33"/>
      <c r="N19" s="27"/>
      <c r="O19" s="27"/>
    </row>
    <row r="20" spans="1:15" x14ac:dyDescent="0.15">
      <c r="A20" s="125"/>
      <c r="B20" s="121">
        <v>45934</v>
      </c>
      <c r="C20" s="27" t="s">
        <v>333</v>
      </c>
      <c r="D20" s="27" t="str">
        <f>IFERROR(VLOOKUP($C20,烤漆色號編碼!$A:$C,2,FALSE),"-")</f>
        <v>-</v>
      </c>
      <c r="E20" s="27" t="str">
        <f>IFERROR(VLOOKUP($C20,當前庫存!$C:$I,5,FALSE),"-")</f>
        <v>-</v>
      </c>
      <c r="F20" s="28"/>
      <c r="G20" s="28"/>
      <c r="H20" s="27" t="str">
        <f>IFERROR(VLOOKUP($C20,烤漆色號編碼!$A:$D,4,FALSE)*表格2[[#This Row],[出]]+表格2[[#This Row],[散粉]],"-")</f>
        <v>-</v>
      </c>
      <c r="I20" s="29"/>
      <c r="J20" s="30" t="str">
        <f>IFERROR(表格2[[#This Row],[重量(Kg)]]-表格2[[#This Row],[回庫]],"-")</f>
        <v>-</v>
      </c>
      <c r="K20" s="31"/>
      <c r="L20" s="32"/>
      <c r="M20" s="33"/>
      <c r="N20" s="27"/>
      <c r="O20" s="27"/>
    </row>
    <row r="21" spans="1:15" x14ac:dyDescent="0.15">
      <c r="A21" s="125"/>
      <c r="B21" s="121">
        <v>45935</v>
      </c>
      <c r="C21" s="27" t="s">
        <v>333</v>
      </c>
      <c r="D21" s="27" t="str">
        <f>IFERROR(VLOOKUP($C21,烤漆色號編碼!$A:$C,2,FALSE),"-")</f>
        <v>-</v>
      </c>
      <c r="E21" s="27" t="str">
        <f>IFERROR(VLOOKUP($C21,當前庫存!$C:$I,5,FALSE),"-")</f>
        <v>-</v>
      </c>
      <c r="F21" s="28"/>
      <c r="G21" s="28"/>
      <c r="H21" s="27" t="str">
        <f>IFERROR(VLOOKUP($C21,烤漆色號編碼!$A:$D,4,FALSE)*表格2[[#This Row],[出]]+表格2[[#This Row],[散粉]],"-")</f>
        <v>-</v>
      </c>
      <c r="I21" s="29"/>
      <c r="J21" s="30" t="str">
        <f>IFERROR(表格2[[#This Row],[重量(Kg)]]-表格2[[#This Row],[回庫]],"-")</f>
        <v>-</v>
      </c>
      <c r="K21" s="31"/>
      <c r="L21" s="32"/>
      <c r="M21" s="33"/>
      <c r="N21" s="27"/>
      <c r="O21" s="27"/>
    </row>
    <row r="22" spans="1:15" x14ac:dyDescent="0.15">
      <c r="A22" s="125"/>
      <c r="B22" s="121">
        <v>45936</v>
      </c>
      <c r="C22" s="27" t="s">
        <v>334</v>
      </c>
      <c r="D22" s="27" t="str">
        <f>IFERROR(VLOOKUP($C22,烤漆色號編碼!$A:$C,2,FALSE),"-")</f>
        <v>-</v>
      </c>
      <c r="E22" s="27" t="str">
        <f>IFERROR(VLOOKUP($C22,當前庫存!$C:$I,5,FALSE),"-")</f>
        <v>-</v>
      </c>
      <c r="F22" s="28"/>
      <c r="G22" s="28"/>
      <c r="H22" s="27" t="str">
        <f>IFERROR(VLOOKUP($C22,烤漆色號編碼!$A:$D,4,FALSE)*表格2[[#This Row],[出]]+表格2[[#This Row],[散粉]],"-")</f>
        <v>-</v>
      </c>
      <c r="I22" s="29"/>
      <c r="J22" s="30" t="str">
        <f>IFERROR(表格2[[#This Row],[重量(Kg)]]-表格2[[#This Row],[回庫]],"-")</f>
        <v>-</v>
      </c>
      <c r="K22" s="31"/>
      <c r="L22" s="32"/>
      <c r="M22" s="33"/>
      <c r="N22" s="27"/>
      <c r="O22" s="27"/>
    </row>
    <row r="23" spans="1:15" x14ac:dyDescent="0.15">
      <c r="A23" s="125"/>
      <c r="B23" s="121">
        <v>45937</v>
      </c>
      <c r="C23" s="27" t="s">
        <v>338</v>
      </c>
      <c r="D23" s="27" t="str">
        <f>IFERROR(VLOOKUP($C23,烤漆色號編碼!$A:$C,2,FALSE),"-")</f>
        <v>IGS</v>
      </c>
      <c r="E23" s="27">
        <f>IFERROR(VLOOKUP($C23,當前庫存!$C:$I,5,FALSE),"-")</f>
        <v>2</v>
      </c>
      <c r="F23" s="28"/>
      <c r="G23" s="28">
        <f>19+6</f>
        <v>25</v>
      </c>
      <c r="H23" s="27">
        <f>IFERROR(VLOOKUP($C23,烤漆色號編碼!$A:$D,4,FALSE)*表格2[[#This Row],[出]]+表格2[[#This Row],[散粉]],"-")</f>
        <v>25</v>
      </c>
      <c r="I23" s="29">
        <v>8</v>
      </c>
      <c r="J23" s="30">
        <f>IFERROR(表格2[[#This Row],[重量(Kg)]]-表格2[[#This Row],[回庫]],"-")</f>
        <v>17</v>
      </c>
      <c r="K23" s="31"/>
      <c r="L23" s="32"/>
      <c r="M23" s="33"/>
      <c r="N23" s="27"/>
      <c r="O23" s="27"/>
    </row>
    <row r="24" spans="1:15" x14ac:dyDescent="0.15">
      <c r="A24" s="125"/>
      <c r="B24" s="121">
        <v>45937</v>
      </c>
      <c r="C24" s="27" t="s">
        <v>138</v>
      </c>
      <c r="D24" s="27" t="str">
        <f>IFERROR(VLOOKUP($C24,烤漆色號編碼!$A:$C,2,FALSE),"-")</f>
        <v>BK</v>
      </c>
      <c r="E24" s="27">
        <f>IFERROR(VLOOKUP($C24,當前庫存!$C:$I,5,FALSE),"-")</f>
        <v>4</v>
      </c>
      <c r="F24" s="28"/>
      <c r="G24" s="28">
        <v>27</v>
      </c>
      <c r="H24" s="27">
        <f>IFERROR(VLOOKUP($C24,烤漆色號編碼!$A:$D,4,FALSE)*表格2[[#This Row],[出]]+表格2[[#This Row],[散粉]],"-")</f>
        <v>27</v>
      </c>
      <c r="I24" s="29">
        <v>22</v>
      </c>
      <c r="J24" s="30">
        <f>IFERROR(表格2[[#This Row],[重量(Kg)]]-表格2[[#This Row],[回庫]],"-")</f>
        <v>5</v>
      </c>
      <c r="K24" s="31"/>
      <c r="L24" s="32"/>
      <c r="M24" s="33"/>
      <c r="N24" s="27"/>
      <c r="O24" s="27"/>
    </row>
    <row r="25" spans="1:15" x14ac:dyDescent="0.15">
      <c r="A25" s="125"/>
      <c r="B25" s="121">
        <v>45937</v>
      </c>
      <c r="C25" s="27" t="s">
        <v>335</v>
      </c>
      <c r="D25" s="27" t="str">
        <f>IFERROR(VLOOKUP($C25,烤漆色號編碼!$A:$C,2,FALSE),"-")</f>
        <v>EBK</v>
      </c>
      <c r="E25" s="27">
        <f>IFERROR(VLOOKUP($C25,當前庫存!$C:$I,5,FALSE),"-")</f>
        <v>3</v>
      </c>
      <c r="F25" s="28"/>
      <c r="G25" s="28">
        <v>9</v>
      </c>
      <c r="H25" s="27">
        <f>IFERROR(VLOOKUP($C25,烤漆色號編碼!$A:$D,4,FALSE)*表格2[[#This Row],[出]]+表格2[[#This Row],[散粉]],"-")</f>
        <v>9</v>
      </c>
      <c r="I25" s="29">
        <v>7</v>
      </c>
      <c r="J25" s="30">
        <f>IFERROR(表格2[[#This Row],[重量(Kg)]]-表格2[[#This Row],[回庫]],"-")</f>
        <v>2</v>
      </c>
      <c r="K25" s="31"/>
      <c r="L25" s="32"/>
      <c r="M25" s="33"/>
      <c r="N25" s="27"/>
      <c r="O25" s="27"/>
    </row>
    <row r="26" spans="1:15" x14ac:dyDescent="0.15">
      <c r="A26" s="125"/>
      <c r="B26" s="121">
        <v>45937</v>
      </c>
      <c r="C26" s="27" t="s">
        <v>336</v>
      </c>
      <c r="D26" s="27" t="str">
        <f>IFERROR(VLOOKUP($C26,烤漆色號編碼!$A:$C,2,FALSE),"-")</f>
        <v>WE2</v>
      </c>
      <c r="E26" s="27">
        <f>IFERROR(VLOOKUP($C26,當前庫存!$C:$I,5,FALSE),"-")</f>
        <v>26</v>
      </c>
      <c r="F26" s="150">
        <v>2</v>
      </c>
      <c r="G26" s="28">
        <f>17+8</f>
        <v>25</v>
      </c>
      <c r="H26" s="27">
        <f>IFERROR(VLOOKUP($C26,烤漆色號編碼!$A:$D,4,FALSE)*表格2[[#This Row],[出]]+表格2[[#This Row],[散粉]],"-")</f>
        <v>75</v>
      </c>
      <c r="I26" s="29">
        <f>11+9</f>
        <v>20</v>
      </c>
      <c r="J26" s="30">
        <f>IFERROR(表格2[[#This Row],[重量(Kg)]]-表格2[[#This Row],[回庫]],"-")</f>
        <v>55</v>
      </c>
      <c r="K26" s="31"/>
      <c r="L26" s="32"/>
      <c r="M26" s="33"/>
      <c r="N26" s="27"/>
      <c r="O26" s="27"/>
    </row>
    <row r="27" spans="1:15" x14ac:dyDescent="0.15">
      <c r="A27" s="125"/>
      <c r="B27" s="121">
        <v>45937</v>
      </c>
      <c r="C27" s="27" t="s">
        <v>337</v>
      </c>
      <c r="D27" s="27" t="str">
        <f>IFERROR(VLOOKUP($C27,烤漆色號編碼!$A:$C,2,FALSE),"-")</f>
        <v>-</v>
      </c>
      <c r="E27" s="27" t="str">
        <f>IFERROR(VLOOKUP($C27,當前庫存!$C:$I,5,FALSE),"-")</f>
        <v>-</v>
      </c>
      <c r="F27" s="28">
        <v>2</v>
      </c>
      <c r="G27" s="28"/>
      <c r="H27" s="27">
        <f>IFERROR(VLOOKUP($C27,烤漆色號編碼!$A:$D,4,FALSE)*表格2[[#This Row],[出]]+表格2[[#This Row],[散粉]],"-")</f>
        <v>50</v>
      </c>
      <c r="I27" s="29"/>
      <c r="J27" s="30">
        <f>IFERROR(表格2[[#This Row],[重量(Kg)]]-表格2[[#This Row],[回庫]],"-")</f>
        <v>50</v>
      </c>
      <c r="K27" s="31"/>
      <c r="L27" s="32"/>
      <c r="M27" s="33"/>
      <c r="N27" s="27"/>
      <c r="O27" s="27"/>
    </row>
    <row r="28" spans="1:15" x14ac:dyDescent="0.15">
      <c r="A28" s="125"/>
      <c r="B28" s="121">
        <v>45938</v>
      </c>
      <c r="C28" s="27" t="s">
        <v>332</v>
      </c>
      <c r="D28" s="27" t="str">
        <f>IFERROR(VLOOKUP($C28,烤漆色號編碼!$A:$C,2,FALSE),"-")</f>
        <v>-</v>
      </c>
      <c r="E28" s="27" t="str">
        <f>IFERROR(VLOOKUP($C28,當前庫存!$C:$I,5,FALSE),"-")</f>
        <v>-</v>
      </c>
      <c r="F28" s="28"/>
      <c r="G28" s="28"/>
      <c r="H28" s="27" t="str">
        <f>IFERROR(VLOOKUP($C28,烤漆色號編碼!$A:$D,4,FALSE)*表格2[[#This Row],[出]]+表格2[[#This Row],[散粉]],"-")</f>
        <v>-</v>
      </c>
      <c r="I28" s="29"/>
      <c r="J28" s="30" t="str">
        <f>IFERROR(表格2[[#This Row],[重量(Kg)]]-表格2[[#This Row],[回庫]],"-")</f>
        <v>-</v>
      </c>
      <c r="K28" s="31"/>
      <c r="L28" s="32"/>
      <c r="M28" s="33"/>
      <c r="N28" s="27"/>
      <c r="O28" s="27"/>
    </row>
    <row r="29" spans="1:15" x14ac:dyDescent="0.15">
      <c r="A29" s="125"/>
      <c r="B29" s="121">
        <v>45939</v>
      </c>
      <c r="C29" s="27" t="s">
        <v>336</v>
      </c>
      <c r="D29" s="27" t="str">
        <f>IFERROR(VLOOKUP($C29,烤漆色號編碼!$A:$C,2,FALSE),"-")</f>
        <v>WE2</v>
      </c>
      <c r="E29" s="27">
        <f>IFERROR(VLOOKUP($C29,當前庫存!$C:$I,5,FALSE),"-")</f>
        <v>26</v>
      </c>
      <c r="F29" s="28">
        <v>1</v>
      </c>
      <c r="G29" s="28">
        <f>11+9</f>
        <v>20</v>
      </c>
      <c r="H29" s="27">
        <f>IFERROR(VLOOKUP($C29,烤漆色號編碼!$A:$D,4,FALSE)*表格2[[#This Row],[出]]+表格2[[#This Row],[散粉]],"-")</f>
        <v>45</v>
      </c>
      <c r="I29" s="29">
        <v>5</v>
      </c>
      <c r="J29" s="30">
        <f>IFERROR(表格2[[#This Row],[重量(Kg)]]-表格2[[#This Row],[回庫]],"-")</f>
        <v>40</v>
      </c>
      <c r="K29" s="31"/>
      <c r="L29" s="32"/>
      <c r="M29" s="33"/>
      <c r="N29" s="27"/>
      <c r="O29" s="27"/>
    </row>
    <row r="30" spans="1:15" x14ac:dyDescent="0.15">
      <c r="A30" s="125"/>
      <c r="B30" s="121">
        <v>45939</v>
      </c>
      <c r="C30" s="27" t="s">
        <v>338</v>
      </c>
      <c r="D30" s="27" t="str">
        <f>IFERROR(VLOOKUP($C30,烤漆色號編碼!$A:$C,2,FALSE),"-")</f>
        <v>IGS</v>
      </c>
      <c r="E30" s="27">
        <f>IFERROR(VLOOKUP($C30,當前庫存!$C:$I,5,FALSE),"-")</f>
        <v>2</v>
      </c>
      <c r="F30" s="28">
        <v>1</v>
      </c>
      <c r="G30" s="28"/>
      <c r="H30" s="27">
        <f>IFERROR(VLOOKUP($C30,烤漆色號編碼!$A:$D,4,FALSE)*表格2[[#This Row],[出]]+表格2[[#This Row],[散粉]],"-")</f>
        <v>25</v>
      </c>
      <c r="I30" s="29">
        <v>7</v>
      </c>
      <c r="J30" s="30">
        <f>IFERROR(表格2[[#This Row],[重量(Kg)]]-表格2[[#This Row],[回庫]],"-")</f>
        <v>18</v>
      </c>
      <c r="K30" s="31"/>
      <c r="L30" s="32"/>
      <c r="M30" s="33"/>
      <c r="N30" s="27"/>
      <c r="O30" s="27"/>
    </row>
    <row r="31" spans="1:15" x14ac:dyDescent="0.15">
      <c r="A31" s="125"/>
      <c r="B31" s="121">
        <v>45939</v>
      </c>
      <c r="C31" s="27" t="s">
        <v>2</v>
      </c>
      <c r="D31" s="27" t="str">
        <f>IFERROR(VLOOKUP($C31,烤漆色號編碼!$A:$C,2,FALSE),"-")</f>
        <v>BKS1</v>
      </c>
      <c r="E31" s="27">
        <f>IFERROR(VLOOKUP($C31,當前庫存!$C:$I,5,FALSE),"-")</f>
        <v>17</v>
      </c>
      <c r="F31" s="150">
        <v>1</v>
      </c>
      <c r="G31" s="28">
        <v>25</v>
      </c>
      <c r="H31" s="27">
        <f>IFERROR(VLOOKUP($C31,烤漆色號編碼!$A:$D,4,FALSE)*表格2[[#This Row],[出]]+表格2[[#This Row],[散粉]],"-")</f>
        <v>50</v>
      </c>
      <c r="I31" s="29">
        <v>18</v>
      </c>
      <c r="J31" s="30">
        <f>IFERROR(表格2[[#This Row],[重量(Kg)]]-表格2[[#This Row],[回庫]],"-")</f>
        <v>32</v>
      </c>
      <c r="K31" s="31"/>
      <c r="L31" s="32"/>
      <c r="M31" s="33"/>
      <c r="N31" s="27"/>
      <c r="O31" s="27"/>
    </row>
    <row r="32" spans="1:15" x14ac:dyDescent="0.15">
      <c r="A32" s="125"/>
      <c r="B32" s="121">
        <v>45939</v>
      </c>
      <c r="C32" s="27" t="s">
        <v>138</v>
      </c>
      <c r="D32" s="27" t="str">
        <f>IFERROR(VLOOKUP($C32,烤漆色號編碼!$A:$C,2,FALSE),"-")</f>
        <v>BK</v>
      </c>
      <c r="E32" s="27">
        <f>IFERROR(VLOOKUP($C32,當前庫存!$C:$I,5,FALSE),"-")</f>
        <v>4</v>
      </c>
      <c r="F32" s="28"/>
      <c r="G32" s="28">
        <v>22</v>
      </c>
      <c r="H32" s="27">
        <f>IFERROR(VLOOKUP($C32,烤漆色號編碼!$A:$D,4,FALSE)*表格2[[#This Row],[出]]+表格2[[#This Row],[散粉]],"-")</f>
        <v>22</v>
      </c>
      <c r="I32" s="29">
        <v>21</v>
      </c>
      <c r="J32" s="30">
        <f>IFERROR(表格2[[#This Row],[重量(Kg)]]-表格2[[#This Row],[回庫]],"-")</f>
        <v>1</v>
      </c>
      <c r="K32" s="31"/>
      <c r="L32" s="32"/>
      <c r="M32" s="33"/>
      <c r="N32" s="27"/>
      <c r="O32" s="27"/>
    </row>
    <row r="33" spans="1:15" x14ac:dyDescent="0.15">
      <c r="A33" s="125"/>
      <c r="B33" s="121">
        <v>45939</v>
      </c>
      <c r="C33" s="27" t="s">
        <v>337</v>
      </c>
      <c r="D33" s="27" t="str">
        <f>IFERROR(VLOOKUP($C33,烤漆色號編碼!$A:$C,2,FALSE),"-")</f>
        <v>-</v>
      </c>
      <c r="E33" s="27" t="str">
        <f>IFERROR(VLOOKUP($C33,當前庫存!$C:$I,5,FALSE),"-")</f>
        <v>-</v>
      </c>
      <c r="F33" s="28">
        <v>2</v>
      </c>
      <c r="G33" s="28"/>
      <c r="H33" s="27">
        <f>IFERROR(VLOOKUP($C33,烤漆色號編碼!$A:$D,4,FALSE)*表格2[[#This Row],[出]]+表格2[[#This Row],[散粉]],"-")</f>
        <v>50</v>
      </c>
      <c r="I33" s="29"/>
      <c r="J33" s="30">
        <f>IFERROR(表格2[[#This Row],[重量(Kg)]]-表格2[[#This Row],[回庫]],"-")</f>
        <v>50</v>
      </c>
      <c r="K33" s="31"/>
      <c r="L33" s="32"/>
      <c r="M33" s="33"/>
      <c r="N33" s="27"/>
      <c r="O33" s="27"/>
    </row>
    <row r="34" spans="1:15" x14ac:dyDescent="0.15">
      <c r="A34" s="125"/>
      <c r="B34" s="121">
        <v>45940</v>
      </c>
      <c r="C34" s="27" t="s">
        <v>334</v>
      </c>
      <c r="D34" s="27" t="str">
        <f>IFERROR(VLOOKUP($C34,烤漆色號編碼!$A:$C,2,FALSE),"-")</f>
        <v>-</v>
      </c>
      <c r="E34" s="27" t="str">
        <f>IFERROR(VLOOKUP($C34,當前庫存!$C:$I,5,FALSE),"-")</f>
        <v>-</v>
      </c>
      <c r="F34" s="28"/>
      <c r="G34" s="28"/>
      <c r="H34" s="27" t="str">
        <f>IFERROR(VLOOKUP($C34,烤漆色號編碼!$A:$D,4,FALSE)*表格2[[#This Row],[出]]+表格2[[#This Row],[散粉]],"-")</f>
        <v>-</v>
      </c>
      <c r="I34" s="29"/>
      <c r="J34" s="30" t="str">
        <f>IFERROR(表格2[[#This Row],[重量(Kg)]]-表格2[[#This Row],[回庫]],"-")</f>
        <v>-</v>
      </c>
      <c r="K34" s="31"/>
      <c r="L34" s="32"/>
      <c r="M34" s="33"/>
      <c r="N34" s="27"/>
      <c r="O34" s="27"/>
    </row>
    <row r="35" spans="1:15" x14ac:dyDescent="0.15">
      <c r="A35" s="125"/>
      <c r="B35" s="121">
        <v>45941</v>
      </c>
      <c r="C35" s="27" t="s">
        <v>333</v>
      </c>
      <c r="D35" s="27" t="str">
        <f>IFERROR(VLOOKUP($C35,烤漆色號編碼!$A:$C,2,FALSE),"-")</f>
        <v>-</v>
      </c>
      <c r="E35" s="27" t="str">
        <f>IFERROR(VLOOKUP($C35,當前庫存!$C:$I,5,FALSE),"-")</f>
        <v>-</v>
      </c>
      <c r="F35" s="28"/>
      <c r="G35" s="28"/>
      <c r="H35" s="27" t="str">
        <f>IFERROR(VLOOKUP($C35,烤漆色號編碼!$A:$D,4,FALSE)*表格2[[#This Row],[出]]+表格2[[#This Row],[散粉]],"-")</f>
        <v>-</v>
      </c>
      <c r="I35" s="29"/>
      <c r="J35" s="30" t="str">
        <f>IFERROR(表格2[[#This Row],[重量(Kg)]]-表格2[[#This Row],[回庫]],"-")</f>
        <v>-</v>
      </c>
      <c r="K35" s="31"/>
      <c r="L35" s="32"/>
      <c r="M35" s="33"/>
      <c r="N35" s="27"/>
      <c r="O35" s="27"/>
    </row>
    <row r="36" spans="1:15" x14ac:dyDescent="0.15">
      <c r="A36" s="125"/>
      <c r="B36" s="121">
        <v>45942</v>
      </c>
      <c r="C36" s="27" t="s">
        <v>333</v>
      </c>
      <c r="D36" s="27" t="str">
        <f>IFERROR(VLOOKUP($C36,烤漆色號編碼!$A:$C,2,FALSE),"-")</f>
        <v>-</v>
      </c>
      <c r="E36" s="27" t="str">
        <f>IFERROR(VLOOKUP($C36,當前庫存!$C:$I,5,FALSE),"-")</f>
        <v>-</v>
      </c>
      <c r="F36" s="28"/>
      <c r="G36" s="28"/>
      <c r="H36" s="27" t="str">
        <f>IFERROR(VLOOKUP($C36,烤漆色號編碼!$A:$D,4,FALSE)*表格2[[#This Row],[出]]+表格2[[#This Row],[散粉]],"-")</f>
        <v>-</v>
      </c>
      <c r="I36" s="29"/>
      <c r="J36" s="30" t="str">
        <f>IFERROR(表格2[[#This Row],[重量(Kg)]]-表格2[[#This Row],[回庫]],"-")</f>
        <v>-</v>
      </c>
      <c r="K36" s="31"/>
      <c r="L36" s="32"/>
      <c r="M36" s="33"/>
      <c r="N36" s="27"/>
      <c r="O36" s="27"/>
    </row>
    <row r="37" spans="1:15" x14ac:dyDescent="0.15">
      <c r="A37" s="125"/>
      <c r="B37" s="121">
        <v>45943</v>
      </c>
      <c r="C37" s="27" t="s">
        <v>2</v>
      </c>
      <c r="D37" s="27" t="str">
        <f>IFERROR(VLOOKUP($C37,烤漆色號編碼!$A:$C,2,FALSE),"-")</f>
        <v>BKS1</v>
      </c>
      <c r="E37" s="27">
        <f>IFERROR(VLOOKUP($C37,當前庫存!$C:$I,5,FALSE),"-")</f>
        <v>17</v>
      </c>
      <c r="F37" s="28">
        <v>2</v>
      </c>
      <c r="G37" s="28">
        <f>18+21</f>
        <v>39</v>
      </c>
      <c r="H37" s="27">
        <f>IFERROR(VLOOKUP($C37,烤漆色號編碼!$A:$D,4,FALSE)*表格2[[#This Row],[出]]+表格2[[#This Row],[散粉]],"-")</f>
        <v>89</v>
      </c>
      <c r="I37" s="29">
        <f>6+6</f>
        <v>12</v>
      </c>
      <c r="J37" s="30">
        <f>IFERROR(表格2[[#This Row],[重量(Kg)]]-表格2[[#This Row],[回庫]],"-")</f>
        <v>77</v>
      </c>
      <c r="K37" s="31"/>
      <c r="L37" s="32"/>
      <c r="M37" s="33"/>
      <c r="N37" s="27"/>
      <c r="O37" s="27"/>
    </row>
    <row r="38" spans="1:15" x14ac:dyDescent="0.15">
      <c r="A38" s="125"/>
      <c r="B38" s="121">
        <v>45943</v>
      </c>
      <c r="C38" s="27" t="s">
        <v>336</v>
      </c>
      <c r="D38" s="27" t="str">
        <f>IFERROR(VLOOKUP($C38,烤漆色號編碼!$A:$C,2,FALSE),"-")</f>
        <v>WE2</v>
      </c>
      <c r="E38" s="27">
        <f>IFERROR(VLOOKUP($C38,當前庫存!$C:$I,5,FALSE),"-")</f>
        <v>26</v>
      </c>
      <c r="F38" s="28">
        <v>4</v>
      </c>
      <c r="G38" s="28">
        <v>5</v>
      </c>
      <c r="H38" s="27">
        <f>IFERROR(VLOOKUP($C38,烤漆色號編碼!$A:$D,4,FALSE)*表格2[[#This Row],[出]]+表格2[[#This Row],[散粉]],"-")</f>
        <v>105</v>
      </c>
      <c r="I38" s="29">
        <f>12+6</f>
        <v>18</v>
      </c>
      <c r="J38" s="30">
        <f>IFERROR(表格2[[#This Row],[重量(Kg)]]-表格2[[#This Row],[回庫]],"-")</f>
        <v>87</v>
      </c>
      <c r="K38" s="31"/>
      <c r="L38" s="32"/>
      <c r="M38" s="33"/>
      <c r="N38" s="27"/>
      <c r="O38" s="27"/>
    </row>
    <row r="39" spans="1:15" x14ac:dyDescent="0.15">
      <c r="A39" s="125"/>
      <c r="B39" s="121">
        <v>45943</v>
      </c>
      <c r="C39" s="27" t="s">
        <v>337</v>
      </c>
      <c r="D39" s="27" t="str">
        <f>IFERROR(VLOOKUP($C39,烤漆色號編碼!$A:$C,2,FALSE),"-")</f>
        <v>-</v>
      </c>
      <c r="E39" s="27" t="str">
        <f>IFERROR(VLOOKUP($C39,當前庫存!$C:$I,5,FALSE),"-")</f>
        <v>-</v>
      </c>
      <c r="F39" s="28">
        <v>2</v>
      </c>
      <c r="G39" s="28"/>
      <c r="H39" s="27">
        <f>IFERROR(VLOOKUP($C39,烤漆色號編碼!$A:$D,4,FALSE)*表格2[[#This Row],[出]]+表格2[[#This Row],[散粉]],"-")</f>
        <v>50</v>
      </c>
      <c r="I39" s="29"/>
      <c r="J39" s="30">
        <f>IFERROR(表格2[[#This Row],[重量(Kg)]]-表格2[[#This Row],[回庫]],"-")</f>
        <v>50</v>
      </c>
      <c r="K39" s="31"/>
      <c r="L39" s="32"/>
      <c r="M39" s="33"/>
      <c r="N39" s="27"/>
      <c r="O39" s="27"/>
    </row>
    <row r="40" spans="1:15" x14ac:dyDescent="0.15">
      <c r="A40" s="125"/>
      <c r="B40" s="121">
        <v>45944</v>
      </c>
      <c r="C40" s="27" t="s">
        <v>339</v>
      </c>
      <c r="D40" s="27" t="str">
        <f>IFERROR(VLOOKUP($C40,烤漆色號編碼!$A:$C,2,FALSE),"-")</f>
        <v>YW1</v>
      </c>
      <c r="E40" s="27">
        <f>IFERROR(VLOOKUP($C40,當前庫存!$C:$I,5,FALSE),"-")</f>
        <v>12</v>
      </c>
      <c r="F40" s="28"/>
      <c r="G40" s="28">
        <v>5</v>
      </c>
      <c r="H40" s="27">
        <f>IFERROR(VLOOKUP($C40,烤漆色號編碼!$A:$D,4,FALSE)*表格2[[#This Row],[出]]+表格2[[#This Row],[散粉]],"-")</f>
        <v>5</v>
      </c>
      <c r="I40" s="29">
        <v>4</v>
      </c>
      <c r="J40" s="30">
        <f>IFERROR(表格2[[#This Row],[重量(Kg)]]-表格2[[#This Row],[回庫]],"-")</f>
        <v>1</v>
      </c>
      <c r="K40" s="31"/>
      <c r="L40" s="32"/>
      <c r="M40" s="33"/>
      <c r="N40" s="27"/>
      <c r="O40" s="27"/>
    </row>
    <row r="41" spans="1:15" x14ac:dyDescent="0.15">
      <c r="A41" s="125"/>
      <c r="B41" s="121">
        <v>45944</v>
      </c>
      <c r="C41" s="27" t="s">
        <v>340</v>
      </c>
      <c r="D41" s="27" t="str">
        <f>IFERROR(VLOOKUP($C41,烤漆色號編碼!$A:$C,2,FALSE),"-")</f>
        <v>ATG</v>
      </c>
      <c r="E41" s="27">
        <f>IFERROR(VLOOKUP($C41,當前庫存!$C:$I,5,FALSE),"-")</f>
        <v>3</v>
      </c>
      <c r="F41" s="28"/>
      <c r="G41" s="28">
        <v>21</v>
      </c>
      <c r="H41" s="27">
        <f>IFERROR(VLOOKUP($C41,烤漆色號編碼!$A:$D,4,FALSE)*表格2[[#This Row],[出]]+表格2[[#This Row],[散粉]],"-")</f>
        <v>21</v>
      </c>
      <c r="I41" s="29">
        <v>20</v>
      </c>
      <c r="J41" s="30">
        <f>IFERROR(表格2[[#This Row],[重量(Kg)]]-表格2[[#This Row],[回庫]],"-")</f>
        <v>1</v>
      </c>
      <c r="K41" s="31"/>
      <c r="L41" s="32"/>
      <c r="M41" s="33"/>
      <c r="N41" s="27"/>
      <c r="O41" s="27"/>
    </row>
    <row r="42" spans="1:15" x14ac:dyDescent="0.15">
      <c r="A42" s="125"/>
      <c r="B42" s="121">
        <v>45944</v>
      </c>
      <c r="C42" s="27" t="s">
        <v>336</v>
      </c>
      <c r="D42" s="27" t="str">
        <f>IFERROR(VLOOKUP($C42,烤漆色號編碼!$A:$C,2,FALSE),"-")</f>
        <v>WE2</v>
      </c>
      <c r="E42" s="27">
        <f>IFERROR(VLOOKUP($C42,當前庫存!$C:$I,5,FALSE),"-")</f>
        <v>26</v>
      </c>
      <c r="F42" s="28">
        <v>3</v>
      </c>
      <c r="G42" s="28">
        <f>12+6</f>
        <v>18</v>
      </c>
      <c r="H42" s="27">
        <f>IFERROR(VLOOKUP($C42,烤漆色號編碼!$A:$D,4,FALSE)*表格2[[#This Row],[出]]+表格2[[#This Row],[散粉]],"-")</f>
        <v>93</v>
      </c>
      <c r="I42" s="29">
        <v>8</v>
      </c>
      <c r="J42" s="30">
        <f>IFERROR(表格2[[#This Row],[重量(Kg)]]-表格2[[#This Row],[回庫]],"-")</f>
        <v>85</v>
      </c>
      <c r="K42" s="31"/>
      <c r="L42" s="32"/>
      <c r="M42" s="33"/>
      <c r="N42" s="27"/>
      <c r="O42" s="27"/>
    </row>
    <row r="43" spans="1:15" x14ac:dyDescent="0.15">
      <c r="A43" s="125"/>
      <c r="B43" s="121">
        <v>45944</v>
      </c>
      <c r="C43" s="27" t="s">
        <v>138</v>
      </c>
      <c r="D43" s="27" t="str">
        <f>IFERROR(VLOOKUP($C43,烤漆色號編碼!$A:$C,2,FALSE),"-")</f>
        <v>BK</v>
      </c>
      <c r="E43" s="27">
        <f>IFERROR(VLOOKUP($C43,當前庫存!$C:$I,5,FALSE),"-")</f>
        <v>4</v>
      </c>
      <c r="F43" s="28"/>
      <c r="G43" s="28">
        <v>21</v>
      </c>
      <c r="H43" s="27">
        <f>IFERROR(VLOOKUP($C43,烤漆色號編碼!$A:$D,4,FALSE)*表格2[[#This Row],[出]]+表格2[[#This Row],[散粉]],"-")</f>
        <v>21</v>
      </c>
      <c r="I43" s="29">
        <v>20</v>
      </c>
      <c r="J43" s="30">
        <f>IFERROR(表格2[[#This Row],[重量(Kg)]]-表格2[[#This Row],[回庫]],"-")</f>
        <v>1</v>
      </c>
      <c r="K43" s="31"/>
      <c r="L43" s="32"/>
      <c r="M43" s="33"/>
      <c r="N43" s="27"/>
      <c r="O43" s="27"/>
    </row>
    <row r="44" spans="1:15" x14ac:dyDescent="0.15">
      <c r="A44" s="125"/>
      <c r="B44" s="121">
        <v>45944</v>
      </c>
      <c r="C44" s="154" t="s">
        <v>337</v>
      </c>
      <c r="D44" s="27" t="str">
        <f>IFERROR(VLOOKUP($C44,烤漆色號編碼!$A:$C,2,FALSE),"-")</f>
        <v>-</v>
      </c>
      <c r="E44" s="154" t="str">
        <f>IFERROR(VLOOKUP($C44,當前庫存!$C:$I,5,FALSE),"-")</f>
        <v>-</v>
      </c>
      <c r="F44" s="28">
        <v>2</v>
      </c>
      <c r="G44" s="28"/>
      <c r="H44" s="27">
        <f>IFERROR(VLOOKUP($C44,烤漆色號編碼!$A:$D,4,FALSE)*表格2[[#This Row],[出]]+表格2[[#This Row],[散粉]],"-")</f>
        <v>50</v>
      </c>
      <c r="I44" s="29"/>
      <c r="J44" s="30">
        <f>IFERROR(表格2[[#This Row],[重量(Kg)]]-表格2[[#This Row],[回庫]],"-")</f>
        <v>50</v>
      </c>
      <c r="K44" s="31"/>
      <c r="L44" s="32"/>
      <c r="M44" s="33"/>
      <c r="N44" s="27"/>
      <c r="O44" s="27"/>
    </row>
    <row r="45" spans="1:15" x14ac:dyDescent="0.15">
      <c r="A45" s="125"/>
      <c r="B45" s="121">
        <v>45945</v>
      </c>
      <c r="C45" s="151" t="s">
        <v>336</v>
      </c>
      <c r="D45" s="27" t="str">
        <f>IFERROR(VLOOKUP($C45,烤漆色號編碼!$A:$C,2,FALSE),"-")</f>
        <v>WE2</v>
      </c>
      <c r="E45" s="154">
        <f>IFERROR(VLOOKUP($C45,當前庫存!$C:$I,5,FALSE),"-")</f>
        <v>26</v>
      </c>
      <c r="F45" s="152">
        <v>6</v>
      </c>
      <c r="G45" s="28">
        <v>8</v>
      </c>
      <c r="H45" s="27">
        <f>IFERROR(VLOOKUP($C45,烤漆色號編碼!$A:$D,4,FALSE)*表格2[[#This Row],[出]]+表格2[[#This Row],[散粉]],"-")</f>
        <v>158</v>
      </c>
      <c r="I45" s="29">
        <f>19+22</f>
        <v>41</v>
      </c>
      <c r="J45" s="30">
        <f>IFERROR(表格2[[#This Row],[重量(Kg)]]-表格2[[#This Row],[回庫]],"-")</f>
        <v>117</v>
      </c>
      <c r="K45" s="31"/>
      <c r="L45" s="32"/>
      <c r="M45" s="33"/>
      <c r="N45" s="27"/>
      <c r="O45" s="27"/>
    </row>
    <row r="46" spans="1:15" x14ac:dyDescent="0.15">
      <c r="A46" s="125"/>
      <c r="B46" s="121">
        <v>45945</v>
      </c>
      <c r="C46" s="151" t="s">
        <v>337</v>
      </c>
      <c r="D46" s="27" t="str">
        <f>IFERROR(VLOOKUP($C46,烤漆色號編碼!$A:$C,2,FALSE),"-")</f>
        <v>-</v>
      </c>
      <c r="E46" s="154" t="str">
        <f>IFERROR(VLOOKUP($C46,當前庫存!$C:$I,5,FALSE),"-")</f>
        <v>-</v>
      </c>
      <c r="F46" s="152">
        <v>2</v>
      </c>
      <c r="G46" s="28"/>
      <c r="H46" s="27">
        <f>IFERROR(VLOOKUP($C46,烤漆色號編碼!$A:$D,4,FALSE)*表格2[[#This Row],[出]]+表格2[[#This Row],[散粉]],"-")</f>
        <v>50</v>
      </c>
      <c r="I46" s="29"/>
      <c r="J46" s="30">
        <f>IFERROR(表格2[[#This Row],[重量(Kg)]]-表格2[[#This Row],[回庫]],"-")</f>
        <v>50</v>
      </c>
      <c r="K46" s="31"/>
      <c r="L46" s="32"/>
      <c r="M46" s="33"/>
      <c r="N46" s="27"/>
      <c r="O46" s="27"/>
    </row>
    <row r="47" spans="1:15" x14ac:dyDescent="0.15">
      <c r="A47" s="125"/>
      <c r="B47" s="121">
        <v>45946</v>
      </c>
      <c r="C47" s="151" t="s">
        <v>336</v>
      </c>
      <c r="D47" s="27" t="str">
        <f>IFERROR(VLOOKUP($C47,烤漆色號編碼!$A:$C,2,FALSE),"-")</f>
        <v>WE2</v>
      </c>
      <c r="E47" s="154">
        <f>IFERROR(VLOOKUP($C47,當前庫存!$C:$I,5,FALSE),"-")</f>
        <v>26</v>
      </c>
      <c r="F47" s="153">
        <v>2</v>
      </c>
      <c r="G47" s="28">
        <v>19</v>
      </c>
      <c r="H47" s="27">
        <f>IFERROR(VLOOKUP($C47,烤漆色號編碼!$A:$D,4,FALSE)*表格2[[#This Row],[出]]+表格2[[#This Row],[散粉]],"-")</f>
        <v>69</v>
      </c>
      <c r="I47" s="29">
        <v>4</v>
      </c>
      <c r="J47" s="30">
        <f>IFERROR(表格2[[#This Row],[重量(Kg)]]-表格2[[#This Row],[回庫]],"-")</f>
        <v>65</v>
      </c>
      <c r="K47" s="31"/>
      <c r="L47" s="32"/>
      <c r="M47" s="33"/>
      <c r="N47" s="27"/>
      <c r="O47" s="27"/>
    </row>
    <row r="48" spans="1:15" x14ac:dyDescent="0.15">
      <c r="A48" s="125"/>
      <c r="B48" s="121">
        <v>45946</v>
      </c>
      <c r="C48" s="151" t="s">
        <v>2</v>
      </c>
      <c r="D48" s="27" t="str">
        <f>IFERROR(VLOOKUP($C48,烤漆色號編碼!$A:$C,2,FALSE),"-")</f>
        <v>BKS1</v>
      </c>
      <c r="E48" s="154">
        <f>IFERROR(VLOOKUP($C48,當前庫存!$C:$I,5,FALSE),"-")</f>
        <v>17</v>
      </c>
      <c r="F48" s="153">
        <v>4</v>
      </c>
      <c r="G48" s="28">
        <f>6+6</f>
        <v>12</v>
      </c>
      <c r="H48" s="27">
        <f>IFERROR(VLOOKUP($C48,烤漆色號編碼!$A:$D,4,FALSE)*表格2[[#This Row],[出]]+表格2[[#This Row],[散粉]],"-")</f>
        <v>112</v>
      </c>
      <c r="I48" s="29">
        <f>13+8</f>
        <v>21</v>
      </c>
      <c r="J48" s="30">
        <f>IFERROR(表格2[[#This Row],[重量(Kg)]]-表格2[[#This Row],[回庫]],"-")</f>
        <v>91</v>
      </c>
      <c r="K48" s="31"/>
      <c r="L48" s="32"/>
      <c r="M48" s="33"/>
      <c r="N48" s="27"/>
      <c r="O48" s="27"/>
    </row>
    <row r="49" spans="1:15" x14ac:dyDescent="0.15">
      <c r="A49" s="125"/>
      <c r="B49" s="121">
        <v>45946</v>
      </c>
      <c r="C49" s="151" t="s">
        <v>337</v>
      </c>
      <c r="D49" s="27" t="str">
        <f>IFERROR(VLOOKUP($C49,烤漆色號編碼!$A:$C,2,FALSE),"-")</f>
        <v>-</v>
      </c>
      <c r="E49" s="154" t="str">
        <f>IFERROR(VLOOKUP($C49,當前庫存!$C:$I,5,FALSE),"-")</f>
        <v>-</v>
      </c>
      <c r="F49" s="153">
        <v>2</v>
      </c>
      <c r="G49" s="28"/>
      <c r="H49" s="27">
        <f>IFERROR(VLOOKUP($C49,烤漆色號編碼!$A:$D,4,FALSE)*表格2[[#This Row],[出]]+表格2[[#This Row],[散粉]],"-")</f>
        <v>50</v>
      </c>
      <c r="I49" s="29"/>
      <c r="J49" s="30">
        <f>IFERROR(表格2[[#This Row],[重量(Kg)]]-表格2[[#This Row],[回庫]],"-")</f>
        <v>50</v>
      </c>
      <c r="K49" s="31"/>
      <c r="L49" s="32"/>
      <c r="M49" s="33"/>
      <c r="N49" s="27"/>
      <c r="O49" s="27"/>
    </row>
    <row r="50" spans="1:15" x14ac:dyDescent="0.15">
      <c r="A50" s="125"/>
      <c r="B50" s="121">
        <v>45947</v>
      </c>
      <c r="C50" s="151" t="s">
        <v>2</v>
      </c>
      <c r="D50" s="27" t="str">
        <f>IFERROR(VLOOKUP($C50,烤漆色號編碼!$A:$C,2,FALSE),"-")</f>
        <v>BKS1</v>
      </c>
      <c r="E50" s="154">
        <f>IFERROR(VLOOKUP($C50,當前庫存!$C:$I,5,FALSE),"-")</f>
        <v>17</v>
      </c>
      <c r="F50" s="153">
        <v>2</v>
      </c>
      <c r="G50" s="28">
        <f>13+8</f>
        <v>21</v>
      </c>
      <c r="H50" s="27">
        <f>IFERROR(VLOOKUP($C50,烤漆色號編碼!$A:$D,4,FALSE)*表格2[[#This Row],[出]]+表格2[[#This Row],[散粉]],"-")</f>
        <v>71</v>
      </c>
      <c r="I50" s="29">
        <f>6+6</f>
        <v>12</v>
      </c>
      <c r="J50" s="30">
        <f>IFERROR(表格2[[#This Row],[重量(Kg)]]-表格2[[#This Row],[回庫]],"-")</f>
        <v>59</v>
      </c>
      <c r="K50" s="31"/>
      <c r="L50" s="32"/>
      <c r="M50" s="33"/>
      <c r="N50" s="27"/>
      <c r="O50" s="27"/>
    </row>
    <row r="51" spans="1:15" x14ac:dyDescent="0.15">
      <c r="A51" s="125"/>
      <c r="B51" s="121">
        <v>45947</v>
      </c>
      <c r="C51" s="151" t="s">
        <v>336</v>
      </c>
      <c r="D51" s="27" t="str">
        <f>IFERROR(VLOOKUP($C51,烤漆色號編碼!$A:$C,2,FALSE),"-")</f>
        <v>WE2</v>
      </c>
      <c r="E51" s="154">
        <f>IFERROR(VLOOKUP($C51,當前庫存!$C:$I,5,FALSE),"-")</f>
        <v>26</v>
      </c>
      <c r="F51" s="152">
        <v>3</v>
      </c>
      <c r="G51" s="28">
        <v>4</v>
      </c>
      <c r="H51" s="27">
        <f>IFERROR(VLOOKUP($C51,烤漆色號編碼!$A:$D,4,FALSE)*表格2[[#This Row],[出]]+表格2[[#This Row],[散粉]],"-")</f>
        <v>79</v>
      </c>
      <c r="I51" s="29">
        <f>6+6</f>
        <v>12</v>
      </c>
      <c r="J51" s="30">
        <f>IFERROR(表格2[[#This Row],[重量(Kg)]]-表格2[[#This Row],[回庫]],"-")</f>
        <v>67</v>
      </c>
      <c r="K51" s="31"/>
      <c r="L51" s="32"/>
      <c r="M51" s="33"/>
      <c r="N51" s="27"/>
      <c r="O51" s="27"/>
    </row>
    <row r="52" spans="1:15" x14ac:dyDescent="0.15">
      <c r="A52" s="125"/>
      <c r="B52" s="121">
        <v>45947</v>
      </c>
      <c r="C52" s="151" t="s">
        <v>337</v>
      </c>
      <c r="D52" s="27" t="str">
        <f>IFERROR(VLOOKUP($C52,烤漆色號編碼!$A:$C,2,FALSE),"-")</f>
        <v>-</v>
      </c>
      <c r="E52" s="154" t="str">
        <f>IFERROR(VLOOKUP($C52,當前庫存!$C:$I,5,FALSE),"-")</f>
        <v>-</v>
      </c>
      <c r="F52" s="152">
        <v>2</v>
      </c>
      <c r="G52" s="28"/>
      <c r="H52" s="27">
        <f>IFERROR(VLOOKUP($C52,烤漆色號編碼!$A:$D,4,FALSE)*表格2[[#This Row],[出]]+表格2[[#This Row],[散粉]],"-")</f>
        <v>50</v>
      </c>
      <c r="I52" s="29"/>
      <c r="J52" s="30">
        <f>IFERROR(表格2[[#This Row],[重量(Kg)]]-表格2[[#This Row],[回庫]],"-")</f>
        <v>50</v>
      </c>
      <c r="K52" s="31"/>
      <c r="L52" s="32"/>
      <c r="M52" s="33"/>
      <c r="N52" s="27"/>
      <c r="O52" s="27"/>
    </row>
    <row r="53" spans="1:15" ht="13.5" customHeight="1" x14ac:dyDescent="0.15">
      <c r="A53" s="125"/>
      <c r="B53" s="121">
        <v>45948</v>
      </c>
      <c r="C53" s="155" t="s">
        <v>333</v>
      </c>
      <c r="D53" s="27" t="str">
        <f>IFERROR(VLOOKUP($C53,烤漆色號編碼!$A:$C,2,FALSE),"-")</f>
        <v>-</v>
      </c>
      <c r="E53" s="154" t="str">
        <f>IFERROR(VLOOKUP($C53,當前庫存!$C:$I,5,FALSE),"-")</f>
        <v>-</v>
      </c>
      <c r="F53" s="28"/>
      <c r="G53" s="28"/>
      <c r="H53" s="27" t="str">
        <f>IFERROR(VLOOKUP($C53,烤漆色號編碼!$A:$D,4,FALSE)*表格2[[#This Row],[出]]+表格2[[#This Row],[散粉]],"-")</f>
        <v>-</v>
      </c>
      <c r="I53" s="29"/>
      <c r="J53" s="30" t="str">
        <f>IFERROR(表格2[[#This Row],[重量(Kg)]]-表格2[[#This Row],[回庫]],"-")</f>
        <v>-</v>
      </c>
      <c r="K53" s="31"/>
      <c r="L53" s="32"/>
      <c r="M53" s="33"/>
      <c r="N53" s="27"/>
      <c r="O53" s="27"/>
    </row>
    <row r="54" spans="1:15" x14ac:dyDescent="0.15">
      <c r="A54" s="125"/>
      <c r="B54" s="121">
        <v>45949</v>
      </c>
      <c r="C54" s="27" t="s">
        <v>333</v>
      </c>
      <c r="D54" s="27" t="str">
        <f>IFERROR(VLOOKUP($C54,烤漆色號編碼!$A:$C,2,FALSE),"-")</f>
        <v>-</v>
      </c>
      <c r="E54" s="27" t="str">
        <f>IFERROR(VLOOKUP($C54,當前庫存!$C:$I,5,FALSE),"-")</f>
        <v>-</v>
      </c>
      <c r="F54" s="28"/>
      <c r="G54" s="28"/>
      <c r="H54" s="27" t="str">
        <f>IFERROR(VLOOKUP($C54,烤漆色號編碼!$A:$D,4,FALSE)*表格2[[#This Row],[出]]+表格2[[#This Row],[散粉]],"-")</f>
        <v>-</v>
      </c>
      <c r="I54" s="29"/>
      <c r="J54" s="30" t="str">
        <f>IFERROR(表格2[[#This Row],[重量(Kg)]]-表格2[[#This Row],[回庫]],"-")</f>
        <v>-</v>
      </c>
      <c r="K54" s="31"/>
      <c r="L54" s="32"/>
      <c r="M54" s="33"/>
      <c r="N54" s="27"/>
      <c r="O54" s="27"/>
    </row>
    <row r="55" spans="1:15" x14ac:dyDescent="0.15">
      <c r="A55" s="125"/>
      <c r="B55" s="121">
        <v>45950</v>
      </c>
      <c r="C55" s="27" t="s">
        <v>336</v>
      </c>
      <c r="D55" s="27" t="str">
        <f>IFERROR(VLOOKUP($C55,烤漆色號編碼!$A:$C,2,FALSE),"-")</f>
        <v>WE2</v>
      </c>
      <c r="E55" s="27">
        <f>IFERROR(VLOOKUP($C55,當前庫存!$C:$I,5,FALSE),"-")</f>
        <v>26</v>
      </c>
      <c r="F55" s="28">
        <v>3</v>
      </c>
      <c r="G55" s="28">
        <f>6+6</f>
        <v>12</v>
      </c>
      <c r="H55" s="27">
        <f>IFERROR(VLOOKUP($C55,烤漆色號編碼!$A:$D,4,FALSE)*表格2[[#This Row],[出]]+表格2[[#This Row],[散粉]],"-")</f>
        <v>87</v>
      </c>
      <c r="I55" s="29">
        <f>4+6</f>
        <v>10</v>
      </c>
      <c r="J55" s="30">
        <f>IFERROR(表格2[[#This Row],[重量(Kg)]]-表格2[[#This Row],[回庫]],"-")</f>
        <v>77</v>
      </c>
      <c r="K55" s="31"/>
      <c r="L55" s="32"/>
      <c r="M55" s="33"/>
      <c r="N55" s="27"/>
      <c r="O55" s="27"/>
    </row>
    <row r="56" spans="1:15" x14ac:dyDescent="0.15">
      <c r="A56" s="125"/>
      <c r="B56" s="121">
        <v>45950</v>
      </c>
      <c r="C56" s="27" t="s">
        <v>337</v>
      </c>
      <c r="D56" s="27" t="str">
        <f>IFERROR(VLOOKUP($C56,烤漆色號編碼!$A:$C,2,FALSE),"-")</f>
        <v>-</v>
      </c>
      <c r="E56" s="27" t="str">
        <f>IFERROR(VLOOKUP($C56,當前庫存!$C:$I,5,FALSE),"-")</f>
        <v>-</v>
      </c>
      <c r="F56" s="28">
        <v>1</v>
      </c>
      <c r="G56" s="28"/>
      <c r="H56" s="27">
        <f>IFERROR(VLOOKUP($C56,烤漆色號編碼!$A:$D,4,FALSE)*表格2[[#This Row],[出]]+表格2[[#This Row],[散粉]],"-")</f>
        <v>25</v>
      </c>
      <c r="I56" s="29"/>
      <c r="J56" s="30">
        <f>IFERROR(表格2[[#This Row],[重量(Kg)]]-表格2[[#This Row],[回庫]],"-")</f>
        <v>25</v>
      </c>
      <c r="K56" s="31"/>
      <c r="L56" s="32"/>
      <c r="M56" s="33"/>
      <c r="N56" s="27"/>
      <c r="O56" s="27"/>
    </row>
    <row r="57" spans="1:15" x14ac:dyDescent="0.15">
      <c r="A57" s="125"/>
      <c r="B57" s="121">
        <v>45951</v>
      </c>
      <c r="C57" s="27" t="s">
        <v>332</v>
      </c>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45952</v>
      </c>
      <c r="C58" s="27" t="s">
        <v>138</v>
      </c>
      <c r="D58" s="27" t="str">
        <f>IFERROR(VLOOKUP($C58,烤漆色號編碼!$A:$C,2,FALSE),"-")</f>
        <v>BK</v>
      </c>
      <c r="E58" s="27">
        <f>IFERROR(VLOOKUP($C58,當前庫存!$C:$I,5,FALSE),"-")</f>
        <v>4</v>
      </c>
      <c r="F58" s="28"/>
      <c r="G58" s="28">
        <v>20</v>
      </c>
      <c r="H58" s="27">
        <f>IFERROR(VLOOKUP($C58,烤漆色號編碼!$A:$D,4,FALSE)*表格2[[#This Row],[出]]+表格2[[#This Row],[散粉]],"-")</f>
        <v>20</v>
      </c>
      <c r="I58" s="29">
        <v>11</v>
      </c>
      <c r="J58" s="30">
        <f>IFERROR(表格2[[#This Row],[重量(Kg)]]-表格2[[#This Row],[回庫]],"-")</f>
        <v>9</v>
      </c>
      <c r="K58" s="31"/>
      <c r="L58" s="32"/>
      <c r="M58" s="33"/>
      <c r="N58" s="27"/>
      <c r="O58" s="27"/>
    </row>
    <row r="59" spans="1:15" x14ac:dyDescent="0.15">
      <c r="A59" s="125"/>
      <c r="B59" s="121">
        <v>45952</v>
      </c>
      <c r="C59" s="27" t="s">
        <v>335</v>
      </c>
      <c r="D59" s="27" t="str">
        <f>IFERROR(VLOOKUP($C59,烤漆色號編碼!$A:$C,2,FALSE),"-")</f>
        <v>EBK</v>
      </c>
      <c r="E59" s="27">
        <f>IFERROR(VLOOKUP($C59,當前庫存!$C:$I,5,FALSE),"-")</f>
        <v>3</v>
      </c>
      <c r="F59" s="28">
        <v>1</v>
      </c>
      <c r="G59" s="28">
        <v>7</v>
      </c>
      <c r="H59" s="27">
        <f>IFERROR(VLOOKUP($C59,烤漆色號編碼!$A:$D,4,FALSE)*表格2[[#This Row],[出]]+表格2[[#This Row],[散粉]],"-")</f>
        <v>32</v>
      </c>
      <c r="I59" s="29">
        <v>26</v>
      </c>
      <c r="J59" s="30">
        <f>IFERROR(表格2[[#This Row],[重量(Kg)]]-表格2[[#This Row],[回庫]],"-")</f>
        <v>6</v>
      </c>
      <c r="K59" s="31"/>
      <c r="L59" s="32"/>
      <c r="M59" s="33"/>
      <c r="N59" s="27"/>
      <c r="O59" s="27"/>
    </row>
    <row r="60" spans="1:15" x14ac:dyDescent="0.15">
      <c r="A60" s="125"/>
      <c r="B60" s="121">
        <v>45952</v>
      </c>
      <c r="C60" s="27" t="s">
        <v>338</v>
      </c>
      <c r="D60" s="27" t="str">
        <f>IFERROR(VLOOKUP($C60,烤漆色號編碼!$A:$C,2,FALSE),"-")</f>
        <v>IGS</v>
      </c>
      <c r="E60" s="27">
        <f>IFERROR(VLOOKUP($C60,當前庫存!$C:$I,5,FALSE),"-")</f>
        <v>2</v>
      </c>
      <c r="F60" s="28">
        <v>1</v>
      </c>
      <c r="G60" s="28">
        <v>7</v>
      </c>
      <c r="H60" s="27">
        <f>IFERROR(VLOOKUP($C60,烤漆色號編碼!$A:$D,4,FALSE)*表格2[[#This Row],[出]]+表格2[[#This Row],[散粉]],"-")</f>
        <v>32</v>
      </c>
      <c r="I60" s="29">
        <v>14</v>
      </c>
      <c r="J60" s="30">
        <f>IFERROR(表格2[[#This Row],[重量(Kg)]]-表格2[[#This Row],[回庫]],"-")</f>
        <v>18</v>
      </c>
      <c r="K60" s="31"/>
      <c r="L60" s="32"/>
      <c r="M60" s="33"/>
      <c r="N60" s="27"/>
      <c r="O60" s="27"/>
    </row>
    <row r="61" spans="1:15" x14ac:dyDescent="0.15">
      <c r="A61" s="125"/>
      <c r="B61" s="121">
        <v>45952</v>
      </c>
      <c r="C61" s="27" t="s">
        <v>341</v>
      </c>
      <c r="D61" s="27" t="str">
        <f>IFERROR(VLOOKUP($C61,烤漆色號編碼!$A:$C,2,FALSE),"-")</f>
        <v>BKH</v>
      </c>
      <c r="E61" s="27">
        <f>IFERROR(VLOOKUP($C61,當前庫存!$C:$I,5,FALSE),"-")</f>
        <v>0</v>
      </c>
      <c r="F61" s="28"/>
      <c r="G61" s="28">
        <v>23</v>
      </c>
      <c r="H61" s="27">
        <f>IFERROR(VLOOKUP($C61,烤漆色號編碼!$A:$D,4,FALSE)*表格2[[#This Row],[出]]+表格2[[#This Row],[散粉]],"-")</f>
        <v>23</v>
      </c>
      <c r="I61" s="29">
        <v>20</v>
      </c>
      <c r="J61" s="30">
        <f>IFERROR(表格2[[#This Row],[重量(Kg)]]-表格2[[#This Row],[回庫]],"-")</f>
        <v>3</v>
      </c>
      <c r="K61" s="31"/>
      <c r="L61" s="32"/>
      <c r="M61" s="33"/>
      <c r="N61" s="27"/>
      <c r="O61" s="27"/>
    </row>
    <row r="62" spans="1:15" x14ac:dyDescent="0.15">
      <c r="A62" s="125"/>
      <c r="B62" s="121">
        <v>45952</v>
      </c>
      <c r="C62" s="27" t="s">
        <v>339</v>
      </c>
      <c r="D62" s="27" t="str">
        <f>IFERROR(VLOOKUP($C62,烤漆色號編碼!$A:$C,2,FALSE),"-")</f>
        <v>YW1</v>
      </c>
      <c r="E62" s="27">
        <f>IFERROR(VLOOKUP($C62,當前庫存!$C:$I,5,FALSE),"-")</f>
        <v>12</v>
      </c>
      <c r="F62" s="28"/>
      <c r="G62" s="28">
        <f>4+21</f>
        <v>25</v>
      </c>
      <c r="H62" s="27">
        <f>IFERROR(VLOOKUP($C62,烤漆色號編碼!$A:$D,4,FALSE)*表格2[[#This Row],[出]]+表格2[[#This Row],[散粉]],"-")</f>
        <v>25</v>
      </c>
      <c r="I62" s="29">
        <v>10</v>
      </c>
      <c r="J62" s="30">
        <f>IFERROR(表格2[[#This Row],[重量(Kg)]]-表格2[[#This Row],[回庫]],"-")</f>
        <v>15</v>
      </c>
      <c r="K62" s="31"/>
      <c r="L62" s="32"/>
      <c r="M62" s="33"/>
      <c r="N62" s="27"/>
      <c r="O62" s="27"/>
    </row>
    <row r="63" spans="1:15" x14ac:dyDescent="0.15">
      <c r="A63" s="125"/>
      <c r="B63" s="121">
        <v>45952</v>
      </c>
      <c r="C63" s="27" t="s">
        <v>2</v>
      </c>
      <c r="D63" s="27" t="str">
        <f>IFERROR(VLOOKUP($C63,烤漆色號編碼!$A:$C,2,FALSE),"-")</f>
        <v>BKS1</v>
      </c>
      <c r="E63" s="27">
        <f>IFERROR(VLOOKUP($C63,當前庫存!$C:$I,5,FALSE),"-")</f>
        <v>17</v>
      </c>
      <c r="F63" s="28">
        <v>1</v>
      </c>
      <c r="G63" s="28">
        <v>6</v>
      </c>
      <c r="H63" s="27">
        <f>IFERROR(VLOOKUP($C63,烤漆色號編碼!$A:$D,4,FALSE)*表格2[[#This Row],[出]]+表格2[[#This Row],[散粉]],"-")</f>
        <v>31</v>
      </c>
      <c r="I63" s="29">
        <v>9</v>
      </c>
      <c r="J63" s="30">
        <f>IFERROR(表格2[[#This Row],[重量(Kg)]]-表格2[[#This Row],[回庫]],"-")</f>
        <v>22</v>
      </c>
      <c r="K63" s="31"/>
      <c r="L63" s="32"/>
      <c r="M63" s="33"/>
      <c r="N63" s="27"/>
      <c r="O63" s="27"/>
    </row>
    <row r="64" spans="1:15" x14ac:dyDescent="0.15">
      <c r="A64" s="125"/>
      <c r="B64" s="121">
        <v>45952</v>
      </c>
      <c r="C64" s="27" t="s">
        <v>336</v>
      </c>
      <c r="D64" s="27" t="str">
        <f>IFERROR(VLOOKUP($C64,烤漆色號編碼!$A:$C,2,FALSE),"-")</f>
        <v>WE2</v>
      </c>
      <c r="E64" s="27">
        <f>IFERROR(VLOOKUP($C64,當前庫存!$C:$I,5,FALSE),"-")</f>
        <v>26</v>
      </c>
      <c r="F64" s="28">
        <v>1</v>
      </c>
      <c r="G64" s="28">
        <f>4+6</f>
        <v>10</v>
      </c>
      <c r="H64" s="27">
        <f>IFERROR(VLOOKUP($C64,烤漆色號編碼!$A:$D,4,FALSE)*表格2[[#This Row],[出]]+表格2[[#This Row],[散粉]],"-")</f>
        <v>35</v>
      </c>
      <c r="I64" s="29">
        <f>13+6</f>
        <v>19</v>
      </c>
      <c r="J64" s="30">
        <f>IFERROR(表格2[[#This Row],[重量(Kg)]]-表格2[[#This Row],[回庫]],"-")</f>
        <v>16</v>
      </c>
      <c r="K64" s="31"/>
      <c r="L64" s="32"/>
      <c r="M64" s="33"/>
      <c r="N64" s="27"/>
      <c r="O64" s="27"/>
    </row>
    <row r="65" spans="1:15" x14ac:dyDescent="0.15">
      <c r="A65" s="125"/>
      <c r="B65" s="121">
        <v>45952</v>
      </c>
      <c r="C65" s="27" t="s">
        <v>337</v>
      </c>
      <c r="D65" s="27" t="str">
        <f>IFERROR(VLOOKUP($C65,烤漆色號編碼!$A:$C,2,FALSE),"-")</f>
        <v>-</v>
      </c>
      <c r="E65" s="27" t="str">
        <f>IFERROR(VLOOKUP($C65,當前庫存!$C:$I,5,FALSE),"-")</f>
        <v>-</v>
      </c>
      <c r="F65" s="28">
        <v>1</v>
      </c>
      <c r="G65" s="28"/>
      <c r="H65" s="27">
        <f>IFERROR(VLOOKUP($C65,烤漆色號編碼!$A:$D,4,FALSE)*表格2[[#This Row],[出]]+表格2[[#This Row],[散粉]],"-")</f>
        <v>25</v>
      </c>
      <c r="I65" s="29"/>
      <c r="J65" s="30">
        <f>IFERROR(表格2[[#This Row],[重量(Kg)]]-表格2[[#This Row],[回庫]],"-")</f>
        <v>25</v>
      </c>
      <c r="K65" s="31"/>
      <c r="L65" s="32"/>
      <c r="M65" s="33"/>
      <c r="N65" s="27"/>
      <c r="O65" s="27"/>
    </row>
    <row r="66" spans="1:15" x14ac:dyDescent="0.15">
      <c r="A66" s="125"/>
      <c r="B66" s="121">
        <v>45953</v>
      </c>
      <c r="C66" s="27" t="s">
        <v>336</v>
      </c>
      <c r="D66" s="27" t="str">
        <f>IFERROR(VLOOKUP($C66,烤漆色號編碼!$A:$C,2,FALSE),"-")</f>
        <v>WE2</v>
      </c>
      <c r="E66" s="27">
        <f>IFERROR(VLOOKUP($C66,當前庫存!$C:$I,5,FALSE),"-")</f>
        <v>26</v>
      </c>
      <c r="F66" s="28">
        <v>5</v>
      </c>
      <c r="G66" s="28">
        <f>13+6</f>
        <v>19</v>
      </c>
      <c r="H66" s="27">
        <f>IFERROR(VLOOKUP($C66,烤漆色號編碼!$A:$D,4,FALSE)*表格2[[#This Row],[出]]+表格2[[#This Row],[散粉]],"-")</f>
        <v>144</v>
      </c>
      <c r="I66" s="29">
        <f>14+6</f>
        <v>20</v>
      </c>
      <c r="J66" s="30">
        <f>IFERROR(表格2[[#This Row],[重量(Kg)]]-表格2[[#This Row],[回庫]],"-")</f>
        <v>124</v>
      </c>
      <c r="K66" s="31"/>
      <c r="L66" s="32"/>
      <c r="M66" s="33"/>
      <c r="N66" s="27"/>
      <c r="O66" s="27"/>
    </row>
    <row r="67" spans="1:15" x14ac:dyDescent="0.15">
      <c r="A67" s="125"/>
      <c r="B67" s="121">
        <v>45953</v>
      </c>
      <c r="C67" s="27" t="s">
        <v>337</v>
      </c>
      <c r="D67" s="27" t="str">
        <f>IFERROR(VLOOKUP($C67,烤漆色號編碼!$A:$C,2,FALSE),"-")</f>
        <v>-</v>
      </c>
      <c r="E67" s="27" t="str">
        <f>IFERROR(VLOOKUP($C67,當前庫存!$C:$I,5,FALSE),"-")</f>
        <v>-</v>
      </c>
      <c r="F67" s="28">
        <v>2</v>
      </c>
      <c r="G67" s="28"/>
      <c r="H67" s="27">
        <f>IFERROR(VLOOKUP($C67,烤漆色號編碼!$A:$D,4,FALSE)*表格2[[#This Row],[出]]+表格2[[#This Row],[散粉]],"-")</f>
        <v>50</v>
      </c>
      <c r="I67" s="29"/>
      <c r="J67" s="30">
        <f>IFERROR(表格2[[#This Row],[重量(Kg)]]-表格2[[#This Row],[回庫]],"-")</f>
        <v>50</v>
      </c>
      <c r="K67" s="31"/>
      <c r="L67" s="32"/>
      <c r="M67" s="33"/>
      <c r="N67" s="27"/>
      <c r="O67" s="27"/>
    </row>
    <row r="68" spans="1:15" x14ac:dyDescent="0.15">
      <c r="A68" s="125"/>
      <c r="B68" s="121">
        <v>45954</v>
      </c>
      <c r="C68" s="27" t="s">
        <v>334</v>
      </c>
      <c r="D68" s="27" t="str">
        <f>IFERROR(VLOOKUP($C68,烤漆色號編碼!$A:$C,2,FALSE),"-")</f>
        <v>-</v>
      </c>
      <c r="E68" s="27" t="str">
        <f>IFERROR(VLOOKUP($C68,當前庫存!$C:$I,5,FALSE),"-")</f>
        <v>-</v>
      </c>
      <c r="F68" s="28"/>
      <c r="G68" s="28"/>
      <c r="H68" s="27" t="str">
        <f>IFERROR(VLOOKUP($C68,烤漆色號編碼!$A:$D,4,FALSE)*表格2[[#This Row],[出]]+表格2[[#This Row],[散粉]],"-")</f>
        <v>-</v>
      </c>
      <c r="I68" s="29"/>
      <c r="J68" s="30" t="str">
        <f>IFERROR(表格2[[#This Row],[重量(Kg)]]-表格2[[#This Row],[回庫]],"-")</f>
        <v>-</v>
      </c>
      <c r="K68" s="31"/>
      <c r="L68" s="32"/>
      <c r="M68" s="33"/>
      <c r="N68" s="27"/>
      <c r="O68" s="27"/>
    </row>
    <row r="69" spans="1:15" x14ac:dyDescent="0.15">
      <c r="A69" s="125"/>
      <c r="B69" s="121">
        <v>45955</v>
      </c>
      <c r="C69" s="27" t="s">
        <v>333</v>
      </c>
      <c r="D69" s="27" t="str">
        <f>IFERROR(VLOOKUP($C69,烤漆色號編碼!$A:$C,2,FALSE),"-")</f>
        <v>-</v>
      </c>
      <c r="E69" s="27" t="str">
        <f>IFERROR(VLOOKUP($C69,當前庫存!$C:$I,5,FALSE),"-")</f>
        <v>-</v>
      </c>
      <c r="F69" s="28"/>
      <c r="G69" s="28"/>
      <c r="H69" s="27" t="str">
        <f>IFERROR(VLOOKUP($C69,烤漆色號編碼!$A:$D,4,FALSE)*表格2[[#This Row],[出]]+表格2[[#This Row],[散粉]],"-")</f>
        <v>-</v>
      </c>
      <c r="I69" s="29"/>
      <c r="J69" s="30" t="str">
        <f>IFERROR(表格2[[#This Row],[重量(Kg)]]-表格2[[#This Row],[回庫]],"-")</f>
        <v>-</v>
      </c>
      <c r="K69" s="31"/>
      <c r="L69" s="32"/>
      <c r="M69" s="33"/>
      <c r="N69" s="27"/>
      <c r="O69" s="27"/>
    </row>
    <row r="70" spans="1:15" x14ac:dyDescent="0.15">
      <c r="A70" s="125"/>
      <c r="B70" s="121">
        <v>45956</v>
      </c>
      <c r="C70" s="34" t="s">
        <v>333</v>
      </c>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1">
        <v>45957</v>
      </c>
      <c r="C71" s="34" t="s">
        <v>339</v>
      </c>
      <c r="D71" s="34" t="str">
        <f>IFERROR(VLOOKUP($C71,烤漆色號編碼!$A:$C,2,FALSE),"-")</f>
        <v>YW1</v>
      </c>
      <c r="E71" s="34">
        <f>IFERROR(VLOOKUP($C71,當前庫存!$C:$I,5,FALSE),"-")</f>
        <v>12</v>
      </c>
      <c r="F71" s="39">
        <v>1</v>
      </c>
      <c r="G71" s="39">
        <v>10</v>
      </c>
      <c r="H71" s="27">
        <f>IFERROR(VLOOKUP($C71,烤漆色號編碼!$A:$D,4,FALSE)*表格2[[#This Row],[出]]+表格2[[#This Row],[散粉]],"-")</f>
        <v>35</v>
      </c>
      <c r="I71" s="35">
        <v>5</v>
      </c>
      <c r="J71" s="30">
        <f>IFERROR(表格2[[#This Row],[重量(Kg)]]-表格2[[#This Row],[回庫]],"-")</f>
        <v>30</v>
      </c>
      <c r="K71" s="36"/>
      <c r="L71" s="37"/>
      <c r="M71" s="38"/>
      <c r="N71" s="34"/>
      <c r="O71" s="34"/>
    </row>
    <row r="72" spans="1:15" x14ac:dyDescent="0.15">
      <c r="A72" s="125"/>
      <c r="B72" s="121">
        <v>45957</v>
      </c>
      <c r="C72" s="34" t="s">
        <v>2</v>
      </c>
      <c r="D72" s="34" t="str">
        <f>IFERROR(VLOOKUP($C72,烤漆色號編碼!$A:$C,2,FALSE),"-")</f>
        <v>BKS1</v>
      </c>
      <c r="E72" s="34">
        <f>IFERROR(VLOOKUP($C72,當前庫存!$C:$I,5,FALSE),"-")</f>
        <v>17</v>
      </c>
      <c r="F72" s="39">
        <v>1</v>
      </c>
      <c r="G72" s="39">
        <v>9</v>
      </c>
      <c r="H72" s="27">
        <f>IFERROR(VLOOKUP($C72,烤漆色號編碼!$A:$D,4,FALSE)*表格2[[#This Row],[出]]+表格2[[#This Row],[散粉]],"-")</f>
        <v>34</v>
      </c>
      <c r="I72" s="35">
        <v>18</v>
      </c>
      <c r="J72" s="30">
        <f>IFERROR(表格2[[#This Row],[重量(Kg)]]-表格2[[#This Row],[回庫]],"-")</f>
        <v>16</v>
      </c>
      <c r="K72" s="36"/>
      <c r="L72" s="37"/>
      <c r="M72" s="38"/>
      <c r="N72" s="34"/>
      <c r="O72" s="34"/>
    </row>
    <row r="73" spans="1:15" x14ac:dyDescent="0.15">
      <c r="A73" s="125"/>
      <c r="B73" s="121">
        <v>45957</v>
      </c>
      <c r="C73" s="34" t="s">
        <v>335</v>
      </c>
      <c r="D73" s="34" t="str">
        <f>IFERROR(VLOOKUP($C73,烤漆色號編碼!$A:$C,2,FALSE),"-")</f>
        <v>EBK</v>
      </c>
      <c r="E73" s="34">
        <f>IFERROR(VLOOKUP($C73,當前庫存!$C:$I,5,FALSE),"-")</f>
        <v>3</v>
      </c>
      <c r="F73" s="39"/>
      <c r="G73" s="39">
        <v>26</v>
      </c>
      <c r="H73" s="27">
        <f>IFERROR(VLOOKUP($C73,烤漆色號編碼!$A:$D,4,FALSE)*表格2[[#This Row],[出]]+表格2[[#This Row],[散粉]],"-")</f>
        <v>26</v>
      </c>
      <c r="I73" s="35">
        <v>26</v>
      </c>
      <c r="J73" s="30">
        <f>IFERROR(表格2[[#This Row],[重量(Kg)]]-表格2[[#This Row],[回庫]],"-")</f>
        <v>0</v>
      </c>
      <c r="K73" s="36"/>
      <c r="L73" s="37"/>
      <c r="M73" s="38"/>
      <c r="N73" s="34"/>
      <c r="O73" s="34"/>
    </row>
    <row r="74" spans="1:15" x14ac:dyDescent="0.15">
      <c r="A74" s="125"/>
      <c r="B74" s="121">
        <v>45957</v>
      </c>
      <c r="C74" s="34" t="s">
        <v>336</v>
      </c>
      <c r="D74" s="34" t="str">
        <f>IFERROR(VLOOKUP($C74,烤漆色號編碼!$A:$C,2,FALSE),"-")</f>
        <v>WE2</v>
      </c>
      <c r="E74" s="34">
        <f>IFERROR(VLOOKUP($C74,當前庫存!$C:$I,5,FALSE),"-")</f>
        <v>26</v>
      </c>
      <c r="F74" s="39">
        <v>2</v>
      </c>
      <c r="G74" s="39">
        <f>14+6+22</f>
        <v>42</v>
      </c>
      <c r="H74" s="27">
        <f>IFERROR(VLOOKUP($C74,烤漆色號編碼!$A:$D,4,FALSE)*表格2[[#This Row],[出]]+表格2[[#This Row],[散粉]],"-")</f>
        <v>92</v>
      </c>
      <c r="I74" s="35">
        <v>8</v>
      </c>
      <c r="J74" s="30">
        <f>IFERROR(表格2[[#This Row],[重量(Kg)]]-表格2[[#This Row],[回庫]],"-")</f>
        <v>84</v>
      </c>
      <c r="K74" s="36"/>
      <c r="L74" s="37"/>
      <c r="M74" s="38"/>
      <c r="N74" s="34"/>
      <c r="O74" s="34"/>
    </row>
    <row r="75" spans="1:15" x14ac:dyDescent="0.15">
      <c r="A75" s="125"/>
      <c r="B75" s="121">
        <v>45957</v>
      </c>
      <c r="C75" s="34" t="s">
        <v>337</v>
      </c>
      <c r="D75" s="34" t="str">
        <f>IFERROR(VLOOKUP($C75,烤漆色號編碼!$A:$C,2,FALSE),"-")</f>
        <v>-</v>
      </c>
      <c r="E75" s="34" t="str">
        <f>IFERROR(VLOOKUP($C75,當前庫存!$C:$I,5,FALSE),"-")</f>
        <v>-</v>
      </c>
      <c r="F75" s="39">
        <v>1</v>
      </c>
      <c r="G75" s="39"/>
      <c r="H75" s="27">
        <f>IFERROR(VLOOKUP($C75,烤漆色號編碼!$A:$D,4,FALSE)*表格2[[#This Row],[出]]+表格2[[#This Row],[散粉]],"-")</f>
        <v>25</v>
      </c>
      <c r="I75" s="35"/>
      <c r="J75" s="30">
        <f>IFERROR(表格2[[#This Row],[重量(Kg)]]-表格2[[#This Row],[回庫]],"-")</f>
        <v>25</v>
      </c>
      <c r="K75" s="36"/>
      <c r="L75" s="37"/>
      <c r="M75" s="38"/>
      <c r="N75" s="34"/>
      <c r="O75" s="34"/>
    </row>
    <row r="76" spans="1:15" x14ac:dyDescent="0.15">
      <c r="A76" s="125"/>
      <c r="B76" s="121"/>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1"/>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1"/>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1"/>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1"/>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1"/>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1"/>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1"/>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1"/>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5"/>
      <c r="B85" s="121"/>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5"/>
      <c r="B86" s="121"/>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5"/>
      <c r="B87" s="121"/>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0"/>
      <c r="L94" s="30"/>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0"/>
      <c r="L95" s="30"/>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0"/>
      <c r="L96" s="30"/>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row r="125" spans="1:15" x14ac:dyDescent="0.15">
      <c r="A125" s="125"/>
      <c r="B125" s="122"/>
      <c r="C125" s="34"/>
      <c r="D125" s="34" t="str">
        <f>IFERROR(VLOOKUP($C125,烤漆色號編碼!$A:$C,2,FALSE),"-")</f>
        <v>-</v>
      </c>
      <c r="E125" s="34" t="str">
        <f>IFERROR(VLOOKUP($C125,當前庫存!$C:$I,5,FALSE),"-")</f>
        <v>-</v>
      </c>
      <c r="F125" s="39"/>
      <c r="G125" s="39"/>
      <c r="H125" s="27" t="str">
        <f>IFERROR(VLOOKUP($C125,烤漆色號編碼!$A:$D,4,FALSE)*表格2[[#This Row],[出]]+表格2[[#This Row],[散粉]],"-")</f>
        <v>-</v>
      </c>
      <c r="I125" s="35"/>
      <c r="J125" s="30" t="str">
        <f>IFERROR(表格2[[#This Row],[重量(Kg)]]-表格2[[#This Row],[回庫]],"-")</f>
        <v>-</v>
      </c>
      <c r="K125" s="36"/>
      <c r="L125" s="37"/>
      <c r="M125" s="38"/>
      <c r="N125" s="34"/>
      <c r="O125" s="34"/>
    </row>
    <row r="126" spans="1:15" x14ac:dyDescent="0.15">
      <c r="A126" s="125"/>
      <c r="B126" s="122"/>
      <c r="C126" s="34"/>
      <c r="D126" s="34" t="str">
        <f>IFERROR(VLOOKUP($C126,烤漆色號編碼!$A:$C,2,FALSE),"-")</f>
        <v>-</v>
      </c>
      <c r="E126" s="34" t="str">
        <f>IFERROR(VLOOKUP($C126,當前庫存!$C:$I,5,FALSE),"-")</f>
        <v>-</v>
      </c>
      <c r="F126" s="39"/>
      <c r="G126" s="39"/>
      <c r="H126" s="27" t="str">
        <f>IFERROR(VLOOKUP($C126,烤漆色號編碼!$A:$D,4,FALSE)*表格2[[#This Row],[出]]+表格2[[#This Row],[散粉]],"-")</f>
        <v>-</v>
      </c>
      <c r="I126" s="35"/>
      <c r="J126" s="30" t="str">
        <f>IFERROR(表格2[[#This Row],[重量(Kg)]]-表格2[[#This Row],[回庫]],"-")</f>
        <v>-</v>
      </c>
      <c r="K126" s="36"/>
      <c r="L126" s="37"/>
      <c r="M126" s="38"/>
      <c r="N126" s="34"/>
      <c r="O126" s="34"/>
    </row>
  </sheetData>
  <phoneticPr fontId="36" type="noConversion"/>
  <conditionalFormatting sqref="C1: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1048576">
    <cfRule type="cellIs" dxfId="27" priority="13" operator="equal">
      <formula>0</formula>
    </cfRule>
  </conditionalFormatting>
  <conditionalFormatting sqref="M3:M126">
    <cfRule type="containsText" dxfId="26" priority="12" operator="containsText" text="不">
      <formula>NOT(ISERROR(SEARCH("不",M3)))</formula>
    </cfRule>
  </conditionalFormatting>
  <dataValidations count="3">
    <dataValidation type="list" allowBlank="1" showInputMessage="1" sqref="K97:K1048576 K1:K89" xr:uid="{00000000-0002-0000-0000-000000000000}">
      <formula1>"全,上,下"</formula1>
    </dataValidation>
    <dataValidation showInputMessage="1" sqref="L97:L1048576 L1:L89"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C127:C1048576</xm:sqref>
        </x14:dataValidation>
        <x14:dataValidation type="list" allowBlank="1" showInputMessage="1" showErrorMessage="1" xr:uid="{E62D93A0-D236-4D6F-8222-051864185B9A}">
          <x14:formula1>
            <xm:f>烤漆色號編碼!$A:$A</xm:f>
          </x14:formula1>
          <xm:sqref>C3:C126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F2" zoomScale="92" workbookViewId="0">
      <selection activeCell="G37" sqref="G37"/>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5.19921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342</v>
      </c>
      <c r="D2" s="53" t="s">
        <v>343</v>
      </c>
      <c r="E2" s="52" t="s">
        <v>344</v>
      </c>
      <c r="F2" s="52" t="s">
        <v>345</v>
      </c>
      <c r="G2" s="21">
        <f ca="1">TODAY()</f>
        <v>46300</v>
      </c>
      <c r="H2" s="54" t="e">
        <f>TEXT(WEEKDAY(每日用粉紀錄表!#REF!,1),"aaaa")</f>
        <v>#REF!</v>
      </c>
      <c r="I2" s="55"/>
      <c r="J2" s="55"/>
      <c r="K2" s="56"/>
      <c r="L2" s="57"/>
      <c r="M2" s="56"/>
    </row>
    <row r="3" spans="1:13" s="58" customFormat="1" x14ac:dyDescent="0.15">
      <c r="A3" s="59"/>
      <c r="B3" s="60" t="s">
        <v>346</v>
      </c>
      <c r="C3" s="60" t="s">
        <v>23</v>
      </c>
      <c r="D3" s="60" t="s">
        <v>347</v>
      </c>
      <c r="E3" s="60" t="s">
        <v>17</v>
      </c>
      <c r="F3" s="60" t="s">
        <v>348</v>
      </c>
      <c r="G3" s="60" t="s">
        <v>343</v>
      </c>
      <c r="H3" s="60" t="s">
        <v>349</v>
      </c>
      <c r="I3" s="60" t="s">
        <v>350</v>
      </c>
      <c r="J3" s="60" t="s">
        <v>351</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借出!H:H,借出!D:D,C4)-SUMIFS(每日用粉紀錄表!G:G,每日用粉紀錄表!C:C,C4)+SUMIFS(歸還!H:H,歸還!D:D,C4)+SUMIFS(每日用粉紀錄表!I:I,每日用粉紀錄表!C:C,C4)</f>
        <v>38</v>
      </c>
      <c r="G4" s="126">
        <f>SUMIFS(期初庫存!G:G,期初庫存!C:C,C4)+SUMIFS(採購入庫!G:G,採購入庫!D:D,C4)-SUMIFS(每日用粉紀錄表!F:F,每日用粉紀錄表!C:C,C4)-SUMIFS(借出!G:G,借出!D:D,C4)+SUMIFS(歸還!G:G,歸還!D:D,C4)</f>
        <v>1</v>
      </c>
      <c r="H4" s="63"/>
      <c r="I4" s="65" t="str">
        <f>IF(H4&gt;G4,"採購","否")</f>
        <v>否</v>
      </c>
      <c r="J4" s="63">
        <f>IFERROR($G4*25+$F4,"-")</f>
        <v>63</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借出!H:H,借出!D:D,C5)-SUMIFS(每日用粉紀錄表!G:G,每日用粉紀錄表!C:C,C5)+SUMIFS(歸還!H:H,歸還!D:D,C5)+SUMIFS(每日用粉紀錄表!I:I,每日用粉紀錄表!C:C,C5)</f>
        <v>12</v>
      </c>
      <c r="G5" s="126">
        <f>SUMIFS(期初庫存!G:G,期初庫存!C:C,C5)+SUMIFS(採購入庫!G:G,採購入庫!D:D,C5)-SUMIFS(每日用粉紀錄表!F:F,每日用粉紀錄表!C:C,C5)-SUMIFS(借出!G:G,借出!D:D,C5)+SUMIFS(歸還!G:G,歸還!D:D,C5)</f>
        <v>1</v>
      </c>
      <c r="H5" s="63"/>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借出!H:H,借出!D:D,C6)-SUMIFS(每日用粉紀錄表!G:G,每日用粉紀錄表!C:C,C6)+SUMIFS(歸還!H:H,歸還!D:D,C6)+SUMIFS(每日用粉紀錄表!I:I,每日用粉紀錄表!C:C,C6)</f>
        <v>0</v>
      </c>
      <c r="G6" s="126">
        <f>SUMIFS(期初庫存!G:G,期初庫存!C:C,C6)+SUMIFS(採購入庫!G:G,採購入庫!D:D,C6)-SUMIFS(每日用粉紀錄表!F:F,每日用粉紀錄表!C:C,C6)-SUMIFS(借出!G:G,借出!D:D,C6)+SUMIFS(歸還!G:G,歸還!D:D,C6)</f>
        <v>0</v>
      </c>
      <c r="H6" s="63"/>
      <c r="I6" s="65" t="str">
        <f>IF(H6&gt;G6,"採購","否")</f>
        <v>否</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借出!H:H,借出!D:D,C7)-SUMIFS(每日用粉紀錄表!G:G,每日用粉紀錄表!C:C,C7)+SUMIFS(歸還!H:H,歸還!D:D,C7)+SUMIFS(每日用粉紀錄表!I:I,每日用粉紀錄表!C:C,C7)</f>
        <v>7</v>
      </c>
      <c r="G7" s="126">
        <f>SUMIFS(期初庫存!G:G,期初庫存!C:C,C7)+SUMIFS(採購入庫!G:G,採購入庫!D:D,C7)-SUMIFS(每日用粉紀錄表!F:F,每日用粉紀錄表!C:C,C7)-SUMIFS(借出!G:G,借出!D:D,C7)+SUMIFS(歸還!G:G,歸還!D:D,C7)</f>
        <v>2</v>
      </c>
      <c r="H7" s="63"/>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借出!H:H,借出!D:D,C8)-SUMIFS(每日用粉紀錄表!G:G,每日用粉紀錄表!C:C,C8)+SUMIFS(歸還!H:H,歸還!D:D,C8)+SUMIFS(每日用粉紀錄表!I:I,每日用粉紀錄表!C:C,C8)</f>
        <v>27</v>
      </c>
      <c r="G8" s="126">
        <f>SUMIFS(期初庫存!G:G,期初庫存!C:C,C8)+SUMIFS(採購入庫!G:G,採購入庫!D:D,C8)-SUMIFS(每日用粉紀錄表!F:F,每日用粉紀錄表!C:C,C8)-SUMIFS(借出!G:G,借出!D:D,C8)+SUMIFS(歸還!G:G,歸還!D:D,C8)</f>
        <v>0</v>
      </c>
      <c r="H8" s="63">
        <v>1</v>
      </c>
      <c r="I8" s="65" t="str">
        <f>IF(H8&gt;G8,"採購","否")</f>
        <v>採購</v>
      </c>
      <c r="J8" s="63">
        <f>IFERROR($G8*25+$F8,"-")</f>
        <v>27</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借出!H:H,借出!D:D,C9)-SUMIFS(每日用粉紀錄表!G:G,每日用粉紀錄表!C:C,C9)+SUMIFS(歸還!H:H,歸還!D:D,C9)+SUMIFS(每日用粉紀錄表!I:I,每日用粉紀錄表!C:C,C9)</f>
        <v>12</v>
      </c>
      <c r="G9" s="126">
        <f>SUMIFS(期初庫存!G:G,期初庫存!C:C,C9)+SUMIFS(採購入庫!G:G,採購入庫!D:D,C9)-SUMIFS(每日用粉紀錄表!F:F,每日用粉紀錄表!C:C,C9)-SUMIFS(借出!G:G,借出!D:D,C9)+SUMIFS(歸還!G:G,歸還!D:D,C9)</f>
        <v>3</v>
      </c>
      <c r="H9" s="63">
        <v>1</v>
      </c>
      <c r="I9" s="65" t="str">
        <f>IF(H9&gt;G9,"採購","否")</f>
        <v>否</v>
      </c>
      <c r="J9" s="63">
        <f>IFERROR($G9*25+$F9,"-")</f>
        <v>87</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借出!H:H,借出!D:D,C10)-SUMIFS(每日用粉紀錄表!G:G,每日用粉紀錄表!C:C,C10)+SUMIFS(歸還!H:H,歸還!D:D,C10)+SUMIFS(每日用粉紀錄表!I:I,每日用粉紀錄表!C:C,C10)</f>
        <v>3</v>
      </c>
      <c r="G10" s="126">
        <f>SUMIFS(期初庫存!G:G,期初庫存!C:C,C10)+SUMIFS(採購入庫!G:G,採購入庫!D:D,C10)-SUMIFS(每日用粉紀錄表!F:F,每日用粉紀錄表!C:C,C10)-SUMIFS(借出!G:G,借出!D:D,C10)+SUMIFS(歸還!G:G,歸還!D:D,C10)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借出!H:H,借出!D:D,C11)-SUMIFS(每日用粉紀錄表!G:G,每日用粉紀錄表!C:C,C11)+SUMIFS(歸還!H:H,歸還!D:D,C11)+SUMIFS(每日用粉紀錄表!I:I,每日用粉紀錄表!C:C,C11)</f>
        <v>5</v>
      </c>
      <c r="G11" s="126">
        <f>SUMIFS(期初庫存!G:G,期初庫存!C:C,C11)+SUMIFS(採購入庫!G:G,採購入庫!D:D,C11)-SUMIFS(每日用粉紀錄表!F:F,每日用粉紀錄表!C:C,C11)-SUMIFS(借出!G:G,借出!D:D,C11)+SUMIFS(歸還!G:G,歸還!D:D,C11)</f>
        <v>5</v>
      </c>
      <c r="H11" s="63">
        <v>1</v>
      </c>
      <c r="I11" s="65" t="str">
        <f>IF(H11&gt;G11,"採購","否")</f>
        <v>否</v>
      </c>
      <c r="J11" s="63">
        <f>IFERROR($G11*25+$F11,"-")</f>
        <v>130</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借出!H:H,借出!D:D,C12)-SUMIFS(每日用粉紀錄表!G:G,每日用粉紀錄表!C:C,C12)+SUMIFS(歸還!H:H,歸還!D:D,C12)+SUMIFS(每日用粉紀錄表!I:I,每日用粉紀錄表!C:C,C12)</f>
        <v>11</v>
      </c>
      <c r="G12" s="126">
        <f>SUMIFS(期初庫存!G:G,期初庫存!C:C,C12)+SUMIFS(採購入庫!G:G,採購入庫!D:D,C12)-SUMIFS(每日用粉紀錄表!F:F,每日用粉紀錄表!C:C,C12)-SUMIFS(借出!G:G,借出!D:D,C12)+SUMIFS(歸還!G:G,歸還!D:D,C12)</f>
        <v>4</v>
      </c>
      <c r="H12" s="63">
        <v>1</v>
      </c>
      <c r="I12" s="65" t="str">
        <f>IF(H12&gt;G12,"採購","否")</f>
        <v>否</v>
      </c>
      <c r="J12" s="63">
        <f>IFERROR($G12*25+$F12,"-")</f>
        <v>111</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借出!H:H,借出!D:D,C13)-SUMIFS(每日用粉紀錄表!G:G,每日用粉紀錄表!C:C,C13)+SUMIFS(歸還!H:H,歸還!D:D,C13)+SUMIFS(每日用粉紀錄表!I:I,每日用粉紀錄表!C:C,C13)</f>
        <v>36</v>
      </c>
      <c r="G13" s="126">
        <f>SUMIFS(期初庫存!G:G,期初庫存!C:C,C13)+SUMIFS(採購入庫!G:G,採購入庫!D:D,C13)-SUMIFS(每日用粉紀錄表!F:F,每日用粉紀錄表!C:C,C13)-SUMIFS(借出!G:G,借出!D:D,C13)+SUMIFS(歸還!G:G,歸還!D:D,C13)</f>
        <v>0</v>
      </c>
      <c r="H13" s="66">
        <v>1</v>
      </c>
      <c r="I13" s="65" t="str">
        <f>IF(H13&gt;G13,"採購","否")</f>
        <v>採購</v>
      </c>
      <c r="J13" s="63">
        <f>IFERROR($G13*25+$F13,"-")</f>
        <v>36</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借出!H:H,借出!D:D,C14)-SUMIFS(每日用粉紀錄表!G:G,每日用粉紀錄表!C:C,C14)+SUMIFS(歸還!H:H,歸還!D:D,C14)+SUMIFS(每日用粉紀錄表!I:I,每日用粉紀錄表!C:C,C14)</f>
        <v>3</v>
      </c>
      <c r="G14" s="126">
        <f>SUMIFS(期初庫存!G:G,期初庫存!C:C,C14)+SUMIFS(採購入庫!G:G,採購入庫!D:D,C14)-SUMIFS(每日用粉紀錄表!F:F,每日用粉紀錄表!C:C,C14)-SUMIFS(借出!G:G,借出!D:D,C14)+SUMIFS(歸還!G:G,歸還!D:D,C14)</f>
        <v>17</v>
      </c>
      <c r="H14" s="66">
        <v>8</v>
      </c>
      <c r="I14" s="65" t="str">
        <f>IF(H14&gt;G14,"採購","否")</f>
        <v>否</v>
      </c>
      <c r="J14" s="63">
        <f>IFERROR($G14*25+$F14,"-")</f>
        <v>428</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借出!H:H,借出!D:D,C15)-SUMIFS(每日用粉紀錄表!G:G,每日用粉紀錄表!C:C,C15)+SUMIFS(歸還!H:H,歸還!D:D,C15)+SUMIFS(每日用粉紀錄表!I:I,每日用粉紀錄表!C:C,C15)</f>
        <v>0</v>
      </c>
      <c r="G15" s="126">
        <f>SUMIFS(期初庫存!G:G,期初庫存!C:C,C15)+SUMIFS(採購入庫!G:G,採購入庫!D:D,C15)-SUMIFS(每日用粉紀錄表!F:F,每日用粉紀錄表!C:C,C15)-SUMIFS(借出!G:G,借出!D:D,C15)+SUMIFS(歸還!G:G,歸還!D:D,C15)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借出!H:H,借出!D:D,C16)-SUMIFS(每日用粉紀錄表!G:G,每日用粉紀錄表!C:C,C16)+SUMIFS(歸還!H:H,歸還!D:D,C16)+SUMIFS(每日用粉紀錄表!I:I,每日用粉紀錄表!C:C,C16)</f>
        <v>26</v>
      </c>
      <c r="G16" s="126">
        <f>SUMIFS(期初庫存!G:G,期初庫存!C:C,C16)+SUMIFS(採購入庫!G:G,採購入庫!D:D,C16)-SUMIFS(每日用粉紀錄表!F:F,每日用粉紀錄表!C:C,C16)-SUMIFS(借出!G:G,借出!D:D,C16)+SUMIFS(歸還!G:G,歸還!D:D,C16)</f>
        <v>3</v>
      </c>
      <c r="H16" s="66">
        <v>1</v>
      </c>
      <c r="I16" s="65" t="str">
        <f>IF(H16&gt;G16,"採購","否")</f>
        <v>否</v>
      </c>
      <c r="J16" s="63">
        <f>IFERROR($G16*25+$F16,"-")</f>
        <v>101</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借出!H:H,借出!D:D,C17)-SUMIFS(每日用粉紀錄表!G:G,每日用粉紀錄表!C:C,C17)+SUMIFS(歸還!H:H,歸還!D:D,C17)+SUMIFS(每日用粉紀錄表!I:I,每日用粉紀錄表!C:C,C17)</f>
        <v>65</v>
      </c>
      <c r="G17" s="126">
        <f>SUMIFS(期初庫存!G:G,期初庫存!C:C,C17)+SUMIFS(採購入庫!G:G,採購入庫!D:D,C17)-SUMIFS(每日用粉紀錄表!F:F,每日用粉紀錄表!C:C,C17)-SUMIFS(借出!G:G,借出!D:D,C17)+SUMIFS(歸還!G:G,歸還!D:D,C17)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借出!H:H,借出!D:D,C18)-SUMIFS(每日用粉紀錄表!G:G,每日用粉紀錄表!C:C,C18)+SUMIFS(歸還!H:H,歸還!D:D,C18)+SUMIFS(每日用粉紀錄表!I:I,每日用粉紀錄表!C:C,C18)</f>
        <v>8</v>
      </c>
      <c r="G18" s="126">
        <f>SUMIFS(期初庫存!G:G,期初庫存!C:C,C18)+SUMIFS(採購入庫!G:G,採購入庫!D:D,C18)-SUMIFS(每日用粉紀錄表!F:F,每日用粉紀錄表!C:C,C18)-SUMIFS(借出!G:G,借出!D:D,C18)+SUMIFS(歸還!G:G,歸還!D:D,C18)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借出!H:H,借出!D:D,C19)-SUMIFS(每日用粉紀錄表!G:G,每日用粉紀錄表!C:C,C19)+SUMIFS(歸還!H:H,歸還!D:D,C19)+SUMIFS(每日用粉紀錄表!I:I,每日用粉紀錄表!C:C,C19)</f>
        <v>22</v>
      </c>
      <c r="G19" s="126">
        <f>SUMIFS(期初庫存!G:G,期初庫存!C:C,C19)+SUMIFS(採購入庫!G:G,採購入庫!D:D,C19)-SUMIFS(每日用粉紀錄表!F:F,每日用粉紀錄表!C:C,C19)-SUMIFS(借出!G:G,借出!D:D,C19)+SUMIFS(歸還!G:G,歸還!D:D,C19)</f>
        <v>2</v>
      </c>
      <c r="H19" s="66">
        <v>6</v>
      </c>
      <c r="I19" s="65" t="str">
        <f>IF(H19&gt;G19,"採購","否")</f>
        <v>採購</v>
      </c>
      <c r="J19" s="63">
        <f>IFERROR($G19*25+$F19,"-")</f>
        <v>72</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借出!H:H,借出!D:D,C20)-SUMIFS(每日用粉紀錄表!G:G,每日用粉紀錄表!C:C,C20)+SUMIFS(歸還!H:H,歸還!D:D,C20)+SUMIFS(每日用粉紀錄表!I:I,每日用粉紀錄表!C:C,C20)</f>
        <v>17</v>
      </c>
      <c r="G20" s="126">
        <f>SUMIFS(期初庫存!G:G,期初庫存!C:C,C20)+SUMIFS(採購入庫!G:G,採購入庫!D:D,C20)-SUMIFS(每日用粉紀錄表!F:F,每日用粉紀錄表!C:C,C20)-SUMIFS(借出!G:G,借出!D:D,C20)+SUMIFS(歸還!G:G,歸還!D:D,C20)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借出!H:H,借出!D:D,C21)-SUMIFS(每日用粉紀錄表!G:G,每日用粉紀錄表!C:C,C21)+SUMIFS(歸還!H:H,歸還!D:D,C21)+SUMIFS(每日用粉紀錄表!I:I,每日用粉紀錄表!C:C,C21)</f>
        <v>0</v>
      </c>
      <c r="G21" s="126">
        <f>SUMIFS(期初庫存!G:G,期初庫存!C:C,C21)+SUMIFS(採購入庫!G:G,採購入庫!D:D,C21)-SUMIFS(每日用粉紀錄表!F:F,每日用粉紀錄表!C:C,C21)-SUMIFS(借出!G:G,借出!D:D,C21)+SUMIFS(歸還!G:G,歸還!D:D,C21)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借出!H:H,借出!D:D,C22)-SUMIFS(每日用粉紀錄表!G:G,每日用粉紀錄表!C:C,C22)+SUMIFS(歸還!H:H,歸還!D:D,C22)+SUMIFS(每日用粉紀錄表!I:I,每日用粉紀錄表!C:C,C22)</f>
        <v>44</v>
      </c>
      <c r="G22" s="126">
        <f>SUMIFS(期初庫存!G:G,期初庫存!C:C,C22)+SUMIFS(採購入庫!G:G,採購入庫!D:D,C22)-SUMIFS(每日用粉紀錄表!F:F,每日用粉紀錄表!C:C,C22)-SUMIFS(借出!G:G,借出!D:D,C22)+SUMIFS(歸還!G:G,歸還!D:D,C22)</f>
        <v>2</v>
      </c>
      <c r="H22" s="66"/>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借出!H:H,借出!D:D,C23)-SUMIFS(每日用粉紀錄表!G:G,每日用粉紀錄表!C:C,C23)+SUMIFS(歸還!H:H,歸還!D:D,C23)+SUMIFS(每日用粉紀錄表!I:I,每日用粉紀錄表!C:C,C23)</f>
        <v>34</v>
      </c>
      <c r="G23" s="126">
        <f>SUMIFS(期初庫存!G:G,期初庫存!C:C,C23)+SUMIFS(採購入庫!G:G,採購入庫!D:D,C23)-SUMIFS(每日用粉紀錄表!F:F,每日用粉紀錄表!C:C,C23)-SUMIFS(借出!G:G,借出!D:D,C23)+SUMIFS(歸還!G:G,歸還!D:D,C23)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借出!H:H,借出!D:D,C24)-SUMIFS(每日用粉紀錄表!G:G,每日用粉紀錄表!C:C,C24)+SUMIFS(歸還!H:H,歸還!D:D,C24)+SUMIFS(每日用粉紀錄表!I:I,每日用粉紀錄表!C:C,C24)</f>
        <v>20</v>
      </c>
      <c r="G24" s="126">
        <f>SUMIFS(期初庫存!G:G,期初庫存!C:C,C24)+SUMIFS(採購入庫!G:G,採購入庫!D:D,C24)-SUMIFS(每日用粉紀錄表!F:F,每日用粉紀錄表!C:C,C24)-SUMIFS(借出!G:G,借出!D:D,C24)+SUMIFS(歸還!G:G,歸還!D:D,C24)</f>
        <v>3</v>
      </c>
      <c r="H24" s="66">
        <v>1</v>
      </c>
      <c r="I24" s="65" t="str">
        <f>IF(H24&gt;G24,"採購","否")</f>
        <v>否</v>
      </c>
      <c r="J24" s="63">
        <f>IFERROR($G24*25+$F24,"-")</f>
        <v>95</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借出!H:H,借出!D:D,C25)-SUMIFS(每日用粉紀錄表!G:G,每日用粉紀錄表!C:C,C25)+SUMIFS(歸還!H:H,歸還!D:D,C25)+SUMIFS(每日用粉紀錄表!I:I,每日用粉紀錄表!C:C,C25)</f>
        <v>0</v>
      </c>
      <c r="G25" s="126">
        <f>SUMIFS(期初庫存!G:G,期初庫存!C:C,C25)+SUMIFS(採購入庫!G:G,採購入庫!D:D,C25)-SUMIFS(每日用粉紀錄表!F:F,每日用粉紀錄表!C:C,C25)-SUMIFS(借出!G:G,借出!D:D,C25)+SUMIFS(歸還!G:G,歸還!D:D,C25)</f>
        <v>0</v>
      </c>
      <c r="H25" s="66"/>
      <c r="I25" s="65" t="str">
        <f>IF(H25&gt;G25,"採購","否")</f>
        <v>否</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借出!H:H,借出!D:D,C26)-SUMIFS(每日用粉紀錄表!G:G,每日用粉紀錄表!C:C,C26)+SUMIFS(歸還!H:H,歸還!D:D,C26)+SUMIFS(每日用粉紀錄表!I:I,每日用粉紀錄表!C:C,C26)</f>
        <v>12</v>
      </c>
      <c r="G26" s="126">
        <f>SUMIFS(期初庫存!G:G,期初庫存!C:C,C26)+SUMIFS(採購入庫!G:G,採購入庫!D:D,C26)-SUMIFS(每日用粉紀錄表!F:F,每日用粉紀錄表!C:C,C26)-SUMIFS(借出!G:G,借出!D:D,C26)+SUMIFS(歸還!G:G,歸還!D:D,C26)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借出!H:H,借出!D:D,C27)-SUMIFS(每日用粉紀錄表!G:G,每日用粉紀錄表!C:C,C27)+SUMIFS(歸還!H:H,歸還!D:D,C27)+SUMIFS(每日用粉紀錄表!I:I,每日用粉紀錄表!C:C,C27)</f>
        <v>71</v>
      </c>
      <c r="G27" s="126">
        <f>SUMIFS(期初庫存!G:G,期初庫存!C:C,C27)+SUMIFS(採購入庫!G:G,採購入庫!D:D,C27)-SUMIFS(每日用粉紀錄表!F:F,每日用粉紀錄表!C:C,C27)-SUMIFS(借出!G:G,借出!D:D,C27)+SUMIFS(歸還!G:G,歸還!D:D,C27)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借出!H:H,借出!D:D,C28)-SUMIFS(每日用粉紀錄表!G:G,每日用粉紀錄表!C:C,C28)+SUMIFS(歸還!H:H,歸還!D:D,C28)+SUMIFS(每日用粉紀錄表!I:I,每日用粉紀錄表!C:C,C28)</f>
        <v>12</v>
      </c>
      <c r="G28" s="126">
        <f>SUMIFS(期初庫存!G:G,期初庫存!C:C,C28)+SUMIFS(採購入庫!G:G,採購入庫!D:D,C28)-SUMIFS(每日用粉紀錄表!F:F,每日用粉紀錄表!C:C,C28)-SUMIFS(借出!G:G,借出!D:D,C28)+SUMIFS(歸還!G:G,歸還!D:D,C28)</f>
        <v>0</v>
      </c>
      <c r="H28" s="66">
        <v>1</v>
      </c>
      <c r="I28" s="65" t="str">
        <f>IF(H28&gt;G28,"採購","否")</f>
        <v>採購</v>
      </c>
      <c r="J28" s="63">
        <f>IFERROR($G28*25+$F28,"-")</f>
        <v>12</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借出!H:H,借出!D:D,C29)-SUMIFS(每日用粉紀錄表!G:G,每日用粉紀錄表!C:C,C29)+SUMIFS(歸還!H:H,歸還!D:D,C29)+SUMIFS(每日用粉紀錄表!I:I,每日用粉紀錄表!C:C,C29)</f>
        <v>22</v>
      </c>
      <c r="G29" s="126">
        <f>SUMIFS(期初庫存!G:G,期初庫存!C:C,C29)+SUMIFS(採購入庫!G:G,採購入庫!D:D,C29)-SUMIFS(每日用粉紀錄表!F:F,每日用粉紀錄表!C:C,C29)-SUMIFS(借出!G:G,借出!D:D,C29)+SUMIFS(歸還!G:G,歸還!D:D,C29)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借出!H:H,借出!D:D,C30)-SUMIFS(每日用粉紀錄表!G:G,每日用粉紀錄表!C:C,C30)+SUMIFS(歸還!H:H,歸還!D:D,C30)+SUMIFS(每日用粉紀錄表!I:I,每日用粉紀錄表!C:C,C30)</f>
        <v>4</v>
      </c>
      <c r="G30" s="126">
        <f>SUMIFS(期初庫存!G:G,期初庫存!C:C,C30)+SUMIFS(採購入庫!G:G,採購入庫!D:D,C30)-SUMIFS(每日用粉紀錄表!F:F,每日用粉紀錄表!C:C,C30)-SUMIFS(借出!G:G,借出!D:D,C30)+SUMIFS(歸還!G:G,歸還!D:D,C30)</f>
        <v>2</v>
      </c>
      <c r="H30" s="66">
        <v>1</v>
      </c>
      <c r="I30" s="65" t="str">
        <f>IF(H30&gt;G30,"採購","否")</f>
        <v>否</v>
      </c>
      <c r="J30" s="63">
        <f>IFERROR($G30*25+$F30,"-")</f>
        <v>54</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借出!H:H,借出!D:D,C31)-SUMIFS(每日用粉紀錄表!G:G,每日用粉紀錄表!C:C,C31)+SUMIFS(歸還!H:H,歸還!D:D,C31)+SUMIFS(每日用粉紀錄表!I:I,每日用粉紀錄表!C:C,C31)</f>
        <v>9</v>
      </c>
      <c r="G31" s="126">
        <f>SUMIFS(期初庫存!G:G,期初庫存!C:C,C31)+SUMIFS(採購入庫!G:G,採購入庫!D:D,C31)-SUMIFS(每日用粉紀錄表!F:F,每日用粉紀錄表!C:C,C31)-SUMIFS(借出!G:G,借出!D:D,C31)+SUMIFS(歸還!G:G,歸還!D:D,C31)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借出!H:H,借出!D:D,C32)-SUMIFS(每日用粉紀錄表!G:G,每日用粉紀錄表!C:C,C32)+SUMIFS(歸還!H:H,歸還!D:D,C32)+SUMIFS(每日用粉紀錄表!I:I,每日用粉紀錄表!C:C,C32)</f>
        <v>0</v>
      </c>
      <c r="G32" s="126">
        <f>SUMIFS(期初庫存!G:G,期初庫存!C:C,C32)+SUMIFS(採購入庫!G:G,採購入庫!D:D,C32)-SUMIFS(每日用粉紀錄表!F:F,每日用粉紀錄表!C:C,C32)-SUMIFS(借出!G:G,借出!D:D,C32)+SUMIFS(歸還!G:G,歸還!D:D,C32)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借出!H:H,借出!D:D,C33)-SUMIFS(每日用粉紀錄表!G:G,每日用粉紀錄表!C:C,C33)+SUMIFS(歸還!H:H,歸還!D:D,C33)+SUMIFS(每日用粉紀錄表!I:I,每日用粉紀錄表!C:C,C33)</f>
        <v>0</v>
      </c>
      <c r="G33" s="126">
        <f>SUMIFS(期初庫存!G:G,期初庫存!C:C,C33)+SUMIFS(採購入庫!G:G,採購入庫!D:D,C33)-SUMIFS(每日用粉紀錄表!F:F,每日用粉紀錄表!C:C,C33)-SUMIFS(借出!G:G,借出!D:D,C33)+SUMIFS(歸還!G:G,歸還!D:D,C33)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借出!H:H,借出!D:D,C34)-SUMIFS(每日用粉紀錄表!G:G,每日用粉紀錄表!C:C,C34)+SUMIFS(歸還!H:H,歸還!D:D,C34)+SUMIFS(每日用粉紀錄表!I:I,每日用粉紀錄表!C:C,C34)</f>
        <v>9</v>
      </c>
      <c r="G34" s="126">
        <f>SUMIFS(期初庫存!G:G,期初庫存!C:C,C34)+SUMIFS(採購入庫!G:G,採購入庫!D:D,C34)-SUMIFS(每日用粉紀錄表!F:F,每日用粉紀錄表!C:C,C34)-SUMIFS(借出!G:G,借出!D:D,C34)+SUMIFS(歸還!G:G,歸還!D:D,C34)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借出!H:H,借出!D:D,C35)-SUMIFS(每日用粉紀錄表!G:G,每日用粉紀錄表!C:C,C35)+SUMIFS(歸還!H:H,歸還!D:D,C35)+SUMIFS(每日用粉紀錄表!I:I,每日用粉紀錄表!C:C,C35)</f>
        <v>6</v>
      </c>
      <c r="G35" s="126">
        <f>SUMIFS(期初庫存!G:G,期初庫存!C:C,C35)+SUMIFS(採購入庫!G:G,採購入庫!D:D,C35)-SUMIFS(每日用粉紀錄表!F:F,每日用粉紀錄表!C:C,C35)-SUMIFS(借出!G:G,借出!D:D,C35)+SUMIFS(歸還!G:G,歸還!D:D,C35)</f>
        <v>0</v>
      </c>
      <c r="H35" s="66"/>
      <c r="I35" s="65" t="str">
        <f t="shared" ref="I35:I41" si="0">IF(H35&gt;G35,"採購","否")</f>
        <v>否</v>
      </c>
      <c r="J35" s="63">
        <f t="shared" ref="J35:J42"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借出!H:H,借出!D:D,C36)-SUMIFS(每日用粉紀錄表!G:G,每日用粉紀錄表!C:C,C36)+SUMIFS(歸還!H:H,歸還!D:D,C36)+SUMIFS(每日用粉紀錄表!I:I,每日用粉紀錄表!C:C,C36)</f>
        <v>5</v>
      </c>
      <c r="G36" s="126">
        <f>SUMIFS(期初庫存!G:G,期初庫存!C:C,C36)+SUMIFS(採購入庫!G:G,採購入庫!D:D,C36)-SUMIFS(每日用粉紀錄表!F:F,每日用粉紀錄表!C:C,C36)-SUMIFS(借出!G:G,借出!D:D,C36)+SUMIFS(歸還!G:G,歸還!D:D,C36)</f>
        <v>12</v>
      </c>
      <c r="H36" s="66">
        <v>1</v>
      </c>
      <c r="I36" s="65" t="str">
        <f t="shared" ref="I36" si="2">IF(H36&gt;G36,"採購","否")</f>
        <v>否</v>
      </c>
      <c r="J36" s="63">
        <f t="shared" si="1"/>
        <v>305</v>
      </c>
      <c r="K36" s="56"/>
      <c r="L36" s="57"/>
      <c r="M36" s="56"/>
    </row>
    <row r="37" spans="1:13" x14ac:dyDescent="0.15">
      <c r="A37" s="61"/>
      <c r="B37" s="62">
        <f>MAX($B$3:B36)+1</f>
        <v>34</v>
      </c>
      <c r="C37" s="63" t="str">
        <f>IF(烤漆色號編碼!A35="","-",烤漆色號編碼!A35)</f>
        <v>008/1H174</v>
      </c>
      <c r="D37" s="64" t="str">
        <f>IF(烤漆色號編碼!C35="","-",烤漆色號編碼!C35)</f>
        <v>白亮光</v>
      </c>
      <c r="E37" s="63" t="str">
        <f>IF(烤漆色號編碼!B35="","-",烤漆色號編碼!B35)</f>
        <v>WE2</v>
      </c>
      <c r="F37" s="126">
        <f>SUMIFS(期初庫存!F:F,期初庫存!C:C,C37)+SUMIFS(採購入庫!H:H,採購入庫!D:D,C37)-SUMIFS(借出!H:H,借出!D:D,C37)-SUMIFS(每日用粉紀錄表!G:G,每日用粉紀錄表!C:C,C37)+SUMIFS(歸還!H:H,歸還!D:D,C37)+SUMIFS(每日用粉紀錄表!I:I,每日用粉紀錄表!C:C,C37)</f>
        <v>14</v>
      </c>
      <c r="G37" s="126">
        <f>SUMIFS(期初庫存!G:G,期初庫存!C:C,C37)+SUMIFS(採購入庫!G:G,採購入庫!D:D,C37)-SUMIFS(每日用粉紀錄表!F:F,每日用粉紀錄表!C:C,C37)-SUMIFS(借出!G:G,借出!D:D,C37)+SUMIFS(歸還!G:G,歸還!D:D,C37)</f>
        <v>26</v>
      </c>
      <c r="H37" s="66">
        <v>6</v>
      </c>
      <c r="I37" s="65" t="str">
        <f t="shared" si="0"/>
        <v>否</v>
      </c>
      <c r="J37" s="63">
        <f t="shared" si="1"/>
        <v>664</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借出!H:H,借出!D:D,C38)-SUMIFS(每日用粉紀錄表!G:G,每日用粉紀錄表!C:C,C38)+SUMIFS(歸還!H:H,歸還!D:D,C38)+SUMIFS(每日用粉紀錄表!I:I,每日用粉紀錄表!C:C,C38)</f>
        <v>12</v>
      </c>
      <c r="G38" s="126">
        <f>SUMIFS(期初庫存!G:G,期初庫存!C:C,C38)+SUMIFS(採購入庫!G:G,採購入庫!D:D,C38)-SUMIFS(每日用粉紀錄表!F:F,每日用粉紀錄表!C:C,C38)-SUMIFS(借出!G:G,借出!D:D,C38)+SUMIFS(歸還!G:G,歸還!D:D,C38)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借出!H:H,借出!D:D,C39)-SUMIFS(每日用粉紀錄表!G:G,每日用粉紀錄表!C:C,C39)+SUMIFS(歸還!H:H,歸還!D:D,C39)+SUMIFS(每日用粉紀錄表!I:I,每日用粉紀錄表!C:C,C39)</f>
        <v>19</v>
      </c>
      <c r="G39" s="126">
        <f>SUMIFS(期初庫存!G:G,期初庫存!C:C,C39)+SUMIFS(採購入庫!G:G,採購入庫!D:D,C39)-SUMIFS(每日用粉紀錄表!F:F,每日用粉紀錄表!C:C,C39)-SUMIFS(借出!G:G,借出!D:D,C39)+SUMIFS(歸還!G:G,歸還!D:D,C39)</f>
        <v>4</v>
      </c>
      <c r="H39" s="66">
        <v>1</v>
      </c>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借出!H:H,借出!D:D,C40)-SUMIFS(每日用粉紀錄表!G:G,每日用粉紀錄表!C:C,C40)+SUMIFS(歸還!H:H,歸還!D:D,C40)+SUMIFS(每日用粉紀錄表!I:I,每日用粉紀錄表!C:C,C40)</f>
        <v>20</v>
      </c>
      <c r="G40" s="126">
        <f>SUMIFS(期初庫存!G:G,期初庫存!C:C,C40)+SUMIFS(採購入庫!G:G,採購入庫!D:D,C40)-SUMIFS(每日用粉紀錄表!F:F,每日用粉紀錄表!C:C,C40)-SUMIFS(借出!G:G,借出!D:D,C40)+SUMIFS(歸還!G:G,歸還!D:D,C40)</f>
        <v>0</v>
      </c>
      <c r="H40" s="66">
        <v>1</v>
      </c>
      <c r="I40" s="65" t="str">
        <f t="shared" si="3"/>
        <v>採購</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借出!H:H,借出!D:D,C41)-SUMIFS(每日用粉紀錄表!G:G,每日用粉紀錄表!C:C,C41)+SUMIFS(歸還!H:H,歸還!D:D,C41)+SUMIFS(每日用粉紀錄表!I:I,每日用粉紀錄表!C:C,C41)</f>
        <v>0</v>
      </c>
      <c r="G41" s="126">
        <f>SUMIFS(期初庫存!G:G,期初庫存!C:C,C41)+SUMIFS(採購入庫!G:G,採購入庫!D:D,C41)-SUMIFS(每日用粉紀錄表!F:F,每日用粉紀錄表!C:C,C41)-SUMIFS(借出!G:G,借出!D:D,C41)+SUMIFS(歸還!G:G,歸還!D:D,C41)</f>
        <v>0</v>
      </c>
      <c r="H41" s="66"/>
      <c r="I41" s="65" t="str">
        <f t="shared" ref="I41" si="4">IF(H41&gt;G41,"採購","否")</f>
        <v>否</v>
      </c>
      <c r="J41" s="63">
        <f t="shared" si="1"/>
        <v>0</v>
      </c>
      <c r="K41" s="56"/>
      <c r="L41" s="57"/>
      <c r="M41" s="56"/>
    </row>
    <row r="42" spans="1:13" x14ac:dyDescent="0.15">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借出!H:H,借出!D:D,C42)-SUMIFS(每日用粉紀錄表!G:G,每日用粉紀錄表!C:C,C42)+SUMIFS(歸還!H:H,歸還!D:D,C42)+SUMIFS(每日用粉紀錄表!I:I,每日用粉紀錄表!C:C,C42)</f>
        <v>36</v>
      </c>
      <c r="G42" s="126">
        <f>SUMIFS(期初庫存!G:G,期初庫存!C:C,C42)+SUMIFS(採購入庫!G:G,採購入庫!D:D,C42)-SUMIFS(每日用粉紀錄表!F:F,每日用粉紀錄表!C:C,C42)-SUMIFS(借出!G:G,借出!D:D,C42)+SUMIFS(歸還!G:G,歸還!D:D,C42)</f>
        <v>5</v>
      </c>
      <c r="H42" s="66"/>
      <c r="I42" s="65" t="str">
        <f t="shared" ref="I42" si="5">IF(H42&gt;G42,"採購","否")</f>
        <v>否</v>
      </c>
      <c r="J42" s="63">
        <f t="shared" si="1"/>
        <v>161</v>
      </c>
      <c r="K42" s="56"/>
      <c r="L42" s="57"/>
      <c r="M42" s="56"/>
    </row>
    <row r="43" spans="1:13" x14ac:dyDescent="0.15">
      <c r="A43" s="61"/>
      <c r="B43" s="62">
        <f>MAX($B$3:B42)+1</f>
        <v>40</v>
      </c>
      <c r="C43" s="63" t="s">
        <v>352</v>
      </c>
      <c r="D43" s="64" t="s">
        <v>353</v>
      </c>
      <c r="E43" s="63" t="str">
        <f>IF(烤漆色號編碼!B50="","-",烤漆色號編碼!B50)</f>
        <v>-</v>
      </c>
      <c r="F43" s="126">
        <f>SUMIFS(期初庫存!F:F,期初庫存!C:C,C43)+SUMIFS(採購入庫!H:H,採購入庫!D:D,C43)-SUMIFS(借出!H:H,借出!D:D,C43)-SUMIFS(每日用粉紀錄表!G:G,每日用粉紀錄表!C:C,C43)+SUMIFS(歸還!H:H,歸還!D:D,C43)+SUMIFS(每日用粉紀錄表!I:I,每日用粉紀錄表!C:C,C43)</f>
        <v>0</v>
      </c>
      <c r="G43" s="126">
        <f>SUMIFS(期初庫存!G:G,期初庫存!C:C,C43)+SUMIFS(採購入庫!G:G,採購入庫!D:D,C43)-SUMIFS(每日用粉紀錄表!F:F,每日用粉紀錄表!C:C,C43)-SUMIFS(借出!G:G,借出!D:D,C43)+SUMIFS(歸還!G:G,歸還!D:D,C43)</f>
        <v>0</v>
      </c>
      <c r="H43" s="66"/>
      <c r="I43" s="65" t="str">
        <f>IF(H43&gt;G43,"採購","否")</f>
        <v>否</v>
      </c>
      <c r="J43" s="63">
        <f>IFERROR($G43*25+$F43,"-")</f>
        <v>0</v>
      </c>
      <c r="K43" s="56"/>
      <c r="L43" s="57"/>
      <c r="M43" s="56"/>
    </row>
    <row r="44" spans="1:13" x14ac:dyDescent="0.15">
      <c r="A44" s="61"/>
      <c r="B44" s="62">
        <f>MAX($B$3:B43)+1</f>
        <v>41</v>
      </c>
      <c r="C44" s="63" t="s">
        <v>352</v>
      </c>
      <c r="D44" s="64" t="s">
        <v>353</v>
      </c>
      <c r="E44" s="63" t="str">
        <f>IF(烤漆色號編碼!B51="","-",烤漆色號編碼!B51)</f>
        <v>-</v>
      </c>
      <c r="F44" s="126">
        <f>SUMIFS(期初庫存!F:F,期初庫存!C:C,C44)+SUMIFS(採購入庫!H:H,採購入庫!D:D,C44)-SUMIFS(借出!H:H,借出!D:D,C44)-SUMIFS(每日用粉紀錄表!G:G,每日用粉紀錄表!C:C,C44)+SUMIFS(歸還!H:H,歸還!D:D,C44)+SUMIFS(每日用粉紀錄表!I:I,每日用粉紀錄表!C:C,C44)</f>
        <v>0</v>
      </c>
      <c r="G44" s="126">
        <f>SUMIFS(期初庫存!G:G,期初庫存!C:C,C44)+SUMIFS(採購入庫!G:G,採購入庫!D:D,C44)-SUMIFS(每日用粉紀錄表!F:F,每日用粉紀錄表!C:C,C44)-SUMIFS(借出!G:G,借出!D:D,C44)+SUMIFS(歸還!G:G,歸還!D:D,C44)</f>
        <v>0</v>
      </c>
      <c r="H44" s="66"/>
      <c r="I44" s="65" t="str">
        <f>IF(H44&gt;G44,"採購","否")</f>
        <v>否</v>
      </c>
      <c r="J44" s="63">
        <f>IFERROR($G44*25+$F44,"-")</f>
        <v>0</v>
      </c>
      <c r="K44" s="56"/>
      <c r="L44" s="57"/>
      <c r="M44" s="56"/>
    </row>
    <row r="45" spans="1:13" x14ac:dyDescent="0.15">
      <c r="A45" s="61"/>
      <c r="B45" s="62">
        <f>MAX($B$3:B44)+1</f>
        <v>42</v>
      </c>
      <c r="C45" s="63" t="s">
        <v>352</v>
      </c>
      <c r="D45" s="64" t="s">
        <v>353</v>
      </c>
      <c r="E45" s="63" t="str">
        <f>IF(烤漆色號編碼!B52="","-",烤漆色號編碼!B52)</f>
        <v>-</v>
      </c>
      <c r="F45" s="126">
        <f>SUMIFS(期初庫存!F:F,期初庫存!C:C,C45)+SUMIFS(採購入庫!H:H,採購入庫!D:D,C45)-SUMIFS(借出!H:H,借出!D:D,C45)-SUMIFS(每日用粉紀錄表!G:G,每日用粉紀錄表!C:C,C45)+SUMIFS(歸還!H:H,歸還!D:D,C45)+SUMIFS(每日用粉紀錄表!I:I,每日用粉紀錄表!C:C,C45)</f>
        <v>0</v>
      </c>
      <c r="G45" s="126">
        <f>SUMIFS(期初庫存!G:G,期初庫存!C:C,C45)+SUMIFS(採購入庫!G:G,採購入庫!D:D,C45)-SUMIFS(每日用粉紀錄表!F:F,每日用粉紀錄表!C:C,C45)-SUMIFS(借出!G:G,借出!D:D,C45)+SUMIFS(歸還!G:G,歸還!D:D,C45)</f>
        <v>0</v>
      </c>
      <c r="H45" s="66"/>
      <c r="I45" s="65" t="str">
        <f>IF(H45&gt;G45,"採購","否")</f>
        <v>否</v>
      </c>
      <c r="J45" s="63">
        <f>IFERROR($G45*25+$F45,"-")</f>
        <v>0</v>
      </c>
      <c r="K45" s="56"/>
      <c r="L45" s="57"/>
      <c r="M45" s="56"/>
    </row>
    <row r="46" spans="1:13" x14ac:dyDescent="0.15">
      <c r="A46" s="61"/>
      <c r="B46" s="62">
        <f>MAX($B$3:B45)+1</f>
        <v>43</v>
      </c>
      <c r="C46" s="63" t="s">
        <v>352</v>
      </c>
      <c r="D46" s="64" t="s">
        <v>353</v>
      </c>
      <c r="E46" s="63" t="str">
        <f>IF(烤漆色號編碼!B53="","-",烤漆色號編碼!B53)</f>
        <v>-</v>
      </c>
      <c r="F46" s="126">
        <f>SUMIFS(期初庫存!F:F,期初庫存!C:C,C46)+SUMIFS(採購入庫!H:H,採購入庫!D:D,C46)-SUMIFS(借出!H:H,借出!D:D,C46)-SUMIFS(每日用粉紀錄表!G:G,每日用粉紀錄表!C:C,C46)+SUMIFS(歸還!H:H,歸還!D:D,C46)+SUMIFS(每日用粉紀錄表!I:I,每日用粉紀錄表!C:C,C46)</f>
        <v>0</v>
      </c>
      <c r="G46" s="126">
        <f>SUMIFS(期初庫存!G:G,期初庫存!C:C,C46)+SUMIFS(採購入庫!G:G,採購入庫!D:D,C46)-SUMIFS(每日用粉紀錄表!F:F,每日用粉紀錄表!C:C,C46)-SUMIFS(借出!G:G,借出!D:D,C46)+SUMIFS(歸還!G:G,歸還!D:D,C46)</f>
        <v>0</v>
      </c>
      <c r="H46" s="66"/>
      <c r="I46" s="65" t="str">
        <f>IF(H46&gt;G46,"採購","否")</f>
        <v>否</v>
      </c>
      <c r="J46" s="63">
        <f>IFERROR($G46*25+$F46,"-")</f>
        <v>0</v>
      </c>
      <c r="K46" s="56"/>
      <c r="L46" s="57"/>
      <c r="M46" s="56"/>
    </row>
    <row r="47" spans="1:13" x14ac:dyDescent="0.15">
      <c r="A47" s="61"/>
      <c r="B47" s="62">
        <f>MAX($B$3:B46)+1</f>
        <v>44</v>
      </c>
      <c r="C47" s="63" t="s">
        <v>352</v>
      </c>
      <c r="D47" s="64" t="s">
        <v>353</v>
      </c>
      <c r="E47" s="63" t="s">
        <v>352</v>
      </c>
      <c r="F47" s="126">
        <f>SUMIFS(期初庫存!F:F,期初庫存!C:C,C47)+SUMIFS(採購入庫!H:H,採購入庫!D:D,C47)-SUMIFS(借出!H:H,借出!D:D,C47)-SUMIFS(每日用粉紀錄表!G:G,每日用粉紀錄表!C:C,C47)+SUMIFS(歸還!H:H,歸還!D:D,C47)+SUMIFS(每日用粉紀錄表!I:I,每日用粉紀錄表!C:C,C47)</f>
        <v>0</v>
      </c>
      <c r="G47" s="126">
        <f>SUMIFS(期初庫存!G:G,期初庫存!C:C,C47)+SUMIFS(採購入庫!G:G,採購入庫!D:D,C47)-SUMIFS(每日用粉紀錄表!F:F,每日用粉紀錄表!C:C,C47)-SUMIFS(借出!G:G,借出!D:D,C47)+SUMIFS(歸還!G:G,歸還!D:D,C47)</f>
        <v>0</v>
      </c>
      <c r="H47" s="66"/>
      <c r="I47" s="65" t="str">
        <f>IF(H47&gt;G47,"採購","否")</f>
        <v>否</v>
      </c>
      <c r="J47" s="63">
        <f>IFERROR($G47*25+$F47,"-")</f>
        <v>0</v>
      </c>
      <c r="K47" s="56"/>
      <c r="L47" s="57"/>
      <c r="M47" s="56"/>
    </row>
    <row r="48" spans="1:13" x14ac:dyDescent="0.15">
      <c r="A48" s="61"/>
      <c r="B48" s="62">
        <f>MAX($B$3:B47)+1</f>
        <v>45</v>
      </c>
      <c r="C48" s="63" t="s">
        <v>352</v>
      </c>
      <c r="D48" s="64" t="s">
        <v>353</v>
      </c>
      <c r="E48" s="63" t="s">
        <v>352</v>
      </c>
      <c r="F48" s="126">
        <f>SUMIFS(期初庫存!F:F,期初庫存!C:C,C48)+SUMIFS(採購入庫!H:H,採購入庫!D:D,C48)-SUMIFS(借出!H:H,借出!D:D,C48)-SUMIFS(每日用粉紀錄表!G:G,每日用粉紀錄表!C:C,C48)+SUMIFS(歸還!H:H,歸還!D:D,C48)+SUMIFS(每日用粉紀錄表!I:I,每日用粉紀錄表!C:C,C48)</f>
        <v>0</v>
      </c>
      <c r="G48" s="126">
        <f>SUMIFS(期初庫存!G:G,期初庫存!C:C,C48)+SUMIFS(採購入庫!G:G,採購入庫!D:D,C48)-SUMIFS(每日用粉紀錄表!F:F,每日用粉紀錄表!C:C,C48)-SUMIFS(借出!G:G,借出!D:D,C48)+SUMIFS(歸還!G:G,歸還!D:D,C48)</f>
        <v>0</v>
      </c>
      <c r="H48" s="66"/>
      <c r="I48" s="65" t="str">
        <f>IF(H48&gt;G48,"採購","否")</f>
        <v>否</v>
      </c>
      <c r="J48" s="63">
        <f>IFERROR($G48*25+$F48,"-")</f>
        <v>0</v>
      </c>
      <c r="K48" s="56"/>
      <c r="L48" s="57"/>
      <c r="M48" s="56"/>
    </row>
    <row r="49" spans="1:13" x14ac:dyDescent="0.15">
      <c r="A49" s="61"/>
      <c r="B49" s="62">
        <f>MAX($B$3:B48)+1</f>
        <v>46</v>
      </c>
      <c r="C49" s="63" t="s">
        <v>352</v>
      </c>
      <c r="D49" s="64" t="s">
        <v>353</v>
      </c>
      <c r="E49" s="63" t="s">
        <v>352</v>
      </c>
      <c r="F49" s="126">
        <f>SUMIFS(期初庫存!F:F,期初庫存!C:C,C49)+SUMIFS(採購入庫!H:H,採購入庫!D:D,C49)-SUMIFS(借出!H:H,借出!D:D,C49)-SUMIFS(每日用粉紀錄表!G:G,每日用粉紀錄表!C:C,C49)+SUMIFS(歸還!H:H,歸還!D:D,C49)+SUMIFS(每日用粉紀錄表!I:I,每日用粉紀錄表!C:C,C49)</f>
        <v>0</v>
      </c>
      <c r="G49" s="126">
        <f>SUMIFS(期初庫存!G:G,期初庫存!C:C,C49)+SUMIFS(採購入庫!G:G,採購入庫!D:D,C49)-SUMIFS(每日用粉紀錄表!F:F,每日用粉紀錄表!C:C,C49)-SUMIFS(借出!G:G,借出!D:D,C49)+SUMIFS(歸還!G:G,歸還!D:D,C49)</f>
        <v>0</v>
      </c>
      <c r="H49" s="66"/>
      <c r="I49" s="65" t="str">
        <f>IF(H49&gt;G49,"採購","否")</f>
        <v>否</v>
      </c>
      <c r="J49" s="63">
        <f>IFERROR($G49*25+$F49,"-")</f>
        <v>0</v>
      </c>
      <c r="K49" s="56"/>
      <c r="L49" s="57"/>
      <c r="M49" s="56"/>
    </row>
    <row r="50" spans="1:13" x14ac:dyDescent="0.15">
      <c r="A50" s="61"/>
      <c r="B50" s="62">
        <f>MAX($B$3:B49)+1</f>
        <v>47</v>
      </c>
      <c r="C50" s="63" t="s">
        <v>352</v>
      </c>
      <c r="D50" s="64" t="s">
        <v>353</v>
      </c>
      <c r="E50" s="63" t="s">
        <v>352</v>
      </c>
      <c r="F50" s="126">
        <f>SUMIFS(期初庫存!F:F,期初庫存!C:C,C50)+SUMIFS(採購入庫!H:H,採購入庫!D:D,C50)-SUMIFS(借出!H:H,借出!D:D,C50)-SUMIFS(每日用粉紀錄表!G:G,每日用粉紀錄表!C:C,C50)+SUMIFS(歸還!H:H,歸還!D:D,C50)+SUMIFS(每日用粉紀錄表!I:I,每日用粉紀錄表!C:C,C50)</f>
        <v>0</v>
      </c>
      <c r="G50" s="126">
        <f>SUMIFS(期初庫存!G:G,期初庫存!C:C,C50)+SUMIFS(採購入庫!G:G,採購入庫!D:D,C50)-SUMIFS(每日用粉紀錄表!F:F,每日用粉紀錄表!C:C,C50)-SUMIFS(借出!G:G,借出!D:D,C50)+SUMIFS(歸還!G:G,歸還!D:D,C50)</f>
        <v>0</v>
      </c>
      <c r="H50" s="66"/>
      <c r="I50" s="65" t="str">
        <f>IF(H50&gt;G50,"採購","否")</f>
        <v>否</v>
      </c>
      <c r="J50" s="63">
        <f>IFERROR($G50*25+$F50,"-")</f>
        <v>0</v>
      </c>
      <c r="K50" s="56"/>
      <c r="L50" s="57"/>
      <c r="M50" s="56"/>
    </row>
    <row r="51" spans="1:13" x14ac:dyDescent="0.15">
      <c r="A51" s="61"/>
      <c r="B51" s="62">
        <f>MAX($B$3:B50)+1</f>
        <v>48</v>
      </c>
      <c r="C51" s="63" t="s">
        <v>352</v>
      </c>
      <c r="D51" s="64" t="s">
        <v>353</v>
      </c>
      <c r="E51" s="63" t="s">
        <v>352</v>
      </c>
      <c r="F51" s="126">
        <f>SUMIFS(期初庫存!F:F,期初庫存!C:C,C51)+SUMIFS(採購入庫!H:H,採購入庫!D:D,C51)-SUMIFS(借出!H:H,借出!D:D,C51)-SUMIFS(每日用粉紀錄表!G:G,每日用粉紀錄表!C:C,C51)+SUMIFS(歸還!H:H,歸還!D:D,C51)+SUMIFS(每日用粉紀錄表!I:I,每日用粉紀錄表!C:C,C51)</f>
        <v>0</v>
      </c>
      <c r="G51" s="126">
        <f>SUMIFS(期初庫存!G:G,期初庫存!C:C,C51)+SUMIFS(採購入庫!G:G,採購入庫!D:D,C51)-SUMIFS(每日用粉紀錄表!F:F,每日用粉紀錄表!C:C,C51)-SUMIFS(借出!G:G,借出!D:D,C51)+SUMIFS(歸還!G:G,歸還!D:D,C51)</f>
        <v>0</v>
      </c>
      <c r="H51" s="66"/>
      <c r="I51" s="65" t="str">
        <f>IF(H51&gt;G51,"採購","否")</f>
        <v>否</v>
      </c>
      <c r="J51" s="63">
        <f>IFERROR($G51*25+$F51,"-")</f>
        <v>0</v>
      </c>
      <c r="K51" s="56"/>
      <c r="L51" s="57"/>
      <c r="M51" s="56"/>
    </row>
    <row r="52" spans="1:13" x14ac:dyDescent="0.15">
      <c r="A52" s="61"/>
      <c r="B52" s="62">
        <f>MAX($B$3:B51)+1</f>
        <v>49</v>
      </c>
      <c r="C52" s="63" t="s">
        <v>352</v>
      </c>
      <c r="D52" s="64" t="s">
        <v>353</v>
      </c>
      <c r="E52" s="63" t="s">
        <v>352</v>
      </c>
      <c r="F52" s="126">
        <f>SUMIFS(期初庫存!F:F,期初庫存!C:C,C52)+SUMIFS(採購入庫!H:H,採購入庫!D:D,C52)-SUMIFS(借出!H:H,借出!D:D,C52)-SUMIFS(每日用粉紀錄表!G:G,每日用粉紀錄表!C:C,C52)+SUMIFS(歸還!H:H,歸還!D:D,C52)+SUMIFS(每日用粉紀錄表!I:I,每日用粉紀錄表!C:C,C52)</f>
        <v>0</v>
      </c>
      <c r="G52" s="126">
        <f>SUMIFS(期初庫存!G:G,期初庫存!C:C,C52)+SUMIFS(採購入庫!G:G,採購入庫!D:D,C52)-SUMIFS(每日用粉紀錄表!F:F,每日用粉紀錄表!C:C,C52)-SUMIFS(借出!G:G,借出!D:D,C52)+SUMIFS(歸還!G:G,歸還!D:D,C52)</f>
        <v>0</v>
      </c>
      <c r="H52" s="66"/>
      <c r="I52" s="65" t="str">
        <f>IF(H52&gt;G52,"採購","否")</f>
        <v>否</v>
      </c>
      <c r="J52" s="63">
        <f>IFERROR($G52*25+$F52,"-")</f>
        <v>0</v>
      </c>
      <c r="K52" s="56"/>
      <c r="L52" s="57"/>
      <c r="M52" s="56"/>
    </row>
    <row r="53" spans="1:13" x14ac:dyDescent="0.15">
      <c r="A53" s="61"/>
      <c r="B53" s="62">
        <f>MAX($B$3:B52)+1</f>
        <v>50</v>
      </c>
      <c r="C53" s="63" t="s">
        <v>352</v>
      </c>
      <c r="D53" s="64" t="s">
        <v>353</v>
      </c>
      <c r="E53" s="63" t="s">
        <v>352</v>
      </c>
      <c r="F53" s="126">
        <f>SUMIFS(期初庫存!F:F,期初庫存!C:C,C53)+SUMIFS(採購入庫!H:H,採購入庫!D:D,C53)-SUMIFS(借出!H:H,借出!D:D,C53)-SUMIFS(每日用粉紀錄表!G:G,每日用粉紀錄表!C:C,C53)+SUMIFS(歸還!H:H,歸還!D:D,C53)+SUMIFS(每日用粉紀錄表!I:I,每日用粉紀錄表!C:C,C53)</f>
        <v>0</v>
      </c>
      <c r="G53" s="126">
        <f>SUMIFS(期初庫存!G:G,期初庫存!C:C,C53)+SUMIFS(採購入庫!G:G,採購入庫!D:D,C53)-SUMIFS(每日用粉紀錄表!F:F,每日用粉紀錄表!C:C,C53)-SUMIFS(借出!G:G,借出!D:D,C53)+SUMIFS(歸還!G:G,歸還!D:D,C53)</f>
        <v>0</v>
      </c>
      <c r="H53" s="66"/>
      <c r="I53" s="65" t="str">
        <f>IF(H53&gt;G53,"採購","否")</f>
        <v>否</v>
      </c>
      <c r="J53" s="63">
        <f>IFERROR($G53*25+$F53,"-")</f>
        <v>0</v>
      </c>
      <c r="K53" s="56"/>
      <c r="L53" s="57"/>
      <c r="M53" s="56"/>
    </row>
    <row r="54" spans="1:13" x14ac:dyDescent="0.15">
      <c r="A54" s="61"/>
      <c r="B54" s="62">
        <f>MAX($B$3:B53)+1</f>
        <v>51</v>
      </c>
      <c r="C54" s="63" t="s">
        <v>352</v>
      </c>
      <c r="D54" s="64" t="s">
        <v>353</v>
      </c>
      <c r="E54" s="63" t="s">
        <v>352</v>
      </c>
      <c r="F54" s="126">
        <f>SUMIFS(期初庫存!F:F,期初庫存!C:C,C54)+SUMIFS(採購入庫!H:H,採購入庫!D:D,C54)-SUMIFS(借出!H:H,借出!D:D,C54)-SUMIFS(每日用粉紀錄表!G:G,每日用粉紀錄表!C:C,C54)+SUMIFS(歸還!H:H,歸還!D:D,C54)+SUMIFS(每日用粉紀錄表!I:I,每日用粉紀錄表!C:C,C54)</f>
        <v>0</v>
      </c>
      <c r="G54" s="126">
        <f>SUMIFS(期初庫存!G:G,期初庫存!C:C,C54)+SUMIFS(採購入庫!G:G,採購入庫!D:D,C54)-SUMIFS(每日用粉紀錄表!F:F,每日用粉紀錄表!C:C,C54)-SUMIFS(借出!G:G,借出!D:D,C54)+SUMIFS(歸還!G:G,歸還!D:D,C54)</f>
        <v>0</v>
      </c>
      <c r="H54" s="66"/>
      <c r="I54" s="65" t="str">
        <f>IF(H54&gt;G54,"採購","否")</f>
        <v>否</v>
      </c>
      <c r="J54" s="63">
        <f>IFERROR($G54*25+$F54,"-")</f>
        <v>0</v>
      </c>
      <c r="K54" s="56"/>
      <c r="L54" s="57"/>
      <c r="M54" s="56"/>
    </row>
    <row r="55" spans="1:13" x14ac:dyDescent="0.15">
      <c r="A55" s="61"/>
      <c r="B55" s="62">
        <f>MAX($B$3:B54)+1</f>
        <v>52</v>
      </c>
      <c r="C55" s="63" t="s">
        <v>352</v>
      </c>
      <c r="D55" s="64" t="s">
        <v>353</v>
      </c>
      <c r="E55" s="63" t="s">
        <v>352</v>
      </c>
      <c r="F55" s="126">
        <f>SUMIFS(期初庫存!F:F,期初庫存!C:C,C55)+SUMIFS(採購入庫!H:H,採購入庫!D:D,C55)-SUMIFS(借出!H:H,借出!D:D,C55)-SUMIFS(每日用粉紀錄表!G:G,每日用粉紀錄表!C:C,C55)+SUMIFS(歸還!H:H,歸還!D:D,C55)+SUMIFS(每日用粉紀錄表!I:I,每日用粉紀錄表!C:C,C55)</f>
        <v>0</v>
      </c>
      <c r="G55" s="126">
        <f>SUMIFS(期初庫存!G:G,期初庫存!C:C,C55)+SUMIFS(採購入庫!G:G,採購入庫!D:D,C55)-SUMIFS(每日用粉紀錄表!F:F,每日用粉紀錄表!C:C,C55)-SUMIFS(借出!G:G,借出!D:D,C55)+SUMIFS(歸還!G:G,歸還!D:D,C55)</f>
        <v>0</v>
      </c>
      <c r="H55" s="66"/>
      <c r="I55" s="65" t="str">
        <f>IF(H55&gt;G55,"採購","否")</f>
        <v>否</v>
      </c>
      <c r="J55" s="63">
        <f>IFERROR($G55*25+$F55,"-")</f>
        <v>0</v>
      </c>
      <c r="K55" s="56"/>
      <c r="L55" s="57"/>
      <c r="M55" s="56"/>
    </row>
    <row r="56" spans="1:13" x14ac:dyDescent="0.15">
      <c r="A56" s="61"/>
      <c r="B56" s="62">
        <f>MAX($B$3:B55)+1</f>
        <v>53</v>
      </c>
      <c r="C56" s="63" t="s">
        <v>352</v>
      </c>
      <c r="D56" s="64" t="s">
        <v>352</v>
      </c>
      <c r="E56" s="63" t="s">
        <v>352</v>
      </c>
      <c r="F56" s="126">
        <f>SUMIFS(期初庫存!F:F,期初庫存!C:C,C56)+SUMIFS(採購入庫!H:H,採購入庫!D:D,C56)-SUMIFS(借出!H:H,借出!D:D,C56)-SUMIFS(每日用粉紀錄表!G:G,每日用粉紀錄表!C:C,C56)+SUMIFS(歸還!H:H,歸還!D:D,C56)+SUMIFS(每日用粉紀錄表!I:I,每日用粉紀錄表!C:C,C56)</f>
        <v>0</v>
      </c>
      <c r="G56" s="126">
        <f>SUMIFS(期初庫存!G:G,期初庫存!C:C,C56)+SUMIFS(採購入庫!G:G,採購入庫!D:D,C56)-SUMIFS(每日用粉紀錄表!F:F,每日用粉紀錄表!C:C,C56)-SUMIFS(借出!G:G,借出!D:D,C56)+SUMIFS(歸還!G:G,歸還!D:D,C56)</f>
        <v>0</v>
      </c>
      <c r="H56" s="66"/>
      <c r="I56" s="65" t="str">
        <f>IF(H56&gt;G56,"採購","否")</f>
        <v>否</v>
      </c>
      <c r="J56" s="63">
        <f>IFERROR($G56*25+$F56,"-")</f>
        <v>0</v>
      </c>
      <c r="K56" s="56"/>
      <c r="L56" s="57"/>
      <c r="M56" s="56"/>
    </row>
    <row r="57" spans="1:13" x14ac:dyDescent="0.15">
      <c r="A57" s="61"/>
      <c r="B57" s="62">
        <f>MAX($B$3:B56)+1</f>
        <v>54</v>
      </c>
      <c r="C57" s="63" t="s">
        <v>352</v>
      </c>
      <c r="D57" s="64" t="s">
        <v>352</v>
      </c>
      <c r="E57" s="63" t="s">
        <v>352</v>
      </c>
      <c r="F57" s="126">
        <f>SUMIFS(期初庫存!F:F,期初庫存!C:C,C57)+SUMIFS(採購入庫!H:H,採購入庫!D:D,C57)-SUMIFS(借出!H:H,借出!D:D,C57)-SUMIFS(每日用粉紀錄表!G:G,每日用粉紀錄表!C:C,C57)+SUMIFS(歸還!H:H,歸還!D:D,C57)+SUMIFS(每日用粉紀錄表!I:I,每日用粉紀錄表!C:C,C57)</f>
        <v>0</v>
      </c>
      <c r="G57" s="126">
        <f>SUMIFS(期初庫存!G:G,期初庫存!C:C,C57)+SUMIFS(採購入庫!G:G,採購入庫!D:D,C57)-SUMIFS(每日用粉紀錄表!F:F,每日用粉紀錄表!C:C,C57)-SUMIFS(借出!G:G,借出!D:D,C57)+SUMIFS(歸還!G:G,歸還!D:D,C57)</f>
        <v>0</v>
      </c>
      <c r="H57" s="66"/>
      <c r="I57" s="65" t="str">
        <f>IF(H57&gt;G57,"採購","否")</f>
        <v>否</v>
      </c>
      <c r="J57" s="63">
        <f>IFERROR($G57*25+$F57,"-")</f>
        <v>0</v>
      </c>
      <c r="K57" s="56"/>
      <c r="L57" s="57"/>
      <c r="M57" s="56"/>
    </row>
    <row r="58" spans="1:13" x14ac:dyDescent="0.15">
      <c r="A58" s="61"/>
      <c r="B58" s="62">
        <f>MAX($B$3:B57)+1</f>
        <v>55</v>
      </c>
      <c r="C58" s="63" t="s">
        <v>352</v>
      </c>
      <c r="D58" s="64" t="s">
        <v>352</v>
      </c>
      <c r="E58" s="63" t="s">
        <v>352</v>
      </c>
      <c r="F58" s="126">
        <f>SUMIFS(期初庫存!F:F,期初庫存!C:C,C58)+SUMIFS(採購入庫!H:H,採購入庫!D:D,C58)-SUMIFS(借出!H:H,借出!D:D,C58)-SUMIFS(每日用粉紀錄表!G:G,每日用粉紀錄表!C:C,C58)+SUMIFS(歸還!H:H,歸還!D:D,C58)+SUMIFS(每日用粉紀錄表!I:I,每日用粉紀錄表!C:C,C58)</f>
        <v>0</v>
      </c>
      <c r="G58" s="126">
        <f>SUMIFS(期初庫存!G:G,期初庫存!C:C,C58)+SUMIFS(採購入庫!G:G,採購入庫!D:D,C58)-SUMIFS(每日用粉紀錄表!F:F,每日用粉紀錄表!C:C,C58)-SUMIFS(借出!G:G,借出!D:D,C58)+SUMIFS(歸還!G:G,歸還!D:D,C58)</f>
        <v>0</v>
      </c>
      <c r="H58" s="66"/>
      <c r="I58" s="65" t="str">
        <f>IF(H58&gt;G58,"採購","否")</f>
        <v>否</v>
      </c>
      <c r="J58" s="63">
        <f>IFERROR($G58*25+$F58,"-")</f>
        <v>0</v>
      </c>
      <c r="K58" s="56"/>
      <c r="L58" s="57"/>
      <c r="M58" s="56"/>
    </row>
    <row r="59" spans="1:13" x14ac:dyDescent="0.15">
      <c r="A59" s="61"/>
      <c r="B59" s="62">
        <f>MAX($B$3:B58)+1</f>
        <v>56</v>
      </c>
      <c r="C59" s="63" t="s">
        <v>352</v>
      </c>
      <c r="D59" s="64" t="s">
        <v>352</v>
      </c>
      <c r="E59" s="63" t="s">
        <v>352</v>
      </c>
      <c r="F59" s="126">
        <f>SUMIFS(期初庫存!F:F,期初庫存!C:C,C59)+SUMIFS(採購入庫!H:H,採購入庫!D:D,C59)-SUMIFS(借出!H:H,借出!D:D,C59)-SUMIFS(每日用粉紀錄表!G:G,每日用粉紀錄表!C:C,C59)+SUMIFS(歸還!H:H,歸還!D:D,C59)+SUMIFS(每日用粉紀錄表!I:I,每日用粉紀錄表!C:C,C59)</f>
        <v>0</v>
      </c>
      <c r="G59" s="126">
        <f>SUMIFS(期初庫存!G:G,期初庫存!C:C,C59)+SUMIFS(採購入庫!G:G,採購入庫!D:D,C59)-SUMIFS(每日用粉紀錄表!F:F,每日用粉紀錄表!C:C,C59)-SUMIFS(借出!G:G,借出!D:D,C59)+SUMIFS(歸還!G:G,歸還!D:D,C59)</f>
        <v>0</v>
      </c>
      <c r="H59" s="66"/>
      <c r="I59" s="65" t="str">
        <f>IF(H59&gt;G59,"採購","否")</f>
        <v>否</v>
      </c>
      <c r="J59" s="63">
        <f>IFERROR($G59*25+$F59,"-")</f>
        <v>0</v>
      </c>
      <c r="K59" s="56"/>
      <c r="L59" s="57"/>
      <c r="M59" s="56"/>
    </row>
    <row r="60" spans="1:13" x14ac:dyDescent="0.15">
      <c r="A60" s="61"/>
      <c r="B60" s="62">
        <f>MAX($B$3:B59)+1</f>
        <v>57</v>
      </c>
      <c r="C60" s="63" t="s">
        <v>352</v>
      </c>
      <c r="D60" s="64" t="s">
        <v>352</v>
      </c>
      <c r="E60" s="63" t="s">
        <v>352</v>
      </c>
      <c r="F60" s="126">
        <f>SUMIFS(期初庫存!F:F,期初庫存!C:C,C60)+SUMIFS(採購入庫!H:H,採購入庫!D:D,C60)-SUMIFS(借出!H:H,借出!D:D,C60)-SUMIFS(每日用粉紀錄表!G:G,每日用粉紀錄表!C:C,C60)+SUMIFS(歸還!H:H,歸還!D:D,C60)+SUMIFS(每日用粉紀錄表!I:I,每日用粉紀錄表!C:C,C60)</f>
        <v>0</v>
      </c>
      <c r="G60" s="126">
        <f>SUMIFS(期初庫存!G:G,期初庫存!C:C,C60)+SUMIFS(採購入庫!G:G,採購入庫!D:D,C60)-SUMIFS(每日用粉紀錄表!F:F,每日用粉紀錄表!C:C,C60)-SUMIFS(借出!G:G,借出!D:D,C60)+SUMIFS(歸還!G:G,歸還!D:D,C60)</f>
        <v>0</v>
      </c>
      <c r="H60" s="66"/>
      <c r="I60" s="65" t="str">
        <f>IF(H60&gt;G60,"採購","否")</f>
        <v>否</v>
      </c>
      <c r="J60" s="63">
        <f>IFERROR($G60*25+$F60,"-")</f>
        <v>0</v>
      </c>
      <c r="K60" s="56"/>
      <c r="L60" s="57"/>
      <c r="M60" s="56"/>
    </row>
    <row r="61" spans="1:13" x14ac:dyDescent="0.15">
      <c r="A61" s="61"/>
      <c r="B61" s="62">
        <f>MAX($B$3:B60)+1</f>
        <v>58</v>
      </c>
      <c r="C61" s="63" t="s">
        <v>352</v>
      </c>
      <c r="D61" s="64" t="s">
        <v>352</v>
      </c>
      <c r="E61" s="63" t="s">
        <v>352</v>
      </c>
      <c r="F61" s="126">
        <f>SUMIFS(期初庫存!F:F,期初庫存!C:C,C61)+SUMIFS(採購入庫!H:H,採購入庫!D:D,C61)-SUMIFS(借出!H:H,借出!D:D,C61)-SUMIFS(每日用粉紀錄表!G:G,每日用粉紀錄表!C:C,C61)+SUMIFS(歸還!H:H,歸還!D:D,C61)+SUMIFS(每日用粉紀錄表!I:I,每日用粉紀錄表!C:C,C61)</f>
        <v>0</v>
      </c>
      <c r="G61" s="126">
        <f>SUMIFS(期初庫存!G:G,期初庫存!C:C,C61)+SUMIFS(採購入庫!G:G,採購入庫!D:D,C61)-SUMIFS(每日用粉紀錄表!F:F,每日用粉紀錄表!C:C,C61)-SUMIFS(借出!G:G,借出!D:D,C61)+SUMIFS(歸還!G:G,歸還!D:D,C61)</f>
        <v>0</v>
      </c>
      <c r="H61" s="66"/>
      <c r="I61" s="65" t="str">
        <f>IF(H61&gt;G61,"採購","否")</f>
        <v>否</v>
      </c>
      <c r="J61" s="63">
        <f>IFERROR($G61*25+$F61,"-")</f>
        <v>0</v>
      </c>
      <c r="K61" s="56"/>
      <c r="L61" s="57"/>
      <c r="M61" s="56"/>
    </row>
    <row r="62" spans="1:13" x14ac:dyDescent="0.15">
      <c r="A62" s="61"/>
      <c r="B62" s="62">
        <f>MAX($B$3:B61)+1</f>
        <v>59</v>
      </c>
      <c r="C62" s="63" t="s">
        <v>352</v>
      </c>
      <c r="D62" s="64" t="s">
        <v>352</v>
      </c>
      <c r="E62" s="63" t="s">
        <v>352</v>
      </c>
      <c r="F62" s="126">
        <f>SUMIFS(期初庫存!F:F,期初庫存!C:C,C62)+SUMIFS(採購入庫!H:H,採購入庫!D:D,C62)-SUMIFS(借出!H:H,借出!D:D,C62)-SUMIFS(每日用粉紀錄表!G:G,每日用粉紀錄表!C:C,C62)+SUMIFS(歸還!H:H,歸還!D:D,C62)+SUMIFS(每日用粉紀錄表!I:I,每日用粉紀錄表!C:C,C62)</f>
        <v>0</v>
      </c>
      <c r="G62" s="126">
        <f>SUMIFS(期初庫存!G:G,期初庫存!C:C,C62)+SUMIFS(採購入庫!G:G,採購入庫!D:D,C62)-SUMIFS(每日用粉紀錄表!F:F,每日用粉紀錄表!C:C,C62)-SUMIFS(借出!G:G,借出!D:D,C62)+SUMIFS(歸還!G:G,歸還!D:D,C62)</f>
        <v>0</v>
      </c>
      <c r="H62" s="66"/>
      <c r="I62" s="65" t="str">
        <f>IF(H62&gt;G62,"採購","否")</f>
        <v>否</v>
      </c>
      <c r="J62" s="63">
        <f>IFERROR($G62*25+$F62,"-")</f>
        <v>0</v>
      </c>
      <c r="K62" s="56"/>
      <c r="L62" s="57"/>
      <c r="M62" s="56"/>
    </row>
    <row r="63" spans="1:13" x14ac:dyDescent="0.15">
      <c r="A63" s="61"/>
      <c r="B63" s="62">
        <f>MAX($B$3:B62)+1</f>
        <v>60</v>
      </c>
      <c r="C63" s="63" t="s">
        <v>352</v>
      </c>
      <c r="D63" s="64" t="s">
        <v>352</v>
      </c>
      <c r="E63" s="63" t="s">
        <v>352</v>
      </c>
      <c r="F63" s="126">
        <f>SUMIFS(期初庫存!F:F,期初庫存!C:C,C63)+SUMIFS(採購入庫!H:H,採購入庫!D:D,C63)-SUMIFS(借出!H:H,借出!D:D,C63)-SUMIFS(每日用粉紀錄表!G:G,每日用粉紀錄表!C:C,C63)+SUMIFS(歸還!H:H,歸還!D:D,C63)+SUMIFS(每日用粉紀錄表!I:I,每日用粉紀錄表!C:C,C63)</f>
        <v>0</v>
      </c>
      <c r="G63" s="126">
        <f>SUMIFS(期初庫存!G:G,期初庫存!C:C,C63)+SUMIFS(採購入庫!G:G,採購入庫!D:D,C63)-SUMIFS(每日用粉紀錄表!F:F,每日用粉紀錄表!C:C,C63)-SUMIFS(借出!G:G,借出!D:D,C63)+SUMIFS(歸還!G:G,歸還!D:D,C63)</f>
        <v>0</v>
      </c>
      <c r="H63" s="66"/>
      <c r="I63" s="65" t="str">
        <f>IF(H63&gt;G63,"採購","否")</f>
        <v>否</v>
      </c>
      <c r="J63" s="63">
        <f>IFERROR($G63*25+$F63,"-")</f>
        <v>0</v>
      </c>
      <c r="K63" s="56"/>
      <c r="L63" s="57"/>
      <c r="M63" s="56"/>
    </row>
    <row r="64" spans="1:13" x14ac:dyDescent="0.15">
      <c r="A64" s="61"/>
      <c r="B64" s="62">
        <f>MAX($B$3:B63)+1</f>
        <v>61</v>
      </c>
      <c r="C64" s="63" t="s">
        <v>352</v>
      </c>
      <c r="D64" s="64" t="s">
        <v>352</v>
      </c>
      <c r="E64" s="63" t="s">
        <v>352</v>
      </c>
      <c r="F64" s="126">
        <f>SUMIFS(期初庫存!F:F,期初庫存!C:C,C64)+SUMIFS(採購入庫!H:H,採購入庫!D:D,C64)-SUMIFS(借出!H:H,借出!D:D,C64)-SUMIFS(每日用粉紀錄表!G:G,每日用粉紀錄表!C:C,C64)+SUMIFS(歸還!H:H,歸還!D:D,C64)+SUMIFS(每日用粉紀錄表!I:I,每日用粉紀錄表!C:C,C64)</f>
        <v>0</v>
      </c>
      <c r="G64" s="126">
        <f>SUMIFS(期初庫存!G:G,期初庫存!C:C,C64)+SUMIFS(採購入庫!G:G,採購入庫!D:D,C64)-SUMIFS(每日用粉紀錄表!F:F,每日用粉紀錄表!C:C,C64)-SUMIFS(借出!G:G,借出!D:D,C64)+SUMIFS(歸還!G:G,歸還!D:D,C64)</f>
        <v>0</v>
      </c>
      <c r="H64" s="66"/>
      <c r="I64" s="65" t="str">
        <f>IF(H64&gt;G64,"採購","否")</f>
        <v>否</v>
      </c>
      <c r="J64" s="63">
        <f>IFERROR($G64*25+$F64,"-")</f>
        <v>0</v>
      </c>
      <c r="K64" s="56"/>
      <c r="L64" s="57"/>
      <c r="M64" s="56"/>
    </row>
    <row r="65" spans="1:13" x14ac:dyDescent="0.15">
      <c r="A65" s="61"/>
      <c r="B65" s="62">
        <f>MAX($B$3:B64)+1</f>
        <v>62</v>
      </c>
      <c r="C65" s="63" t="s">
        <v>352</v>
      </c>
      <c r="D65" s="64" t="s">
        <v>352</v>
      </c>
      <c r="E65" s="63" t="s">
        <v>352</v>
      </c>
      <c r="F65" s="126">
        <f>SUMIFS(期初庫存!F:F,期初庫存!C:C,C65)+SUMIFS(採購入庫!H:H,採購入庫!D:D,C65)-SUMIFS(借出!H:H,借出!D:D,C65)-SUMIFS(每日用粉紀錄表!G:G,每日用粉紀錄表!C:C,C65)+SUMIFS(歸還!H:H,歸還!D:D,C65)+SUMIFS(每日用粉紀錄表!I:I,每日用粉紀錄表!C:C,C65)</f>
        <v>0</v>
      </c>
      <c r="G65" s="126">
        <f>SUMIFS(期初庫存!G:G,期初庫存!C:C,C65)+SUMIFS(採購入庫!G:G,採購入庫!D:D,C65)-SUMIFS(每日用粉紀錄表!F:F,每日用粉紀錄表!C:C,C65)-SUMIFS(借出!G:G,借出!D:D,C65)+SUMIFS(歸還!G:G,歸還!D:D,C65)</f>
        <v>0</v>
      </c>
      <c r="H65" s="66"/>
      <c r="I65" s="65" t="str">
        <f>IF(H65&gt;G65,"採購","否")</f>
        <v>否</v>
      </c>
      <c r="J65" s="63">
        <f>IFERROR($G65*25+$F65,"-")</f>
        <v>0</v>
      </c>
      <c r="K65" s="56"/>
      <c r="L65" s="57"/>
      <c r="M65" s="56"/>
    </row>
    <row r="66" spans="1:13" x14ac:dyDescent="0.15">
      <c r="A66" s="61"/>
      <c r="B66" s="62">
        <f>MAX($B$3:B65)+1</f>
        <v>63</v>
      </c>
      <c r="C66" s="63" t="s">
        <v>352</v>
      </c>
      <c r="D66" s="64" t="s">
        <v>352</v>
      </c>
      <c r="E66" s="63" t="s">
        <v>352</v>
      </c>
      <c r="F66" s="126">
        <f>SUMIFS(期初庫存!F:F,期初庫存!C:C,C66)+SUMIFS(採購入庫!H:H,採購入庫!D:D,C66)-SUMIFS(借出!H:H,借出!D:D,C66)-SUMIFS(每日用粉紀錄表!G:G,每日用粉紀錄表!C:C,C66)+SUMIFS(歸還!H:H,歸還!D:D,C66)+SUMIFS(每日用粉紀錄表!I:I,每日用粉紀錄表!C:C,C66)</f>
        <v>0</v>
      </c>
      <c r="G66" s="126">
        <f>SUMIFS(期初庫存!G:G,期初庫存!C:C,C66)+SUMIFS(採購入庫!G:G,採購入庫!D:D,C66)-SUMIFS(每日用粉紀錄表!F:F,每日用粉紀錄表!C:C,C66)-SUMIFS(借出!G:G,借出!D:D,C66)+SUMIFS(歸還!G:G,歸還!D:D,C66)</f>
        <v>0</v>
      </c>
      <c r="H66" s="66"/>
      <c r="I66" s="65" t="str">
        <f>IF(H66&gt;G66,"採購","否")</f>
        <v>否</v>
      </c>
      <c r="J66" s="63">
        <f>IFERROR($G66*25+$F66,"-")</f>
        <v>0</v>
      </c>
      <c r="K66" s="56"/>
      <c r="L66" s="57"/>
      <c r="M66" s="56"/>
    </row>
    <row r="67" spans="1:13" x14ac:dyDescent="0.15">
      <c r="A67" s="61"/>
      <c r="B67" s="62">
        <f>MAX($B$3:B66)+1</f>
        <v>64</v>
      </c>
      <c r="C67" s="63" t="s">
        <v>352</v>
      </c>
      <c r="D67" s="64" t="s">
        <v>352</v>
      </c>
      <c r="E67" s="63" t="s">
        <v>352</v>
      </c>
      <c r="F67" s="126">
        <f>SUMIFS(期初庫存!F:F,期初庫存!C:C,C67)+SUMIFS(採購入庫!H:H,採購入庫!D:D,C67)-SUMIFS(借出!H:H,借出!D:D,C67)-SUMIFS(每日用粉紀錄表!G:G,每日用粉紀錄表!C:C,C67)+SUMIFS(歸還!H:H,歸還!D:D,C67)+SUMIFS(每日用粉紀錄表!I:I,每日用粉紀錄表!C:C,C67)</f>
        <v>0</v>
      </c>
      <c r="G67" s="126">
        <f>SUMIFS(期初庫存!G:G,期初庫存!C:C,C67)+SUMIFS(採購入庫!G:G,採購入庫!D:D,C67)-SUMIFS(每日用粉紀錄表!F:F,每日用粉紀錄表!C:C,C67)-SUMIFS(借出!G:G,借出!D:D,C67)+SUMIFS(歸還!H:H,歸還!D:D,C67)</f>
        <v>0</v>
      </c>
      <c r="H67" s="66"/>
      <c r="I67" s="65" t="str">
        <f>IF(H67&gt;G67,"採購","否")</f>
        <v>否</v>
      </c>
      <c r="J67" s="63">
        <f>IFERROR($G67*25+$F67,"-")</f>
        <v>0</v>
      </c>
      <c r="K67" s="56"/>
      <c r="L67" s="57"/>
      <c r="M67" s="56"/>
    </row>
    <row r="68" spans="1:13" x14ac:dyDescent="0.15">
      <c r="A68" s="61"/>
      <c r="B68" s="62">
        <f>MAX($B$3:B67)+1</f>
        <v>65</v>
      </c>
      <c r="C68" s="63" t="s">
        <v>352</v>
      </c>
      <c r="D68" s="64" t="s">
        <v>352</v>
      </c>
      <c r="E68" s="63" t="s">
        <v>352</v>
      </c>
      <c r="F68" s="126">
        <f>SUMIFS(期初庫存!F:F,期初庫存!C:C,C68)+SUMIFS(採購入庫!H:H,採購入庫!D:D,C68)-SUMIFS(借出!H:H,借出!D:D,C68)-SUMIFS(每日用粉紀錄表!G:G,每日用粉紀錄表!C:C,C68)+SUMIFS(歸還!H:H,歸還!D:D,C68)+SUMIFS(每日用粉紀錄表!I:I,每日用粉紀錄表!C:C,C68)</f>
        <v>0</v>
      </c>
      <c r="G68" s="126">
        <f>SUMIFS(期初庫存!G:G,期初庫存!C:C,C68)+SUMIFS(採購入庫!G:G,採購入庫!D:D,C68)-SUMIFS(每日用粉紀錄表!F:F,每日用粉紀錄表!C:C,C68)-SUMIFS(借出!G:G,借出!D:D,C68)+SUMIFS(歸還!H:H,歸還!D:D,C68)</f>
        <v>0</v>
      </c>
      <c r="H68" s="66"/>
      <c r="I68" s="65" t="str">
        <f>IF(H68&gt;G68,"採購","否")</f>
        <v>否</v>
      </c>
      <c r="J68" s="63">
        <f>IFERROR($G68*25+$F68,"-")</f>
        <v>0</v>
      </c>
      <c r="K68" s="56"/>
      <c r="L68" s="57"/>
      <c r="M68" s="56"/>
    </row>
    <row r="69" spans="1:13" x14ac:dyDescent="0.15">
      <c r="A69" s="61"/>
      <c r="B69" s="62">
        <f>MAX($B$3:B68)+1</f>
        <v>66</v>
      </c>
      <c r="C69" s="63" t="s">
        <v>352</v>
      </c>
      <c r="D69" s="64" t="s">
        <v>352</v>
      </c>
      <c r="E69" s="63" t="s">
        <v>352</v>
      </c>
      <c r="F69" s="126">
        <f>SUMIFS(期初庫存!F:F,期初庫存!C:C,C69)+SUMIFS(採購入庫!H:H,採購入庫!D:D,C69)-SUMIFS(借出!H:H,借出!D:D,C69)-SUMIFS(每日用粉紀錄表!G:G,每日用粉紀錄表!C:C,C69)+SUMIFS(歸還!H:H,歸還!D:D,C69)+SUMIFS(每日用粉紀錄表!I:I,每日用粉紀錄表!C:C,C69)</f>
        <v>0</v>
      </c>
      <c r="G69" s="126">
        <f>SUMIFS(期初庫存!G:G,期初庫存!C:C,C69)+SUMIFS(採購入庫!G:G,採購入庫!D:D,C69)-SUMIFS(每日用粉紀錄表!F:F,每日用粉紀錄表!C:C,C69)-SUMIFS(借出!G:G,借出!D:D,C69)+SUMIFS(歸還!H:H,歸還!D:D,C69)</f>
        <v>0</v>
      </c>
      <c r="H69" s="66"/>
      <c r="I69" s="65" t="str">
        <f>IF(H69&gt;G69,"採購","否")</f>
        <v>否</v>
      </c>
      <c r="J69" s="63">
        <f>IFERROR($G69*25+$F69,"-")</f>
        <v>0</v>
      </c>
      <c r="K69" s="56"/>
      <c r="L69" s="57"/>
      <c r="M69" s="56"/>
    </row>
    <row r="70" spans="1:13" x14ac:dyDescent="0.15">
      <c r="A70" s="61"/>
      <c r="B70" s="62">
        <f>MAX($B$3:B69)+1</f>
        <v>67</v>
      </c>
      <c r="C70" s="63" t="s">
        <v>352</v>
      </c>
      <c r="D70" s="64" t="s">
        <v>352</v>
      </c>
      <c r="E70" s="63" t="s">
        <v>352</v>
      </c>
      <c r="F70" s="126">
        <f>SUMIFS(期初庫存!F:F,期初庫存!C:C,C70)+SUMIFS(採購入庫!H:H,採購入庫!D:D,C70)-SUMIFS(借出!H:H,借出!D:D,C70)-SUMIFS(每日用粉紀錄表!G:G,每日用粉紀錄表!C:C,C70)+SUMIFS(歸還!H:H,歸還!D:D,C70)+SUMIFS(每日用粉紀錄表!I:I,每日用粉紀錄表!C:C,C70)</f>
        <v>0</v>
      </c>
      <c r="G70" s="126">
        <f>SUMIFS(期初庫存!G:G,期初庫存!C:C,C70)+SUMIFS(採購入庫!G:G,採購入庫!D:D,C70)-SUMIFS(每日用粉紀錄表!F:F,每日用粉紀錄表!C:C,C70)-SUMIFS(借出!G:G,借出!D:D,C70)+SUMIFS(歸還!H:H,歸還!D:D,C70)</f>
        <v>0</v>
      </c>
      <c r="H70" s="66"/>
      <c r="I70" s="65" t="str">
        <f>IF(H70&gt;G70,"採購","否")</f>
        <v>否</v>
      </c>
      <c r="J70" s="63">
        <f>IFERROR($G70*25+$F70,"-")</f>
        <v>0</v>
      </c>
      <c r="K70" s="56"/>
      <c r="L70" s="57"/>
      <c r="M70" s="56"/>
    </row>
    <row r="71" spans="1:13" x14ac:dyDescent="0.15">
      <c r="A71" s="61"/>
      <c r="B71" s="62">
        <f>MAX($B$3:B70)+1</f>
        <v>68</v>
      </c>
      <c r="C71" s="63" t="s">
        <v>352</v>
      </c>
      <c r="D71" s="64" t="s">
        <v>352</v>
      </c>
      <c r="E71" s="63" t="s">
        <v>352</v>
      </c>
      <c r="F71" s="126">
        <f>SUMIFS(期初庫存!F:F,期初庫存!C:C,C71)+SUMIFS(採購入庫!H:H,採購入庫!D:D,C71)-SUMIFS(借出!H:H,借出!D:D,C71)-SUMIFS(每日用粉紀錄表!G:G,每日用粉紀錄表!C:C,C71)+SUMIFS(歸還!H:H,歸還!D:D,C71)+SUMIFS(每日用粉紀錄表!I:I,每日用粉紀錄表!C:C,C71)</f>
        <v>0</v>
      </c>
      <c r="G71" s="126">
        <f>SUMIFS(期初庫存!G:G,期初庫存!C:C,C71)+SUMIFS(採購入庫!G:G,採購入庫!D:D,C71)-SUMIFS(每日用粉紀錄表!F:F,每日用粉紀錄表!C:C,C71)-SUMIFS(借出!G:G,借出!D:D,C71)+SUMIFS(歸還!H:H,歸還!D:D,C71)</f>
        <v>0</v>
      </c>
      <c r="H71" s="66"/>
      <c r="I71" s="65" t="str">
        <f>IF(H71&gt;G71,"採購","否")</f>
        <v>否</v>
      </c>
      <c r="J71" s="63">
        <f>IFERROR($G71*25+$F71,"-")</f>
        <v>0</v>
      </c>
      <c r="K71" s="56"/>
      <c r="L71" s="57"/>
      <c r="M71" s="56"/>
    </row>
    <row r="72" spans="1:13" x14ac:dyDescent="0.15">
      <c r="A72" s="61"/>
      <c r="B72" s="62">
        <f>MAX($B$3:B71)+1</f>
        <v>69</v>
      </c>
      <c r="C72" s="63" t="s">
        <v>352</v>
      </c>
      <c r="D72" s="64" t="s">
        <v>352</v>
      </c>
      <c r="E72" s="63" t="s">
        <v>352</v>
      </c>
      <c r="F72" s="126">
        <f>SUMIFS(期初庫存!F:F,期初庫存!C:C,C72)+SUMIFS(採購入庫!H:H,採購入庫!D:D,C72)-SUMIFS(借出!H:H,借出!D:D,C72)-SUMIFS(每日用粉紀錄表!G:G,每日用粉紀錄表!C:C,C72)+SUMIFS(歸還!H:H,歸還!D:D,C72)+SUMIFS(每日用粉紀錄表!I:I,每日用粉紀錄表!C:C,C72)</f>
        <v>0</v>
      </c>
      <c r="G72" s="126">
        <f>SUMIFS(期初庫存!G:G,期初庫存!C:C,C72)+SUMIFS(採購入庫!G:G,採購入庫!D:D,C72)-SUMIFS(每日用粉紀錄表!F:F,每日用粉紀錄表!C:C,C72)-SUMIFS(借出!G:G,借出!D:D,C72)+SUMIFS(歸還!H:H,歸還!D:D,C72)</f>
        <v>0</v>
      </c>
      <c r="H72" s="66"/>
      <c r="I72" s="65" t="str">
        <f>IF(H72&gt;G72,"採購","否")</f>
        <v>否</v>
      </c>
      <c r="J72" s="63">
        <f>IFERROR($G72*25+$F72,"-")</f>
        <v>0</v>
      </c>
      <c r="K72" s="56"/>
      <c r="L72" s="57"/>
      <c r="M72" s="56"/>
    </row>
    <row r="73" spans="1:13" x14ac:dyDescent="0.15">
      <c r="A73" s="61"/>
      <c r="B73" s="62">
        <f>MAX($B$3:B72)+1</f>
        <v>70</v>
      </c>
      <c r="C73" s="63" t="s">
        <v>352</v>
      </c>
      <c r="D73" s="64" t="s">
        <v>352</v>
      </c>
      <c r="E73" s="63" t="s">
        <v>352</v>
      </c>
      <c r="F73" s="126">
        <f>SUMIFS(期初庫存!F:F,期初庫存!C:C,C73)+SUMIFS(採購入庫!H:H,採購入庫!D:D,C73)-SUMIFS(借出!H:H,借出!D:D,C73)-SUMIFS(每日用粉紀錄表!G:G,每日用粉紀錄表!C:C,C73)+SUMIFS(歸還!H:H,歸還!D:D,C73)+SUMIFS(每日用粉紀錄表!I:I,每日用粉紀錄表!C:C,C73)</f>
        <v>0</v>
      </c>
      <c r="G73" s="126">
        <f>SUMIFS(期初庫存!G:G,期初庫存!C:C,C73)+SUMIFS(採購入庫!G:G,採購入庫!D:D,C73)-SUMIFS(每日用粉紀錄表!F:F,每日用粉紀錄表!C:C,C73)-SUMIFS(借出!G:G,借出!D:D,C73)+SUMIFS(歸還!H:H,歸還!D:D,C73)</f>
        <v>0</v>
      </c>
      <c r="H73" s="66"/>
      <c r="I73" s="65" t="str">
        <f>IF(H73&gt;G73,"採購","否")</f>
        <v>否</v>
      </c>
      <c r="J73" s="63">
        <f>IFERROR($G73*25+$F73,"-")</f>
        <v>0</v>
      </c>
      <c r="K73" s="56"/>
      <c r="L73" s="57"/>
      <c r="M73" s="56"/>
    </row>
    <row r="74" spans="1:13" x14ac:dyDescent="0.15">
      <c r="A74" s="61"/>
      <c r="B74" s="62">
        <f>MAX($B$3:B73)+1</f>
        <v>71</v>
      </c>
      <c r="C74" s="63" t="s">
        <v>352</v>
      </c>
      <c r="D74" s="64" t="s">
        <v>352</v>
      </c>
      <c r="E74" s="63" t="s">
        <v>352</v>
      </c>
      <c r="F74" s="126">
        <f>SUMIFS(期初庫存!F:F,期初庫存!C:C,C74)+SUMIFS(採購入庫!H:H,採購入庫!D:D,C74)-SUMIFS(借出!H:H,借出!D:D,C74)-SUMIFS(每日用粉紀錄表!G:G,每日用粉紀錄表!C:C,C74)+SUMIFS(歸還!H:H,歸還!D:D,C74)+SUMIFS(每日用粉紀錄表!I:I,每日用粉紀錄表!C:C,C74)</f>
        <v>0</v>
      </c>
      <c r="G74" s="126">
        <f>SUMIFS(期初庫存!G:G,期初庫存!C:C,C74)+SUMIFS(採購入庫!G:G,採購入庫!D:D,C74)-SUMIFS(每日用粉紀錄表!F:F,每日用粉紀錄表!C:C,C74)-SUMIFS(借出!G:G,借出!D:D,C74)+SUMIFS(歸還!H:H,歸還!D:D,C74)</f>
        <v>0</v>
      </c>
      <c r="H74" s="66"/>
      <c r="I74" s="65" t="str">
        <f>IF(H74&gt;G74,"採購","否")</f>
        <v>否</v>
      </c>
      <c r="J74" s="63">
        <f>IFERROR($G74*25+$F74,"-")</f>
        <v>0</v>
      </c>
      <c r="K74" s="56"/>
      <c r="L74" s="57"/>
      <c r="M74" s="56"/>
    </row>
    <row r="75" spans="1:13" x14ac:dyDescent="0.15">
      <c r="A75" s="61"/>
      <c r="B75" s="62">
        <f>MAX($B$3:B74)+1</f>
        <v>72</v>
      </c>
      <c r="C75" s="63" t="s">
        <v>352</v>
      </c>
      <c r="D75" s="64" t="s">
        <v>352</v>
      </c>
      <c r="E75" s="63" t="s">
        <v>352</v>
      </c>
      <c r="F75" s="126">
        <f>SUMIFS(期初庫存!F:F,期初庫存!C:C,C75)+SUMIFS(採購入庫!H:H,採購入庫!D:D,C75)-SUMIFS(借出!H:H,借出!D:D,C75)-SUMIFS(每日用粉紀錄表!G:G,每日用粉紀錄表!C:C,C75)+SUMIFS(歸還!H:H,歸還!D:D,C75)+SUMIFS(每日用粉紀錄表!I:I,每日用粉紀錄表!C:C,C75)</f>
        <v>0</v>
      </c>
      <c r="G75" s="126">
        <f>SUMIFS(期初庫存!G:G,期初庫存!C:C,C75)+SUMIFS(採購入庫!G:G,採購入庫!D:D,C75)-SUMIFS(每日用粉紀錄表!F:F,每日用粉紀錄表!C:C,C75)-SUMIFS(借出!G:G,借出!D:D,C75)+SUMIFS(歸還!H:H,歸還!D:D,C75)</f>
        <v>0</v>
      </c>
      <c r="H75" s="66"/>
      <c r="I75" s="65" t="str">
        <f>IF(H75&gt;G75,"採購","否")</f>
        <v>否</v>
      </c>
      <c r="J75" s="63">
        <f>IFERROR($G75*25+$F75,"-")</f>
        <v>0</v>
      </c>
      <c r="K75" s="56"/>
      <c r="L75" s="57"/>
      <c r="M75" s="56"/>
    </row>
    <row r="76" spans="1:13" x14ac:dyDescent="0.15">
      <c r="A76" s="61"/>
      <c r="B76" s="62">
        <f>MAX($B$3:B75)+1</f>
        <v>73</v>
      </c>
      <c r="C76" s="63" t="s">
        <v>352</v>
      </c>
      <c r="D76" s="64" t="s">
        <v>352</v>
      </c>
      <c r="E76" s="63" t="s">
        <v>352</v>
      </c>
      <c r="F76" s="126">
        <f>SUMIFS(期初庫存!F:F,期初庫存!C:C,C76)+SUMIFS(採購入庫!H:H,採購入庫!D:D,C76)-SUMIFS(借出!H:H,借出!D:D,C76)-SUMIFS(每日用粉紀錄表!G:G,每日用粉紀錄表!C:C,C76)+SUMIFS(歸還!H:H,歸還!D:D,C76)+SUMIFS(每日用粉紀錄表!I:I,每日用粉紀錄表!C:C,C76)</f>
        <v>0</v>
      </c>
      <c r="G76" s="126">
        <f>SUMIFS(期初庫存!G:G,期初庫存!C:C,C76)+SUMIFS(採購入庫!G:G,採購入庫!D:D,C76)-SUMIFS(每日用粉紀錄表!F:F,每日用粉紀錄表!C:C,C76)-SUMIFS(借出!G:G,借出!D:D,C76)+SUMIFS(歸還!H:H,歸還!D:D,C76)</f>
        <v>0</v>
      </c>
      <c r="H76" s="66"/>
      <c r="I76" s="65" t="str">
        <f>IF(H76&gt;G76,"採購","否")</f>
        <v>否</v>
      </c>
      <c r="J76" s="63">
        <f>IFERROR($G76*25+$F76,"-")</f>
        <v>0</v>
      </c>
      <c r="K76" s="56"/>
      <c r="L76" s="57"/>
      <c r="M76" s="56"/>
    </row>
    <row r="77" spans="1:13" x14ac:dyDescent="0.15">
      <c r="A77" s="61"/>
      <c r="B77" s="62">
        <f>MAX($B$3:B76)+1</f>
        <v>74</v>
      </c>
      <c r="C77" s="63" t="s">
        <v>352</v>
      </c>
      <c r="D77" s="64" t="s">
        <v>352</v>
      </c>
      <c r="E77" s="63" t="s">
        <v>352</v>
      </c>
      <c r="F77" s="126">
        <f>SUMIFS(期初庫存!F:F,期初庫存!C:C,C77)+SUMIFS(採購入庫!H:H,採購入庫!D:D,C77)-SUMIFS(借出!H:H,借出!D:D,C77)-SUMIFS(每日用粉紀錄表!G:G,每日用粉紀錄表!C:C,C77)+SUMIFS(歸還!H:H,歸還!D:D,C77)+SUMIFS(每日用粉紀錄表!I:I,每日用粉紀錄表!C:C,C77)</f>
        <v>0</v>
      </c>
      <c r="G77" s="126">
        <f>SUMIFS(期初庫存!G:G,期初庫存!C:C,C77)+SUMIFS(採購入庫!G:G,採購入庫!D:D,C77)-SUMIFS(每日用粉紀錄表!F:F,每日用粉紀錄表!C:C,C77)-SUMIFS(借出!G:G,借出!D:D,C77)+SUMIFS(歸還!H:H,歸還!D:D,C77)</f>
        <v>0</v>
      </c>
      <c r="H77" s="66"/>
      <c r="I77" s="65" t="str">
        <f>IF(H77&gt;G77,"採購","否")</f>
        <v>否</v>
      </c>
      <c r="J77" s="63">
        <f>IFERROR($G77*25+$F77,"-")</f>
        <v>0</v>
      </c>
      <c r="K77" s="56"/>
      <c r="L77" s="57"/>
      <c r="M77" s="56"/>
    </row>
    <row r="78" spans="1:13" x14ac:dyDescent="0.15">
      <c r="A78" s="61"/>
      <c r="B78" s="62">
        <f>MAX($B$3:B77)+1</f>
        <v>75</v>
      </c>
      <c r="C78" s="63" t="s">
        <v>352</v>
      </c>
      <c r="D78" s="64" t="s">
        <v>352</v>
      </c>
      <c r="E78" s="63" t="s">
        <v>352</v>
      </c>
      <c r="F78" s="126">
        <f>SUMIFS(期初庫存!F:F,期初庫存!C:C,C78)+SUMIFS(採購入庫!H:H,採購入庫!D:D,C78)-SUMIFS(借出!H:H,借出!D:D,C78)-SUMIFS(每日用粉紀錄表!G:G,每日用粉紀錄表!C:C,C78)+SUMIFS(歸還!H:H,歸還!D:D,C78)+SUMIFS(每日用粉紀錄表!I:I,每日用粉紀錄表!C:C,C78)</f>
        <v>0</v>
      </c>
      <c r="G78" s="126">
        <f>SUMIFS(期初庫存!G:G,期初庫存!C:C,C78)+SUMIFS(採購入庫!G:G,採購入庫!D:D,C78)-SUMIFS(每日用粉紀錄表!F:F,每日用粉紀錄表!C:C,C78)-SUMIFS(借出!G:G,借出!D:D,C78)+SUMIFS(歸還!H:H,歸還!D:D,C78)</f>
        <v>0</v>
      </c>
      <c r="H78" s="66"/>
      <c r="I78" s="65" t="str">
        <f>IF(H78&gt;G78,"採購","否")</f>
        <v>否</v>
      </c>
      <c r="J78" s="63">
        <f>IFERROR($G78*25+$F78,"-")</f>
        <v>0</v>
      </c>
      <c r="K78" s="56"/>
      <c r="L78" s="57"/>
      <c r="M78" s="56"/>
    </row>
    <row r="79" spans="1:13" x14ac:dyDescent="0.15">
      <c r="A79" s="61"/>
      <c r="B79" s="62">
        <f>MAX($B$3:B78)+1</f>
        <v>76</v>
      </c>
      <c r="C79" s="63" t="s">
        <v>352</v>
      </c>
      <c r="D79" s="64" t="s">
        <v>352</v>
      </c>
      <c r="E79" s="63" t="s">
        <v>352</v>
      </c>
      <c r="F79" s="126">
        <f>SUMIFS(期初庫存!F:F,期初庫存!C:C,C79)+SUMIFS(採購入庫!H:H,採購入庫!D:D,C79)-SUMIFS(借出!H:H,借出!D:D,C79)-SUMIFS(每日用粉紀錄表!G:G,每日用粉紀錄表!C:C,C79)+SUMIFS(歸還!H:H,歸還!D:D,C79)+SUMIFS(每日用粉紀錄表!I:I,每日用粉紀錄表!C:C,C79)</f>
        <v>0</v>
      </c>
      <c r="G79" s="126">
        <f>SUMIFS(期初庫存!G:G,期初庫存!C:C,C79)+SUMIFS(採購入庫!G:G,採購入庫!D:D,C79)-SUMIFS(每日用粉紀錄表!F:F,每日用粉紀錄表!C:C,C79)-SUMIFS(借出!G:G,借出!D:D,C79)+SUMIFS(歸還!H:H,歸還!D:D,C79)</f>
        <v>0</v>
      </c>
      <c r="H79" s="66"/>
      <c r="I79" s="65" t="str">
        <f>IF(H79&gt;G79,"採購","否")</f>
        <v>否</v>
      </c>
      <c r="J79" s="63">
        <f>IFERROR($G79*25+$F79,"-")</f>
        <v>0</v>
      </c>
      <c r="K79" s="56"/>
      <c r="L79" s="57"/>
      <c r="M79" s="56"/>
    </row>
    <row r="80" spans="1:13" x14ac:dyDescent="0.15">
      <c r="A80" s="61"/>
      <c r="B80" s="62">
        <f>MAX($B$3:B79)+1</f>
        <v>77</v>
      </c>
      <c r="C80" s="63" t="s">
        <v>352</v>
      </c>
      <c r="D80" s="64" t="s">
        <v>352</v>
      </c>
      <c r="E80" s="63" t="s">
        <v>352</v>
      </c>
      <c r="F80" s="126">
        <f>SUMIFS(期初庫存!F:F,期初庫存!C:C,C80)+SUMIFS(採購入庫!H:H,採購入庫!D:D,C80)-SUMIFS(借出!H:H,借出!D:D,C80)-SUMIFS(每日用粉紀錄表!G:G,每日用粉紀錄表!C:C,C80)+SUMIFS(歸還!H:H,歸還!D:D,C80)+SUMIFS(每日用粉紀錄表!I:I,每日用粉紀錄表!C:C,C80)</f>
        <v>0</v>
      </c>
      <c r="G80" s="126">
        <f>SUMIFS(期初庫存!G:G,期初庫存!C:C,C80)+SUMIFS(採購入庫!G:G,採購入庫!D:D,C80)-SUMIFS(每日用粉紀錄表!F:F,每日用粉紀錄表!C:C,C80)-SUMIFS(借出!G:G,借出!D:D,C80)+SUMIFS(歸還!H:H,歸還!D:D,C80)</f>
        <v>0</v>
      </c>
      <c r="H80" s="66"/>
      <c r="I80" s="65" t="str">
        <f>IF(H80&gt;G80,"採購","否")</f>
        <v>否</v>
      </c>
      <c r="J80" s="63">
        <f>IFERROR($G80*25+$F80,"-")</f>
        <v>0</v>
      </c>
      <c r="K80" s="56"/>
      <c r="L80" s="57"/>
      <c r="M80" s="56"/>
    </row>
    <row r="81" spans="1:13" x14ac:dyDescent="0.15">
      <c r="A81" s="61"/>
      <c r="B81" s="62">
        <f>MAX($B$3:B80)+1</f>
        <v>78</v>
      </c>
      <c r="C81" s="63" t="s">
        <v>352</v>
      </c>
      <c r="D81" s="64" t="s">
        <v>352</v>
      </c>
      <c r="E81" s="63" t="s">
        <v>352</v>
      </c>
      <c r="F81" s="126">
        <f>SUMIFS(期初庫存!F:F,期初庫存!C:C,C81)+SUMIFS(採購入庫!H:H,採購入庫!D:D,C81)-SUMIFS(借出!H:H,借出!D:D,C81)-SUMIFS(每日用粉紀錄表!G:G,每日用粉紀錄表!C:C,C81)+SUMIFS(歸還!H:H,歸還!D:D,C81)+SUMIFS(每日用粉紀錄表!I:I,每日用粉紀錄表!C:C,C81)</f>
        <v>0</v>
      </c>
      <c r="G81" s="126">
        <f>SUMIFS(期初庫存!G:G,期初庫存!C:C,C81)+SUMIFS(採購入庫!G:G,採購入庫!D:D,C81)-SUMIFS(每日用粉紀錄表!F:F,每日用粉紀錄表!C:C,C81)-SUMIFS(借出!G:G,借出!D:D,C81)+SUMIFS(歸還!H:H,歸還!D:D,C81)</f>
        <v>0</v>
      </c>
      <c r="H81" s="66"/>
      <c r="I81" s="65" t="str">
        <f>IF(H81&gt;G81,"採購","否")</f>
        <v>否</v>
      </c>
      <c r="J81" s="63">
        <f>IFERROR($G81*25+$F81,"-")</f>
        <v>0</v>
      </c>
      <c r="K81" s="56"/>
      <c r="L81" s="57"/>
      <c r="M81" s="56"/>
    </row>
    <row r="82" spans="1:13" x14ac:dyDescent="0.15">
      <c r="A82" s="61"/>
      <c r="B82" s="62">
        <f>MAX($B$3:B81)+1</f>
        <v>79</v>
      </c>
      <c r="C82" s="63" t="s">
        <v>352</v>
      </c>
      <c r="D82" s="64" t="s">
        <v>352</v>
      </c>
      <c r="E82" s="63" t="s">
        <v>352</v>
      </c>
      <c r="F82" s="126">
        <f>SUMIFS(期初庫存!F:F,期初庫存!C:C,C82)+SUMIFS(採購入庫!H:H,採購入庫!D:D,C82)-SUMIFS(借出!H:H,借出!D:D,C82)-SUMIFS(每日用粉紀錄表!G:G,每日用粉紀錄表!C:C,C82)+SUMIFS(歸還!H:H,歸還!D:D,C82)+SUMIFS(每日用粉紀錄表!I:I,每日用粉紀錄表!C:C,C82)</f>
        <v>0</v>
      </c>
      <c r="G82" s="126">
        <f>SUMIFS(期初庫存!G:G,期初庫存!C:C,C82)+SUMIFS(採購入庫!G:G,採購入庫!D:D,C82)-SUMIFS(每日用粉紀錄表!F:F,每日用粉紀錄表!C:C,C82)-SUMIFS(借出!G:G,借出!D:D,C82)+SUMIFS(歸還!H:H,歸還!D:D,C82)</f>
        <v>0</v>
      </c>
      <c r="H82" s="66"/>
      <c r="I82" s="65" t="str">
        <f>IF(H82&gt;G82,"採購","否")</f>
        <v>否</v>
      </c>
      <c r="J82" s="63">
        <f>IFERROR($G82*25+$F82,"-")</f>
        <v>0</v>
      </c>
      <c r="K82" s="56"/>
      <c r="L82" s="57"/>
      <c r="M82" s="56"/>
    </row>
    <row r="83" spans="1:13" x14ac:dyDescent="0.15">
      <c r="A83" s="61"/>
      <c r="B83" s="62">
        <f>MAX($B$3:B82)+1</f>
        <v>80</v>
      </c>
      <c r="C83" s="63" t="s">
        <v>352</v>
      </c>
      <c r="D83" s="64" t="s">
        <v>352</v>
      </c>
      <c r="E83" s="63" t="s">
        <v>352</v>
      </c>
      <c r="F83" s="126">
        <f>SUMIFS(期初庫存!F:F,期初庫存!C:C,C83)+SUMIFS(採購入庫!H:H,採購入庫!D:D,C83)-SUMIFS(借出!H:H,借出!D:D,C83)-SUMIFS(每日用粉紀錄表!G:G,每日用粉紀錄表!C:C,C83)+SUMIFS(歸還!H:H,歸還!D:D,C83)+SUMIFS(每日用粉紀錄表!I:I,每日用粉紀錄表!C:C,C83)</f>
        <v>0</v>
      </c>
      <c r="G83" s="126">
        <f>SUMIFS(期初庫存!G:G,期初庫存!C:C,C83)+SUMIFS(採購入庫!G:G,採購入庫!D:D,C83)-SUMIFS(每日用粉紀錄表!F:F,每日用粉紀錄表!C:C,C83)-SUMIFS(借出!G:G,借出!D:D,C83)+SUMIFS(歸還!H:H,歸還!D:D,C83)</f>
        <v>0</v>
      </c>
      <c r="H83" s="66"/>
      <c r="I83" s="65" t="str">
        <f>IF(H83&gt;G83,"採購","否")</f>
        <v>否</v>
      </c>
      <c r="J83" s="63">
        <f>IFERROR($G83*25+$F83,"-")</f>
        <v>0</v>
      </c>
      <c r="K83" s="56"/>
      <c r="L83" s="57"/>
      <c r="M83" s="56"/>
    </row>
    <row r="84" spans="1:13" x14ac:dyDescent="0.15">
      <c r="A84" s="61"/>
      <c r="B84" s="62">
        <f>MAX($B$3:B83)+1</f>
        <v>81</v>
      </c>
      <c r="C84" s="63" t="s">
        <v>352</v>
      </c>
      <c r="D84" s="64" t="s">
        <v>352</v>
      </c>
      <c r="E84" s="63" t="s">
        <v>352</v>
      </c>
      <c r="F84" s="126">
        <f>SUMIFS(期初庫存!F:F,期初庫存!C:C,C84)+SUMIFS(採購入庫!H:H,採購入庫!D:D,C84)-SUMIFS(借出!H:H,借出!D:D,C84)-SUMIFS(每日用粉紀錄表!G:G,每日用粉紀錄表!C:C,C84)+SUMIFS(歸還!H:H,歸還!D:D,C84)+SUMIFS(每日用粉紀錄表!I:I,每日用粉紀錄表!C:C,C84)</f>
        <v>0</v>
      </c>
      <c r="G84" s="126">
        <f>SUMIFS(期初庫存!G:G,期初庫存!C:C,C84)+SUMIFS(採購入庫!G:G,採購入庫!D:D,C84)-SUMIFS(每日用粉紀錄表!F:F,每日用粉紀錄表!C:C,C84)-SUMIFS(借出!G:G,借出!D:D,C84)+SUMIFS(歸還!H:H,歸還!D:D,C84)</f>
        <v>0</v>
      </c>
      <c r="H84" s="66"/>
      <c r="I84" s="65" t="str">
        <f>IF(H84&gt;G84,"採購","否")</f>
        <v>否</v>
      </c>
      <c r="J84" s="63">
        <f>IFERROR($G84*25+$F84,"-")</f>
        <v>0</v>
      </c>
      <c r="K84" s="56"/>
      <c r="L84" s="57"/>
      <c r="M84" s="56"/>
    </row>
    <row r="85" spans="1:13" x14ac:dyDescent="0.15">
      <c r="A85" s="61"/>
      <c r="B85" s="62">
        <f>MAX($B$3:B84)+1</f>
        <v>82</v>
      </c>
      <c r="C85" s="63" t="s">
        <v>352</v>
      </c>
      <c r="D85" s="64" t="s">
        <v>352</v>
      </c>
      <c r="E85" s="63" t="s">
        <v>352</v>
      </c>
      <c r="F85" s="126">
        <f>SUMIFS(期初庫存!F:F,期初庫存!C:C,C85)+SUMIFS(採購入庫!H:H,採購入庫!D:D,C85)-SUMIFS(借出!H:H,借出!D:D,C85)-SUMIFS(每日用粉紀錄表!G:G,每日用粉紀錄表!C:C,C85)+SUMIFS(歸還!H:H,歸還!D:D,C85)+SUMIFS(每日用粉紀錄表!I:I,每日用粉紀錄表!C:C,C85)</f>
        <v>0</v>
      </c>
      <c r="G85" s="126">
        <f>SUMIFS(期初庫存!G:G,期初庫存!C:C,C85)+SUMIFS(採購入庫!G:G,採購入庫!D:D,C85)-SUMIFS(每日用粉紀錄表!F:F,每日用粉紀錄表!C:C,C85)-SUMIFS(借出!G:G,借出!D:D,C85)+SUMIFS(歸還!H:H,歸還!D:D,C85)</f>
        <v>0</v>
      </c>
      <c r="H85" s="66"/>
      <c r="I85" s="65" t="str">
        <f>IF(H85&gt;G85,"採購","否")</f>
        <v>否</v>
      </c>
      <c r="J85" s="63">
        <f>IFERROR($G85*25+$F85,"-")</f>
        <v>0</v>
      </c>
      <c r="K85" s="56"/>
      <c r="L85" s="57"/>
      <c r="M85" s="56"/>
    </row>
    <row r="86" spans="1:13" x14ac:dyDescent="0.15">
      <c r="A86" s="61"/>
      <c r="B86" s="62">
        <f>MAX($B$3:B85)+1</f>
        <v>83</v>
      </c>
      <c r="C86" s="63" t="s">
        <v>352</v>
      </c>
      <c r="D86" s="64" t="s">
        <v>352</v>
      </c>
      <c r="E86" s="63" t="s">
        <v>352</v>
      </c>
      <c r="F86" s="126">
        <f>SUMIFS(期初庫存!F:F,期初庫存!C:C,C86)+SUMIFS(採購入庫!H:H,採購入庫!D:D,C86)-SUMIFS(借出!H:H,借出!D:D,C86)-SUMIFS(每日用粉紀錄表!G:G,每日用粉紀錄表!C:C,C86)+SUMIFS(歸還!H:H,歸還!D:D,C86)+SUMIFS(每日用粉紀錄表!I:I,每日用粉紀錄表!C:C,C86)</f>
        <v>0</v>
      </c>
      <c r="G86" s="126">
        <f>SUMIFS(期初庫存!G:G,期初庫存!C:C,C86)+SUMIFS(採購入庫!G:G,採購入庫!D:D,C86)-SUMIFS(每日用粉紀錄表!F:F,每日用粉紀錄表!C:C,C86)-SUMIFS(借出!G:G,借出!D:D,C86)+SUMIFS(歸還!H:H,歸還!D:D,C86)</f>
        <v>0</v>
      </c>
      <c r="H86" s="66"/>
      <c r="I86" s="65" t="str">
        <f>IF(H86&gt;G86,"採購","否")</f>
        <v>否</v>
      </c>
      <c r="J86" s="63">
        <f>IFERROR($G86*25+$F86,"-")</f>
        <v>0</v>
      </c>
      <c r="K86" s="56"/>
      <c r="L86" s="57"/>
      <c r="M86" s="56"/>
    </row>
    <row r="87" spans="1:13" x14ac:dyDescent="0.15">
      <c r="A87" s="61"/>
      <c r="B87" s="62">
        <v>84</v>
      </c>
      <c r="C87" s="63" t="s">
        <v>352</v>
      </c>
      <c r="D87" s="64" t="s">
        <v>352</v>
      </c>
      <c r="E87" s="63" t="s">
        <v>352</v>
      </c>
      <c r="F87" s="126">
        <f>SUMIFS(期初庫存!F:F,期初庫存!C:C,C87)+SUMIFS(採購入庫!H:H,採購入庫!D:D,C87)-SUMIFS(借出!H:H,借出!D:D,C87)-SUMIFS(每日用粉紀錄表!G:G,每日用粉紀錄表!C:C,C87)+SUMIFS(歸還!H:H,歸還!D:D,C87)+SUMIFS(每日用粉紀錄表!I:I,每日用粉紀錄表!C:C,C87)</f>
        <v>0</v>
      </c>
      <c r="G87" s="126">
        <f>SUMIFS(期初庫存!G:G,期初庫存!C:C,C87)+SUMIFS(採購入庫!G:G,採購入庫!D:D,C87)-SUMIFS(每日用粉紀錄表!F:F,每日用粉紀錄表!C:C,C87)-SUMIFS(借出!G:G,借出!D:D,C87)+SUMIFS(歸還!H:H,歸還!D:D,C87)</f>
        <v>0</v>
      </c>
      <c r="H87" s="66"/>
      <c r="I87" s="65" t="str">
        <f>IF(H87&gt;G87,"採購","否")</f>
        <v>否</v>
      </c>
      <c r="J87" s="63">
        <f>IFERROR($G87*25+$F87,"-")</f>
        <v>0</v>
      </c>
      <c r="K87" s="56"/>
      <c r="L87" s="57"/>
      <c r="M87" s="56"/>
    </row>
    <row r="88" spans="1:13" x14ac:dyDescent="0.15">
      <c r="A88" s="61"/>
      <c r="B88" s="62">
        <v>85</v>
      </c>
      <c r="C88" s="63" t="s">
        <v>352</v>
      </c>
      <c r="D88" s="64" t="s">
        <v>352</v>
      </c>
      <c r="E88" s="63" t="s">
        <v>352</v>
      </c>
      <c r="F88" s="126">
        <f>SUMIFS(期初庫存!F:F,期初庫存!C:C,C88)+SUMIFS(採購入庫!H:H,採購入庫!D:D,C88)-SUMIFS(借出!H:H,借出!D:D,C88)-SUMIFS(每日用粉紀錄表!G:G,每日用粉紀錄表!C:C,C88)+SUMIFS(歸還!H:H,歸還!D:D,C88)+SUMIFS(每日用粉紀錄表!I:I,每日用粉紀錄表!C:C,C88)</f>
        <v>0</v>
      </c>
      <c r="G88" s="126">
        <f>SUMIFS(期初庫存!G:G,期初庫存!C:C,C88)+SUMIFS(採購入庫!G:G,採購入庫!D:D,C88)-SUMIFS(每日用粉紀錄表!F:F,每日用粉紀錄表!C:C,C88)-SUMIFS(借出!G:G,借出!D:D,C88)+SUMIFS(歸還!H:H,歸還!D:D,C88)</f>
        <v>0</v>
      </c>
      <c r="H88" s="66"/>
      <c r="I88" s="65" t="str">
        <f>IF(H88&gt;G88,"採購","否")</f>
        <v>否</v>
      </c>
      <c r="J88" s="63">
        <f>IFERROR($G88*25+$F88,"-")</f>
        <v>0</v>
      </c>
      <c r="K88" s="56"/>
      <c r="L88" s="57"/>
      <c r="M88" s="56"/>
    </row>
    <row r="89" spans="1:13" x14ac:dyDescent="0.15">
      <c r="A89" s="61"/>
      <c r="B89" s="62">
        <v>86</v>
      </c>
      <c r="C89" s="63" t="s">
        <v>352</v>
      </c>
      <c r="D89" s="64" t="s">
        <v>352</v>
      </c>
      <c r="E89" s="63" t="s">
        <v>352</v>
      </c>
      <c r="F89" s="126">
        <f>SUMIFS(期初庫存!F:F,期初庫存!C:C,C89)+SUMIFS(採購入庫!H:H,採購入庫!D:D,C89)-SUMIFS(借出!H:H,借出!D:D,C89)-SUMIFS(每日用粉紀錄表!G:G,每日用粉紀錄表!C:C,C89)+SUMIFS(歸還!H:H,歸還!D:D,C89)+SUMIFS(每日用粉紀錄表!I:I,每日用粉紀錄表!C:C,C89)</f>
        <v>0</v>
      </c>
      <c r="G89" s="126">
        <f>SUMIFS(期初庫存!G:G,期初庫存!C:C,C89)+SUMIFS(採購入庫!G:G,採購入庫!D:D,C89)-SUMIFS(每日用粉紀錄表!F:F,每日用粉紀錄表!C:C,C89)-SUMIFS(借出!G:G,借出!D:D,C89)+SUMIFS(歸還!H:H,歸還!D:D,C89)</f>
        <v>0</v>
      </c>
      <c r="H89" s="66"/>
      <c r="I89" s="65" t="str">
        <f>IF(H89&gt;G89,"採購","否")</f>
        <v>否</v>
      </c>
      <c r="J89" s="63">
        <f>IFERROR($G89*25+$F89,"-")</f>
        <v>0</v>
      </c>
      <c r="K89" s="56"/>
      <c r="L89" s="57"/>
      <c r="M89" s="56"/>
    </row>
    <row r="90" spans="1:13" x14ac:dyDescent="0.15">
      <c r="A90" s="61"/>
      <c r="B90" s="62">
        <v>87</v>
      </c>
      <c r="C90" s="63" t="s">
        <v>352</v>
      </c>
      <c r="D90" s="64" t="s">
        <v>352</v>
      </c>
      <c r="E90" s="63" t="s">
        <v>352</v>
      </c>
      <c r="F90" s="126">
        <f>SUMIFS(期初庫存!F:F,期初庫存!C:C,C90)+SUMIFS(採購入庫!H:H,採購入庫!D:D,C90)-SUMIFS(借出!H:H,借出!D:D,C90)-SUMIFS(每日用粉紀錄表!G:G,每日用粉紀錄表!C:C,C90)+SUMIFS(歸還!H:H,歸還!D:D,C90)+SUMIFS(每日用粉紀錄表!I:I,每日用粉紀錄表!C:C,C90)</f>
        <v>0</v>
      </c>
      <c r="G90" s="126">
        <f>SUMIFS(期初庫存!G:G,期初庫存!C:C,C90)+SUMIFS(採購入庫!G:G,採購入庫!D:D,C90)-SUMIFS(每日用粉紀錄表!F:F,每日用粉紀錄表!C:C,C90)-SUMIFS(借出!G:G,借出!D:D,C90)+SUMIFS(歸還!H:H,歸還!D:D,C90)</f>
        <v>0</v>
      </c>
      <c r="H90" s="66"/>
      <c r="I90" s="65" t="str">
        <f>IF(H90&gt;G90,"採購","否")</f>
        <v>否</v>
      </c>
      <c r="J90" s="63">
        <f>IFERROR($G90*25+$F90,"-")</f>
        <v>0</v>
      </c>
      <c r="K90" s="56"/>
      <c r="L90" s="57"/>
      <c r="M90" s="56"/>
    </row>
    <row r="91" spans="1:13" x14ac:dyDescent="0.15">
      <c r="A91" s="61"/>
      <c r="B91" s="62">
        <v>88</v>
      </c>
      <c r="C91" s="63" t="s">
        <v>352</v>
      </c>
      <c r="D91" s="64" t="s">
        <v>352</v>
      </c>
      <c r="E91" s="63" t="s">
        <v>352</v>
      </c>
      <c r="F91" s="126">
        <f>SUMIFS(期初庫存!F:F,期初庫存!C:C,C91)+SUMIFS(採購入庫!H:H,採購入庫!D:D,C91)-SUMIFS(借出!H:H,借出!D:D,C91)-SUMIFS(每日用粉紀錄表!G:G,每日用粉紀錄表!C:C,C91)+SUMIFS(歸還!H:H,歸還!D:D,C91)+SUMIFS(每日用粉紀錄表!I:I,每日用粉紀錄表!C:C,C91)</f>
        <v>0</v>
      </c>
      <c r="G91" s="126">
        <f>SUMIFS(期初庫存!G:G,期初庫存!C:C,C91)+SUMIFS(採購入庫!G:G,採購入庫!D:D,C91)-SUMIFS(每日用粉紀錄表!F:F,每日用粉紀錄表!C:C,C91)-SUMIFS(借出!G:G,借出!D:D,C91)+SUMIFS(歸還!H:H,歸還!D:D,C91)</f>
        <v>0</v>
      </c>
      <c r="H91" s="66"/>
      <c r="I91" s="65" t="str">
        <f>IF(H91&gt;G91,"採購","否")</f>
        <v>否</v>
      </c>
      <c r="J91" s="63">
        <f>IFERROR($G91*25+$F91,"-")</f>
        <v>0</v>
      </c>
      <c r="K91" s="56"/>
      <c r="L91" s="57"/>
      <c r="M91" s="56"/>
    </row>
    <row r="92" spans="1:13" x14ac:dyDescent="0.15">
      <c r="A92" s="61"/>
      <c r="B92" s="62">
        <v>89</v>
      </c>
      <c r="C92" s="63" t="s">
        <v>352</v>
      </c>
      <c r="D92" s="64" t="s">
        <v>352</v>
      </c>
      <c r="E92" s="63" t="s">
        <v>352</v>
      </c>
      <c r="F92" s="126">
        <f>SUMIFS(期初庫存!F:F,期初庫存!C:C,C92)+SUMIFS(採購入庫!H:H,採購入庫!D:D,C92)-SUMIFS(借出!H:H,借出!D:D,C92)-SUMIFS(每日用粉紀錄表!G:G,每日用粉紀錄表!C:C,C92)+SUMIFS(歸還!H:H,歸還!D:D,C92)+SUMIFS(每日用粉紀錄表!I:I,每日用粉紀錄表!C:C,C92)</f>
        <v>0</v>
      </c>
      <c r="G92" s="126">
        <f>SUMIFS(期初庫存!G:G,期初庫存!C:C,C92)+SUMIFS(採購入庫!G:G,採購入庫!D:D,C92)-SUMIFS(每日用粉紀錄表!F:F,每日用粉紀錄表!C:C,C92)-SUMIFS(借出!G:G,借出!D:D,C92)+SUMIFS(歸還!H:H,歸還!D:D,C92)</f>
        <v>0</v>
      </c>
      <c r="H92" s="66"/>
      <c r="I92" s="65" t="str">
        <f>IF(H92&gt;G92,"採購","否")</f>
        <v>否</v>
      </c>
      <c r="J92" s="63">
        <f>IFERROR($G92*25+$F92,"-")</f>
        <v>0</v>
      </c>
      <c r="K92" s="56"/>
      <c r="L92" s="57"/>
      <c r="M92" s="56"/>
    </row>
    <row r="93" spans="1:13" x14ac:dyDescent="0.15">
      <c r="A93" s="61"/>
      <c r="B93" s="62">
        <v>90</v>
      </c>
      <c r="C93" s="63" t="s">
        <v>352</v>
      </c>
      <c r="D93" s="64" t="s">
        <v>352</v>
      </c>
      <c r="E93" s="63" t="s">
        <v>352</v>
      </c>
      <c r="F93" s="126">
        <f>SUMIFS(期初庫存!F:F,期初庫存!C:C,C93)+SUMIFS(採購入庫!H:H,採購入庫!D:D,C93)-SUMIFS(借出!H:H,借出!D:D,C93)-SUMIFS(每日用粉紀錄表!G:G,每日用粉紀錄表!C:C,C93)+SUMIFS(歸還!H:H,歸還!D:D,C93)+SUMIFS(每日用粉紀錄表!I:I,每日用粉紀錄表!C:C,C93)</f>
        <v>0</v>
      </c>
      <c r="G93" s="126">
        <f>SUMIFS(期初庫存!G:G,期初庫存!C:C,C93)+SUMIFS(採購入庫!G:G,採購入庫!D:D,C93)-SUMIFS(每日用粉紀錄表!F:F,每日用粉紀錄表!C:C,C93)-SUMIFS(借出!G:G,借出!D:D,C93)+SUMIFS(歸還!H:H,歸還!D:D,C93)</f>
        <v>0</v>
      </c>
      <c r="H93" s="66"/>
      <c r="I93" s="65" t="str">
        <f>IF(H93&gt;G93,"採購","否")</f>
        <v>否</v>
      </c>
      <c r="J93" s="63">
        <f>IFERROR($G93*25+$F93,"-")</f>
        <v>0</v>
      </c>
      <c r="K93" s="56"/>
      <c r="L93" s="57"/>
      <c r="M93" s="56"/>
    </row>
    <row r="94" spans="1:13" x14ac:dyDescent="0.15">
      <c r="A94" s="61"/>
      <c r="B94" s="62">
        <v>91</v>
      </c>
      <c r="C94" s="63" t="s">
        <v>352</v>
      </c>
      <c r="D94" s="64" t="s">
        <v>352</v>
      </c>
      <c r="E94" s="63" t="s">
        <v>352</v>
      </c>
      <c r="F94" s="126">
        <f>SUMIFS(期初庫存!F:F,期初庫存!C:C,C94)+SUMIFS(採購入庫!H:H,採購入庫!D:D,C94)-SUMIFS(借出!H:H,借出!D:D,C94)-SUMIFS(每日用粉紀錄表!G:G,每日用粉紀錄表!C:C,C94)+SUMIFS(歸還!H:H,歸還!D:D,C94)+SUMIFS(每日用粉紀錄表!I:I,每日用粉紀錄表!C:C,C94)</f>
        <v>0</v>
      </c>
      <c r="G94" s="126">
        <f>SUMIFS(期初庫存!G:G,期初庫存!C:C,C94)+SUMIFS(採購入庫!G:G,採購入庫!D:D,C94)-SUMIFS(每日用粉紀錄表!F:F,每日用粉紀錄表!C:C,C94)-SUMIFS(借出!G:G,借出!D:D,C94)+SUMIFS(歸還!H:H,歸還!D:D,C94)</f>
        <v>0</v>
      </c>
      <c r="H94" s="66"/>
      <c r="I94" s="65" t="str">
        <f>IF(H94&gt;G94,"採購","否")</f>
        <v>否</v>
      </c>
      <c r="J94" s="63">
        <f>IFERROR($G94*25+$F94,"-")</f>
        <v>0</v>
      </c>
      <c r="K94" s="56"/>
      <c r="L94" s="57"/>
      <c r="M94" s="56"/>
    </row>
    <row r="95" spans="1:13" x14ac:dyDescent="0.15">
      <c r="A95" s="61"/>
      <c r="B95" s="62">
        <v>92</v>
      </c>
      <c r="C95" s="63" t="s">
        <v>352</v>
      </c>
      <c r="D95" s="64" t="s">
        <v>352</v>
      </c>
      <c r="E95" s="63" t="s">
        <v>352</v>
      </c>
      <c r="F95" s="126">
        <f>SUMIFS(期初庫存!F:F,期初庫存!C:C,C95)+SUMIFS(採購入庫!H:H,採購入庫!D:D,C95)-SUMIFS(借出!H:H,借出!D:D,C95)-SUMIFS(每日用粉紀錄表!G:G,每日用粉紀錄表!C:C,C95)+SUMIFS(歸還!H:H,歸還!D:D,C95)+SUMIFS(每日用粉紀錄表!I:I,每日用粉紀錄表!C:C,C95)</f>
        <v>0</v>
      </c>
      <c r="G95" s="126">
        <f>SUMIFS(期初庫存!G:G,期初庫存!C:C,C95)+SUMIFS(採購入庫!G:G,採購入庫!D:D,C95)-SUMIFS(每日用粉紀錄表!F:F,每日用粉紀錄表!C:C,C95)-SUMIFS(借出!G:G,借出!D:D,C95)+SUMIFS(歸還!H:H,歸還!D:D,C95)</f>
        <v>0</v>
      </c>
      <c r="H95" s="66"/>
      <c r="I95" s="65" t="str">
        <f>IF(H95&gt;G95,"採購","否")</f>
        <v>否</v>
      </c>
      <c r="J95" s="63">
        <f>IFERROR($G95*25+$F95,"-")</f>
        <v>0</v>
      </c>
      <c r="K95" s="56"/>
      <c r="L95" s="57"/>
      <c r="M95" s="56"/>
    </row>
    <row r="96" spans="1:13" x14ac:dyDescent="0.15">
      <c r="A96" s="61"/>
      <c r="B96" s="62">
        <v>93</v>
      </c>
      <c r="C96" s="63" t="s">
        <v>352</v>
      </c>
      <c r="D96" s="64" t="s">
        <v>352</v>
      </c>
      <c r="E96" s="63" t="s">
        <v>352</v>
      </c>
      <c r="F96" s="126">
        <f>SUMIFS(期初庫存!F:F,期初庫存!C:C,C96)+SUMIFS(採購入庫!H:H,採購入庫!D:D,C96)-SUMIFS(借出!H:H,借出!D:D,C96)-SUMIFS(每日用粉紀錄表!G:G,每日用粉紀錄表!C:C,C96)+SUMIFS(歸還!H:H,歸還!D:D,C96)+SUMIFS(每日用粉紀錄表!I:I,每日用粉紀錄表!C:C,C96)</f>
        <v>0</v>
      </c>
      <c r="G96" s="126">
        <f>SUMIFS(期初庫存!G:G,期初庫存!C:C,C96)+SUMIFS(採購入庫!G:G,採購入庫!D:D,C96)-SUMIFS(每日用粉紀錄表!F:F,每日用粉紀錄表!C:C,C96)-SUMIFS(借出!G:G,借出!D:D,C96)+SUMIFS(歸還!H:H,歸還!D:D,C96)</f>
        <v>0</v>
      </c>
      <c r="H96" s="66"/>
      <c r="I96" s="65" t="str">
        <f>IF(H96&gt;G96,"採購","否")</f>
        <v>否</v>
      </c>
      <c r="J96" s="63">
        <f>IFERROR($G96*25+$F96,"-")</f>
        <v>0</v>
      </c>
      <c r="K96" s="56"/>
      <c r="L96" s="57"/>
      <c r="M96" s="56"/>
    </row>
    <row r="97" spans="1:13" x14ac:dyDescent="0.15">
      <c r="A97" s="61"/>
      <c r="B97" s="62">
        <v>94</v>
      </c>
      <c r="C97" s="63" t="s">
        <v>352</v>
      </c>
      <c r="D97" s="64" t="s">
        <v>352</v>
      </c>
      <c r="E97" s="63" t="s">
        <v>352</v>
      </c>
      <c r="F97" s="126">
        <f>SUMIFS(期初庫存!F:F,期初庫存!C:C,C97)+SUMIFS(採購入庫!H:H,採購入庫!D:D,C97)-SUMIFS(借出!H:H,借出!D:D,C97)-SUMIFS(每日用粉紀錄表!G:G,每日用粉紀錄表!C:C,C97)+SUMIFS(歸還!H:H,歸還!D:D,C97)+SUMIFS(每日用粉紀錄表!I:I,每日用粉紀錄表!C:C,C97)</f>
        <v>0</v>
      </c>
      <c r="G97" s="126">
        <f>SUMIFS(期初庫存!G:G,期初庫存!C:C,C97)+SUMIFS(採購入庫!G:G,採購入庫!D:D,C97)-SUMIFS(每日用粉紀錄表!F:F,每日用粉紀錄表!C:C,C97)-SUMIFS(借出!G:G,借出!D:D,C97)+SUMIFS(歸還!H:H,歸還!D:D,C97)</f>
        <v>0</v>
      </c>
      <c r="H97" s="66"/>
      <c r="I97" s="65" t="str">
        <f>IF(H97&gt;G97,"採購","否")</f>
        <v>否</v>
      </c>
      <c r="J97" s="63">
        <f>IFERROR($G97*25+$F97,"-")</f>
        <v>0</v>
      </c>
      <c r="K97" s="56"/>
      <c r="L97" s="57"/>
      <c r="M97" s="56"/>
    </row>
    <row r="98" spans="1:13" x14ac:dyDescent="0.15">
      <c r="A98" s="61"/>
      <c r="B98" s="62">
        <v>95</v>
      </c>
      <c r="C98" s="63" t="s">
        <v>352</v>
      </c>
      <c r="D98" s="64" t="s">
        <v>352</v>
      </c>
      <c r="E98" s="63" t="s">
        <v>352</v>
      </c>
      <c r="F98" s="126">
        <f>SUMIFS(期初庫存!F:F,期初庫存!C:C,C98)+SUMIFS(採購入庫!H:H,採購入庫!D:D,C98)-SUMIFS(借出!H:H,借出!D:D,C98)-SUMIFS(每日用粉紀錄表!G:G,每日用粉紀錄表!C:C,C98)+SUMIFS(歸還!H:H,歸還!D:D,C98)+SUMIFS(每日用粉紀錄表!I:I,每日用粉紀錄表!C:C,C98)</f>
        <v>0</v>
      </c>
      <c r="G98" s="126">
        <f>SUMIFS(期初庫存!G:G,期初庫存!C:C,C98)+SUMIFS(採購入庫!G:G,採購入庫!D:D,C98)-SUMIFS(每日用粉紀錄表!F:F,每日用粉紀錄表!C:C,C98)-SUMIFS(借出!G:G,借出!D:D,C98)+SUMIFS(歸還!H:H,歸還!D:D,C98)</f>
        <v>0</v>
      </c>
      <c r="H98" s="66"/>
      <c r="I98" s="65" t="str">
        <f>IF(H98&gt;G98,"採購","否")</f>
        <v>否</v>
      </c>
      <c r="J98" s="63">
        <f>IFERROR($G98*25+$F98,"-")</f>
        <v>0</v>
      </c>
      <c r="K98" s="56"/>
      <c r="L98" s="57"/>
      <c r="M98" s="56"/>
    </row>
    <row r="99" spans="1:13" x14ac:dyDescent="0.15">
      <c r="A99" s="61"/>
      <c r="B99" s="62">
        <v>96</v>
      </c>
      <c r="C99" s="63" t="s">
        <v>352</v>
      </c>
      <c r="D99" s="64" t="s">
        <v>352</v>
      </c>
      <c r="E99" s="63" t="s">
        <v>352</v>
      </c>
      <c r="F99" s="126">
        <f>SUMIFS(期初庫存!F:F,期初庫存!C:C,C99)+SUMIFS(採購入庫!H:H,採購入庫!D:D,C99)-SUMIFS(借出!H:H,借出!D:D,C99)-SUMIFS(每日用粉紀錄表!G:G,每日用粉紀錄表!C:C,C99)+SUMIFS(歸還!H:H,歸還!D:D,C99)+SUMIFS(每日用粉紀錄表!I:I,每日用粉紀錄表!C:C,C99)</f>
        <v>0</v>
      </c>
      <c r="G99" s="126">
        <f>SUMIFS(期初庫存!G:G,期初庫存!C:C,C99)+SUMIFS(採購入庫!G:G,採購入庫!D:D,C99)-SUMIFS(每日用粉紀錄表!F:F,每日用粉紀錄表!C:C,C99)-SUMIFS(借出!G:G,借出!D:D,C99)+SUMIFS(歸還!H:H,歸還!D:D,C99)</f>
        <v>0</v>
      </c>
      <c r="H99" s="66"/>
      <c r="I99" s="65" t="str">
        <f>IF(H99&gt;G99,"採購","否")</f>
        <v>否</v>
      </c>
      <c r="J99" s="63">
        <f>IFERROR($G99*25+$F99,"-")</f>
        <v>0</v>
      </c>
      <c r="K99" s="56"/>
      <c r="L99" s="57"/>
      <c r="M99" s="56"/>
    </row>
    <row r="100" spans="1:13" x14ac:dyDescent="0.15">
      <c r="A100" s="61"/>
      <c r="B100" s="62">
        <v>97</v>
      </c>
      <c r="C100" s="63" t="s">
        <v>352</v>
      </c>
      <c r="D100" s="64" t="s">
        <v>352</v>
      </c>
      <c r="E100" s="63" t="s">
        <v>352</v>
      </c>
      <c r="F100" s="126">
        <f>SUMIFS(期初庫存!F:F,期初庫存!C:C,C100)+SUMIFS(採購入庫!H:H,採購入庫!D:D,C100)-SUMIFS(借出!H:H,借出!D:D,C100)-SUMIFS(每日用粉紀錄表!G:G,每日用粉紀錄表!C:C,C100)+SUMIFS(歸還!H:H,歸還!D:D,C100)+SUMIFS(每日用粉紀錄表!I:I,每日用粉紀錄表!C:C,C100)</f>
        <v>0</v>
      </c>
      <c r="G100" s="126">
        <f>SUMIFS(期初庫存!G:G,期初庫存!C:C,C100)+SUMIFS(採購入庫!G:G,採購入庫!D:D,C100)-SUMIFS(每日用粉紀錄表!F:F,每日用粉紀錄表!C:C,C100)-SUMIFS(借出!G:G,借出!D:D,C100)+SUMIFS(歸還!H:H,歸還!D:D,C100)</f>
        <v>0</v>
      </c>
      <c r="H100" s="66"/>
      <c r="I100" s="65" t="str">
        <f>IF(H100&gt;G100,"採購","否")</f>
        <v>否</v>
      </c>
      <c r="J100" s="63">
        <f>IFERROR($G100*25+$F100,"-")</f>
        <v>0</v>
      </c>
      <c r="K100" s="56"/>
      <c r="L100" s="57"/>
      <c r="M100" s="56"/>
    </row>
    <row r="101" spans="1:13" x14ac:dyDescent="0.15">
      <c r="A101" s="61"/>
      <c r="B101" s="62">
        <v>98</v>
      </c>
      <c r="C101" s="63" t="s">
        <v>352</v>
      </c>
      <c r="D101" s="64" t="s">
        <v>352</v>
      </c>
      <c r="E101" s="63" t="s">
        <v>352</v>
      </c>
      <c r="F101" s="126">
        <f>SUMIFS(期初庫存!F:F,期初庫存!C:C,C101)+SUMIFS(採購入庫!H:H,採購入庫!D:D,C101)-SUMIFS(借出!H:H,借出!D:D,C101)-SUMIFS(每日用粉紀錄表!G:G,每日用粉紀錄表!C:C,C101)+SUMIFS(歸還!H:H,歸還!D:D,C101)+SUMIFS(每日用粉紀錄表!I:I,每日用粉紀錄表!C:C,C101)</f>
        <v>0</v>
      </c>
      <c r="G101" s="126">
        <f>SUMIFS(期初庫存!G:G,期初庫存!C:C,C101)+SUMIFS(採購入庫!G:G,採購入庫!D:D,C101)-SUMIFS(每日用粉紀錄表!F:F,每日用粉紀錄表!C:C,C101)-SUMIFS(借出!G:G,借出!D:D,C101)+SUMIFS(歸還!H:H,歸還!D:D,C101)</f>
        <v>0</v>
      </c>
      <c r="H101" s="66"/>
      <c r="I101" s="65" t="str">
        <f>IF(H101&gt;G101,"採購","否")</f>
        <v>否</v>
      </c>
      <c r="J101" s="63">
        <f>IFERROR($G101*25+$F101,"-")</f>
        <v>0</v>
      </c>
      <c r="K101" s="56"/>
      <c r="L101" s="57"/>
      <c r="M101" s="56"/>
    </row>
    <row r="102" spans="1:13" x14ac:dyDescent="0.15">
      <c r="A102" s="61"/>
      <c r="B102" s="62">
        <v>99</v>
      </c>
      <c r="C102" s="63" t="s">
        <v>352</v>
      </c>
      <c r="D102" s="64" t="s">
        <v>352</v>
      </c>
      <c r="E102" s="63" t="s">
        <v>352</v>
      </c>
      <c r="F102" s="126">
        <f>SUMIFS(期初庫存!F:F,期初庫存!C:C,C102)+SUMIFS(採購入庫!H:H,採購入庫!D:D,C102)-SUMIFS(借出!H:H,借出!D:D,C102)-SUMIFS(每日用粉紀錄表!G:G,每日用粉紀錄表!C:C,C102)+SUMIFS(歸還!H:H,歸還!D:D,C102)+SUMIFS(每日用粉紀錄表!I:I,每日用粉紀錄表!C:C,C102)</f>
        <v>0</v>
      </c>
      <c r="G102" s="126">
        <f>SUMIFS(期初庫存!G:G,期初庫存!C:C,C102)+SUMIFS(採購入庫!G:G,採購入庫!D:D,C102)-SUMIFS(每日用粉紀錄表!F:F,每日用粉紀錄表!C:C,C102)-SUMIFS(借出!G:G,借出!D:D,C102)+SUMIFS(歸還!H:H,歸還!D:D,C102)</f>
        <v>0</v>
      </c>
      <c r="H102" s="66"/>
      <c r="I102" s="65" t="str">
        <f>IF(H102&gt;G102,"採購","否")</f>
        <v>否</v>
      </c>
      <c r="J102" s="63">
        <f>IFERROR($G102*25+$F102,"-")</f>
        <v>0</v>
      </c>
      <c r="K102" s="56"/>
      <c r="L102" s="57"/>
      <c r="M102" s="56"/>
    </row>
    <row r="103" spans="1:13" x14ac:dyDescent="0.15">
      <c r="A103" s="61"/>
      <c r="B103" s="62">
        <v>100</v>
      </c>
      <c r="C103" s="63" t="s">
        <v>352</v>
      </c>
      <c r="D103" s="64" t="s">
        <v>352</v>
      </c>
      <c r="E103" s="63" t="s">
        <v>352</v>
      </c>
      <c r="F103" s="126">
        <f>SUMIFS(期初庫存!F:F,期初庫存!C:C,C103)+SUMIFS(採購入庫!H:H,採購入庫!D:D,C103)-SUMIFS(借出!H:H,借出!D:D,C103)-SUMIFS(每日用粉紀錄表!G:G,每日用粉紀錄表!C:C,C103)+SUMIFS(歸還!H:H,歸還!D:D,C103)+SUMIFS(每日用粉紀錄表!I:I,每日用粉紀錄表!C:C,C103)</f>
        <v>0</v>
      </c>
      <c r="G103" s="126">
        <f>SUMIFS(期初庫存!G:G,期初庫存!C:C,C103)+SUMIFS(採購入庫!G:G,採購入庫!D:D,C103)-SUMIFS(每日用粉紀錄表!F:F,每日用粉紀錄表!C:C,C103)-SUMIFS(借出!G:G,借出!D:D,C103)+SUMIFS(歸還!H:H,歸還!D:D,C103)</f>
        <v>0</v>
      </c>
      <c r="H103" s="66"/>
      <c r="I103" s="65" t="str">
        <f>IF(H103&gt;G103,"採購","否")</f>
        <v>否</v>
      </c>
      <c r="J103" s="63">
        <f>IFERROR($G103*25+$F103,"-")</f>
        <v>0</v>
      </c>
      <c r="K103" s="56"/>
      <c r="L103" s="57"/>
      <c r="M103" s="56"/>
    </row>
    <row r="104" spans="1:13" x14ac:dyDescent="0.15">
      <c r="A104" s="67"/>
      <c r="B104" s="127">
        <v>101</v>
      </c>
      <c r="C104" s="68" t="s">
        <v>352</v>
      </c>
      <c r="D104" s="69" t="s">
        <v>352</v>
      </c>
      <c r="E104" s="68" t="s">
        <v>352</v>
      </c>
      <c r="F104" s="68" t="s">
        <v>352</v>
      </c>
      <c r="G104" s="68">
        <v>0</v>
      </c>
      <c r="H104" s="73"/>
      <c r="I104" s="70" t="str">
        <f>IF(H104&gt;G104,"采购","否")</f>
        <v>否</v>
      </c>
      <c r="J104" s="71"/>
      <c r="K104" s="71"/>
      <c r="L104" s="72"/>
      <c r="M104" s="71"/>
    </row>
    <row r="105" spans="1:13" x14ac:dyDescent="0.15">
      <c r="A105" s="67"/>
      <c r="B105" s="128">
        <v>102</v>
      </c>
      <c r="C105" s="68" t="s">
        <v>352</v>
      </c>
      <c r="D105" s="69" t="s">
        <v>352</v>
      </c>
      <c r="E105" s="68" t="s">
        <v>352</v>
      </c>
      <c r="F105" s="68" t="s">
        <v>352</v>
      </c>
      <c r="G105" s="68">
        <v>0</v>
      </c>
      <c r="H105" s="73"/>
      <c r="I105" s="70" t="str">
        <f>IF(H105&gt;G105,"采购","否")</f>
        <v>否</v>
      </c>
      <c r="J105" s="71"/>
      <c r="K105" s="71"/>
      <c r="L105" s="72"/>
      <c r="M105" s="71"/>
    </row>
    <row r="106" spans="1:13" x14ac:dyDescent="0.15">
      <c r="A106" s="67"/>
      <c r="B106" s="128">
        <v>103</v>
      </c>
      <c r="C106" s="68" t="s">
        <v>352</v>
      </c>
      <c r="D106" s="69" t="s">
        <v>352</v>
      </c>
      <c r="E106" s="68" t="s">
        <v>352</v>
      </c>
      <c r="F106" s="68" t="s">
        <v>352</v>
      </c>
      <c r="G106" s="68">
        <v>0</v>
      </c>
      <c r="H106" s="73"/>
      <c r="I106" s="70" t="str">
        <f>IF(H106&gt;G106,"采购","否")</f>
        <v>否</v>
      </c>
      <c r="J106" s="71"/>
      <c r="K106" s="71"/>
      <c r="L106" s="72"/>
      <c r="M106" s="71"/>
    </row>
    <row r="107" spans="1:13" x14ac:dyDescent="0.15">
      <c r="A107" s="67"/>
      <c r="B107" s="128">
        <v>104</v>
      </c>
      <c r="C107" s="68" t="s">
        <v>352</v>
      </c>
      <c r="D107" s="69" t="s">
        <v>352</v>
      </c>
      <c r="E107" s="68" t="s">
        <v>352</v>
      </c>
      <c r="F107" s="68" t="s">
        <v>352</v>
      </c>
      <c r="G107" s="68">
        <v>0</v>
      </c>
      <c r="H107" s="73"/>
      <c r="I107" s="70" t="str">
        <f>IF(H107&gt;G107,"采购","否")</f>
        <v>否</v>
      </c>
      <c r="J107" s="71"/>
      <c r="K107" s="71"/>
      <c r="L107" s="72"/>
      <c r="M107" s="71"/>
    </row>
    <row r="108" spans="1:13" x14ac:dyDescent="0.15">
      <c r="A108" s="67"/>
      <c r="B108" s="128">
        <v>105</v>
      </c>
      <c r="C108" s="68" t="s">
        <v>352</v>
      </c>
      <c r="D108" s="69" t="s">
        <v>352</v>
      </c>
      <c r="E108" s="68" t="s">
        <v>352</v>
      </c>
      <c r="F108" s="68" t="s">
        <v>352</v>
      </c>
      <c r="G108" s="68">
        <v>0</v>
      </c>
      <c r="H108" s="73"/>
      <c r="I108" s="70" t="str">
        <f>IF(H108&gt;G108,"采购","否")</f>
        <v>否</v>
      </c>
      <c r="J108" s="71"/>
      <c r="K108" s="71"/>
      <c r="L108" s="72"/>
      <c r="M108" s="71"/>
    </row>
    <row r="109" spans="1:13" x14ac:dyDescent="0.15">
      <c r="A109" s="67"/>
      <c r="B109" s="128">
        <v>106</v>
      </c>
      <c r="C109" s="68" t="s">
        <v>352</v>
      </c>
      <c r="D109" s="69" t="s">
        <v>352</v>
      </c>
      <c r="E109" s="68" t="s">
        <v>352</v>
      </c>
      <c r="F109" s="68" t="s">
        <v>352</v>
      </c>
      <c r="G109" s="68">
        <v>0</v>
      </c>
      <c r="H109" s="73"/>
      <c r="I109" s="70" t="str">
        <f>IF(H109&gt;G109,"采购","否")</f>
        <v>否</v>
      </c>
      <c r="J109" s="71"/>
      <c r="K109" s="71"/>
      <c r="L109" s="72"/>
      <c r="M109" s="71"/>
    </row>
    <row r="110" spans="1:13" x14ac:dyDescent="0.15">
      <c r="A110" s="67"/>
      <c r="B110" s="128">
        <v>107</v>
      </c>
      <c r="C110" s="68" t="s">
        <v>352</v>
      </c>
      <c r="D110" s="69" t="s">
        <v>352</v>
      </c>
      <c r="E110" s="68" t="s">
        <v>352</v>
      </c>
      <c r="F110" s="68" t="s">
        <v>352</v>
      </c>
      <c r="G110" s="68">
        <v>0</v>
      </c>
      <c r="H110" s="73"/>
      <c r="I110" s="70" t="str">
        <f>IF(H110&gt;G110,"采购","否")</f>
        <v>否</v>
      </c>
      <c r="J110" s="71"/>
      <c r="K110" s="71"/>
      <c r="L110" s="72"/>
      <c r="M110" s="71"/>
    </row>
    <row r="111" spans="1:13" x14ac:dyDescent="0.15">
      <c r="A111" s="67"/>
      <c r="B111" s="128">
        <v>108</v>
      </c>
      <c r="C111" s="68" t="s">
        <v>352</v>
      </c>
      <c r="D111" s="69" t="s">
        <v>352</v>
      </c>
      <c r="E111" s="68" t="s">
        <v>352</v>
      </c>
      <c r="F111" s="68" t="s">
        <v>352</v>
      </c>
      <c r="G111" s="68">
        <v>0</v>
      </c>
      <c r="H111" s="73"/>
      <c r="I111" s="70" t="str">
        <f>IF(H111&gt;G111,"采购","否")</f>
        <v>否</v>
      </c>
      <c r="J111" s="71"/>
      <c r="K111" s="71"/>
      <c r="L111" s="72"/>
      <c r="M111" s="71"/>
    </row>
    <row r="112" spans="1:13" x14ac:dyDescent="0.15">
      <c r="A112" s="67"/>
      <c r="B112" s="128">
        <v>109</v>
      </c>
      <c r="C112" s="68" t="s">
        <v>352</v>
      </c>
      <c r="D112" s="69" t="s">
        <v>352</v>
      </c>
      <c r="E112" s="68" t="s">
        <v>352</v>
      </c>
      <c r="F112" s="68" t="s">
        <v>352</v>
      </c>
      <c r="G112" s="68">
        <v>0</v>
      </c>
      <c r="H112" s="73"/>
      <c r="I112" s="70" t="str">
        <f>IF(H112&gt;G112,"采购","否")</f>
        <v>否</v>
      </c>
      <c r="J112" s="71"/>
      <c r="K112" s="71"/>
      <c r="L112" s="72"/>
      <c r="M112" s="71"/>
    </row>
    <row r="113" spans="1:13" x14ac:dyDescent="0.15">
      <c r="A113" s="67"/>
      <c r="B113" s="128">
        <v>110</v>
      </c>
      <c r="C113" s="68" t="s">
        <v>352</v>
      </c>
      <c r="D113" s="69" t="s">
        <v>352</v>
      </c>
      <c r="E113" s="68" t="s">
        <v>352</v>
      </c>
      <c r="F113" s="68" t="s">
        <v>352</v>
      </c>
      <c r="G113" s="68">
        <v>0</v>
      </c>
      <c r="H113" s="73"/>
      <c r="I113" s="70" t="str">
        <f>IF(H113&gt;G113,"采购","否")</f>
        <v>否</v>
      </c>
      <c r="J113" s="71"/>
      <c r="K113" s="71"/>
      <c r="L113" s="72"/>
      <c r="M113" s="71"/>
    </row>
    <row r="114" spans="1:13" x14ac:dyDescent="0.15">
      <c r="A114" s="67"/>
      <c r="B114" s="128">
        <v>111</v>
      </c>
      <c r="C114" s="68" t="s">
        <v>352</v>
      </c>
      <c r="D114" s="69" t="s">
        <v>352</v>
      </c>
      <c r="E114" s="68" t="s">
        <v>352</v>
      </c>
      <c r="F114" s="68" t="s">
        <v>352</v>
      </c>
      <c r="G114" s="68">
        <v>0</v>
      </c>
      <c r="H114" s="73"/>
      <c r="I114" s="70" t="str">
        <f>IF(H114&gt;G114,"采购","否")</f>
        <v>否</v>
      </c>
      <c r="J114" s="71"/>
      <c r="K114" s="71"/>
      <c r="L114" s="72"/>
      <c r="M114" s="71"/>
    </row>
    <row r="115" spans="1:13" x14ac:dyDescent="0.15">
      <c r="A115" s="67"/>
      <c r="B115" s="128">
        <v>112</v>
      </c>
      <c r="C115" s="68" t="s">
        <v>352</v>
      </c>
      <c r="D115" s="69" t="s">
        <v>352</v>
      </c>
      <c r="E115" s="68" t="s">
        <v>352</v>
      </c>
      <c r="F115" s="68" t="s">
        <v>352</v>
      </c>
      <c r="G115" s="68">
        <v>0</v>
      </c>
      <c r="H115" s="73"/>
      <c r="I115" s="70" t="str">
        <f>IF(H115&gt;G115,"采购","否")</f>
        <v>否</v>
      </c>
      <c r="J115" s="71"/>
      <c r="K115" s="71"/>
      <c r="L115" s="72"/>
      <c r="M115" s="71"/>
    </row>
    <row r="116" spans="1:13" x14ac:dyDescent="0.15">
      <c r="A116" s="67"/>
      <c r="B116" s="128">
        <v>113</v>
      </c>
      <c r="C116" s="68" t="s">
        <v>352</v>
      </c>
      <c r="D116" s="69" t="s">
        <v>352</v>
      </c>
      <c r="E116" s="68" t="s">
        <v>352</v>
      </c>
      <c r="F116" s="68" t="s">
        <v>352</v>
      </c>
      <c r="G116" s="68">
        <v>0</v>
      </c>
      <c r="H116" s="73"/>
      <c r="I116" s="70" t="str">
        <f>IF(H116&gt;G116,"采购","否")</f>
        <v>否</v>
      </c>
      <c r="J116" s="71"/>
      <c r="K116" s="71"/>
      <c r="L116" s="72"/>
      <c r="M116" s="71"/>
    </row>
    <row r="117" spans="1:13" x14ac:dyDescent="0.15">
      <c r="A117" s="67"/>
      <c r="B117" s="128">
        <v>114</v>
      </c>
      <c r="C117" s="68" t="s">
        <v>352</v>
      </c>
      <c r="D117" s="69" t="s">
        <v>352</v>
      </c>
      <c r="E117" s="68" t="s">
        <v>352</v>
      </c>
      <c r="F117" s="68" t="s">
        <v>352</v>
      </c>
      <c r="G117" s="68">
        <v>0</v>
      </c>
      <c r="H117" s="73"/>
      <c r="I117" s="70" t="str">
        <f>IF(H117&gt;G117,"采购","否")</f>
        <v>否</v>
      </c>
      <c r="J117" s="71"/>
      <c r="K117" s="71"/>
      <c r="L117" s="72"/>
      <c r="M117" s="71"/>
    </row>
    <row r="118" spans="1:13" x14ac:dyDescent="0.15">
      <c r="A118" s="67"/>
      <c r="B118" s="128">
        <v>115</v>
      </c>
      <c r="C118" s="68" t="s">
        <v>352</v>
      </c>
      <c r="D118" s="69" t="s">
        <v>352</v>
      </c>
      <c r="E118" s="68" t="s">
        <v>352</v>
      </c>
      <c r="F118" s="68" t="s">
        <v>352</v>
      </c>
      <c r="G118" s="68">
        <v>0</v>
      </c>
      <c r="H118" s="73"/>
      <c r="I118" s="70" t="str">
        <f>IF(H118&gt;G118,"采购","否")</f>
        <v>否</v>
      </c>
      <c r="J118" s="71"/>
      <c r="K118" s="71"/>
      <c r="L118" s="72"/>
      <c r="M118" s="71"/>
    </row>
    <row r="119" spans="1:13" x14ac:dyDescent="0.15">
      <c r="A119" s="67"/>
      <c r="B119" s="128">
        <v>116</v>
      </c>
      <c r="C119" s="68" t="s">
        <v>352</v>
      </c>
      <c r="D119" s="69" t="s">
        <v>352</v>
      </c>
      <c r="E119" s="68" t="s">
        <v>352</v>
      </c>
      <c r="F119" s="68" t="s">
        <v>352</v>
      </c>
      <c r="G119" s="68">
        <v>0</v>
      </c>
      <c r="H119" s="73"/>
      <c r="I119" s="70" t="str">
        <f>IF(H119&gt;G119,"采购","否")</f>
        <v>否</v>
      </c>
      <c r="J119" s="71"/>
      <c r="K119" s="71"/>
      <c r="L119" s="72"/>
      <c r="M119" s="71"/>
    </row>
    <row r="120" spans="1:13" x14ac:dyDescent="0.15">
      <c r="A120" s="67"/>
      <c r="B120" s="128">
        <v>117</v>
      </c>
      <c r="C120" s="68" t="s">
        <v>352</v>
      </c>
      <c r="D120" s="69" t="s">
        <v>352</v>
      </c>
      <c r="E120" s="68" t="s">
        <v>352</v>
      </c>
      <c r="F120" s="68" t="s">
        <v>352</v>
      </c>
      <c r="G120" s="68">
        <v>0</v>
      </c>
      <c r="H120" s="73"/>
      <c r="I120" s="70" t="str">
        <f>IF(H120&gt;G120,"采购","否")</f>
        <v>否</v>
      </c>
      <c r="J120" s="71"/>
      <c r="K120" s="71"/>
      <c r="L120" s="72"/>
      <c r="M120" s="71"/>
    </row>
    <row r="121" spans="1:13" x14ac:dyDescent="0.15">
      <c r="A121" s="67"/>
      <c r="B121" s="128">
        <v>118</v>
      </c>
      <c r="C121" s="68" t="s">
        <v>352</v>
      </c>
      <c r="D121" s="69" t="s">
        <v>352</v>
      </c>
      <c r="E121" s="68" t="s">
        <v>352</v>
      </c>
      <c r="F121" s="68" t="s">
        <v>352</v>
      </c>
      <c r="G121" s="68">
        <v>0</v>
      </c>
      <c r="H121" s="73"/>
      <c r="I121" s="70" t="str">
        <f>IF(H121&gt;G121,"采购","否")</f>
        <v>否</v>
      </c>
      <c r="J121" s="71"/>
      <c r="K121" s="71"/>
      <c r="L121" s="72"/>
      <c r="M121" s="71"/>
    </row>
    <row r="122" spans="1:13" x14ac:dyDescent="0.15">
      <c r="A122" s="67"/>
      <c r="B122" s="128">
        <v>119</v>
      </c>
      <c r="C122" s="68" t="s">
        <v>352</v>
      </c>
      <c r="D122" s="69" t="s">
        <v>352</v>
      </c>
      <c r="E122" s="68" t="s">
        <v>352</v>
      </c>
      <c r="F122" s="68" t="s">
        <v>352</v>
      </c>
      <c r="G122" s="68">
        <v>0</v>
      </c>
      <c r="H122" s="73"/>
      <c r="I122" s="70" t="str">
        <f>IF(H122&gt;G122,"采购","否")</f>
        <v>否</v>
      </c>
      <c r="J122" s="71"/>
      <c r="K122" s="71"/>
      <c r="L122" s="72"/>
      <c r="M122" s="71"/>
    </row>
    <row r="123" spans="1:13" x14ac:dyDescent="0.15">
      <c r="A123" s="67"/>
      <c r="B123" s="128">
        <v>120</v>
      </c>
      <c r="C123" s="68" t="s">
        <v>352</v>
      </c>
      <c r="D123" s="69" t="s">
        <v>352</v>
      </c>
      <c r="E123" s="68" t="s">
        <v>352</v>
      </c>
      <c r="F123" s="68" t="s">
        <v>352</v>
      </c>
      <c r="G123" s="68">
        <v>0</v>
      </c>
      <c r="H123" s="73"/>
      <c r="I123" s="70" t="str">
        <f>IF(H123&gt;G123,"采购","否")</f>
        <v>否</v>
      </c>
      <c r="J123" s="71"/>
      <c r="K123" s="71"/>
      <c r="L123" s="72"/>
      <c r="M123" s="71"/>
    </row>
    <row r="124" spans="1:13" x14ac:dyDescent="0.15">
      <c r="A124" s="67"/>
      <c r="B124" s="128">
        <v>121</v>
      </c>
      <c r="C124" s="68" t="s">
        <v>352</v>
      </c>
      <c r="D124" s="69" t="s">
        <v>352</v>
      </c>
      <c r="E124" s="68" t="s">
        <v>352</v>
      </c>
      <c r="F124" s="68" t="s">
        <v>352</v>
      </c>
      <c r="G124" s="68">
        <v>0</v>
      </c>
      <c r="H124" s="73"/>
      <c r="I124" s="70" t="str">
        <f>IF(H124&gt;G124,"采购","否")</f>
        <v>否</v>
      </c>
      <c r="J124" s="71"/>
      <c r="K124" s="71"/>
      <c r="L124" s="72"/>
      <c r="M124" s="71"/>
    </row>
    <row r="125" spans="1:13" x14ac:dyDescent="0.15">
      <c r="A125" s="67"/>
      <c r="B125" s="128">
        <v>122</v>
      </c>
      <c r="C125" s="68" t="s">
        <v>352</v>
      </c>
      <c r="D125" s="69" t="s">
        <v>352</v>
      </c>
      <c r="E125" s="68" t="s">
        <v>352</v>
      </c>
      <c r="F125" s="68" t="s">
        <v>352</v>
      </c>
      <c r="G125" s="68">
        <v>0</v>
      </c>
      <c r="H125" s="73"/>
      <c r="I125" s="70" t="str">
        <f>IF(H125&gt;G125,"采购","否")</f>
        <v>否</v>
      </c>
      <c r="J125" s="71"/>
      <c r="K125" s="71"/>
      <c r="L125" s="72"/>
      <c r="M125" s="71"/>
    </row>
    <row r="126" spans="1:13" x14ac:dyDescent="0.15">
      <c r="A126" s="67"/>
      <c r="B126" s="128">
        <v>123</v>
      </c>
      <c r="C126" s="68" t="s">
        <v>352</v>
      </c>
      <c r="D126" s="69" t="s">
        <v>352</v>
      </c>
      <c r="E126" s="68" t="s">
        <v>352</v>
      </c>
      <c r="F126" s="68" t="s">
        <v>352</v>
      </c>
      <c r="G126" s="68">
        <v>0</v>
      </c>
      <c r="H126" s="73"/>
      <c r="I126" s="70" t="str">
        <f>IF(H126&gt;G126,"采购","否")</f>
        <v>否</v>
      </c>
      <c r="J126" s="71"/>
      <c r="K126" s="71"/>
      <c r="L126" s="72"/>
      <c r="M126" s="71"/>
    </row>
    <row r="127" spans="1:13" x14ac:dyDescent="0.15">
      <c r="A127" s="67"/>
      <c r="B127" s="128">
        <v>124</v>
      </c>
      <c r="C127" s="68" t="s">
        <v>352</v>
      </c>
      <c r="D127" s="69" t="s">
        <v>352</v>
      </c>
      <c r="E127" s="68" t="s">
        <v>352</v>
      </c>
      <c r="F127" s="68" t="s">
        <v>352</v>
      </c>
      <c r="G127" s="68">
        <v>0</v>
      </c>
      <c r="H127" s="73"/>
      <c r="I127" s="70" t="str">
        <f>IF(H127&gt;G127,"采购","否")</f>
        <v>否</v>
      </c>
      <c r="J127" s="71"/>
      <c r="K127" s="71"/>
      <c r="L127" s="72"/>
      <c r="M127" s="71"/>
    </row>
    <row r="128" spans="1:13" x14ac:dyDescent="0.15">
      <c r="A128" s="67"/>
      <c r="B128" s="128">
        <v>125</v>
      </c>
      <c r="C128" s="68" t="s">
        <v>352</v>
      </c>
      <c r="D128" s="69" t="s">
        <v>352</v>
      </c>
      <c r="E128" s="68" t="s">
        <v>352</v>
      </c>
      <c r="F128" s="68" t="s">
        <v>352</v>
      </c>
      <c r="G128" s="68">
        <v>0</v>
      </c>
      <c r="H128" s="73"/>
      <c r="I128" s="70" t="str">
        <f>IF(H128&gt;G128,"采购","否")</f>
        <v>否</v>
      </c>
      <c r="J128" s="71"/>
      <c r="K128" s="71"/>
      <c r="L128" s="72"/>
      <c r="M128" s="71"/>
    </row>
    <row r="129" spans="1:13" x14ac:dyDescent="0.15">
      <c r="A129" s="67"/>
      <c r="B129" s="128">
        <v>126</v>
      </c>
      <c r="C129" s="68" t="s">
        <v>352</v>
      </c>
      <c r="D129" s="69" t="s">
        <v>352</v>
      </c>
      <c r="E129" s="68" t="s">
        <v>352</v>
      </c>
      <c r="F129" s="68" t="s">
        <v>352</v>
      </c>
      <c r="G129" s="68">
        <v>0</v>
      </c>
      <c r="H129" s="73"/>
      <c r="I129" s="70" t="str">
        <f>IF(H129&gt;G129,"采购","否")</f>
        <v>否</v>
      </c>
      <c r="J129" s="71"/>
      <c r="K129" s="71"/>
      <c r="L129" s="72"/>
      <c r="M129" s="71"/>
    </row>
    <row r="130" spans="1:13" x14ac:dyDescent="0.15">
      <c r="A130" s="67"/>
      <c r="B130" s="128">
        <v>127</v>
      </c>
      <c r="C130" s="68" t="s">
        <v>352</v>
      </c>
      <c r="D130" s="69" t="s">
        <v>352</v>
      </c>
      <c r="E130" s="68" t="s">
        <v>352</v>
      </c>
      <c r="F130" s="68" t="s">
        <v>352</v>
      </c>
      <c r="G130" s="68">
        <v>0</v>
      </c>
      <c r="H130" s="73"/>
      <c r="I130" s="70" t="str">
        <f>IF(H130&gt;G130,"采购","否")</f>
        <v>否</v>
      </c>
      <c r="J130" s="71"/>
      <c r="K130" s="71"/>
      <c r="L130" s="72"/>
      <c r="M130" s="71"/>
    </row>
    <row r="131" spans="1:13" x14ac:dyDescent="0.15">
      <c r="A131" s="67"/>
      <c r="B131" s="128">
        <v>128</v>
      </c>
      <c r="C131" s="68" t="s">
        <v>352</v>
      </c>
      <c r="D131" s="69" t="s">
        <v>352</v>
      </c>
      <c r="E131" s="68" t="s">
        <v>352</v>
      </c>
      <c r="F131" s="68" t="s">
        <v>352</v>
      </c>
      <c r="G131" s="68">
        <v>0</v>
      </c>
      <c r="H131" s="73"/>
      <c r="I131" s="70" t="str">
        <f>IF(H131&gt;G131,"采购","否")</f>
        <v>否</v>
      </c>
      <c r="J131" s="71"/>
      <c r="K131" s="71"/>
      <c r="L131" s="72"/>
      <c r="M131" s="71"/>
    </row>
    <row r="132" spans="1:13" x14ac:dyDescent="0.15">
      <c r="A132" s="67"/>
      <c r="B132" s="128">
        <v>129</v>
      </c>
      <c r="C132" s="68" t="s">
        <v>352</v>
      </c>
      <c r="D132" s="69" t="s">
        <v>352</v>
      </c>
      <c r="E132" s="68" t="s">
        <v>352</v>
      </c>
      <c r="F132" s="68" t="s">
        <v>352</v>
      </c>
      <c r="G132" s="68">
        <v>0</v>
      </c>
      <c r="H132" s="73"/>
      <c r="I132" s="70" t="str">
        <f>IF(H132&gt;G132,"采购","否")</f>
        <v>否</v>
      </c>
      <c r="J132" s="71"/>
      <c r="K132" s="71"/>
      <c r="L132" s="72"/>
      <c r="M132" s="71"/>
    </row>
    <row r="133" spans="1:13" x14ac:dyDescent="0.15">
      <c r="A133" s="67"/>
      <c r="B133" s="128">
        <v>130</v>
      </c>
      <c r="C133" s="68" t="s">
        <v>352</v>
      </c>
      <c r="D133" s="69" t="s">
        <v>352</v>
      </c>
      <c r="E133" s="68" t="s">
        <v>352</v>
      </c>
      <c r="F133" s="68" t="s">
        <v>352</v>
      </c>
      <c r="G133" s="68">
        <v>0</v>
      </c>
      <c r="H133" s="73"/>
      <c r="I133" s="70" t="str">
        <f>IF(H133&gt;G133,"采购","否")</f>
        <v>否</v>
      </c>
      <c r="J133" s="71"/>
      <c r="K133" s="71"/>
      <c r="L133" s="72"/>
      <c r="M133" s="71"/>
    </row>
    <row r="134" spans="1:13" x14ac:dyDescent="0.15">
      <c r="A134" s="67"/>
      <c r="B134" s="128">
        <v>131</v>
      </c>
      <c r="C134" s="68" t="s">
        <v>352</v>
      </c>
      <c r="D134" s="69" t="s">
        <v>352</v>
      </c>
      <c r="E134" s="68" t="s">
        <v>352</v>
      </c>
      <c r="F134" s="68" t="s">
        <v>352</v>
      </c>
      <c r="G134" s="68">
        <v>0</v>
      </c>
      <c r="H134" s="73"/>
      <c r="I134" s="70" t="str">
        <f>IF(H134&gt;G134,"采购","否")</f>
        <v>否</v>
      </c>
      <c r="J134" s="71"/>
      <c r="K134" s="71"/>
      <c r="L134" s="72"/>
      <c r="M134" s="71"/>
    </row>
    <row r="135" spans="1:13" x14ac:dyDescent="0.15">
      <c r="A135" s="67"/>
      <c r="B135" s="128">
        <v>132</v>
      </c>
      <c r="C135" s="68" t="s">
        <v>352</v>
      </c>
      <c r="D135" s="69" t="s">
        <v>352</v>
      </c>
      <c r="E135" s="68" t="s">
        <v>352</v>
      </c>
      <c r="F135" s="68" t="s">
        <v>352</v>
      </c>
      <c r="G135" s="68">
        <v>0</v>
      </c>
      <c r="H135" s="73"/>
      <c r="I135" s="70" t="str">
        <f>IF(H135&gt;G135,"采购","否")</f>
        <v>否</v>
      </c>
      <c r="J135" s="71"/>
      <c r="K135" s="71"/>
      <c r="L135" s="72"/>
      <c r="M135" s="71"/>
    </row>
    <row r="136" spans="1:13" x14ac:dyDescent="0.15">
      <c r="A136" s="67"/>
      <c r="B136" s="128">
        <v>133</v>
      </c>
      <c r="C136" s="68" t="s">
        <v>352</v>
      </c>
      <c r="D136" s="69" t="s">
        <v>352</v>
      </c>
      <c r="E136" s="68" t="s">
        <v>352</v>
      </c>
      <c r="F136" s="68" t="s">
        <v>352</v>
      </c>
      <c r="G136" s="68">
        <v>0</v>
      </c>
      <c r="H136" s="73"/>
      <c r="I136" s="70" t="str">
        <f>IF(H136&gt;G136,"采购","否")</f>
        <v>否</v>
      </c>
      <c r="J136" s="71"/>
      <c r="K136" s="71"/>
      <c r="L136" s="72"/>
      <c r="M136" s="71"/>
    </row>
    <row r="137" spans="1:13" x14ac:dyDescent="0.15">
      <c r="A137" s="67"/>
      <c r="B137" s="128">
        <v>134</v>
      </c>
      <c r="C137" s="68" t="s">
        <v>352</v>
      </c>
      <c r="D137" s="69" t="s">
        <v>352</v>
      </c>
      <c r="E137" s="68" t="s">
        <v>352</v>
      </c>
      <c r="F137" s="68" t="s">
        <v>352</v>
      </c>
      <c r="G137" s="68">
        <v>0</v>
      </c>
      <c r="H137" s="73"/>
      <c r="I137" s="70" t="str">
        <f>IF(H137&gt;G137,"采购","否")</f>
        <v>否</v>
      </c>
      <c r="J137" s="71"/>
      <c r="K137" s="71"/>
      <c r="L137" s="72"/>
      <c r="M137" s="71"/>
    </row>
    <row r="138" spans="1:13" x14ac:dyDescent="0.15">
      <c r="A138" s="67"/>
      <c r="B138" s="128">
        <v>135</v>
      </c>
      <c r="C138" s="68" t="s">
        <v>352</v>
      </c>
      <c r="D138" s="69" t="s">
        <v>352</v>
      </c>
      <c r="E138" s="68" t="s">
        <v>352</v>
      </c>
      <c r="F138" s="68" t="s">
        <v>352</v>
      </c>
      <c r="G138" s="68">
        <v>0</v>
      </c>
      <c r="H138" s="73"/>
      <c r="I138" s="70" t="str">
        <f>IF(H138&gt;G138,"采购","否")</f>
        <v>否</v>
      </c>
      <c r="J138" s="71"/>
      <c r="K138" s="71"/>
      <c r="L138" s="72"/>
      <c r="M138" s="71"/>
    </row>
    <row r="139" spans="1:13" x14ac:dyDescent="0.15">
      <c r="A139" s="67"/>
      <c r="B139" s="128">
        <v>136</v>
      </c>
      <c r="C139" s="68" t="s">
        <v>352</v>
      </c>
      <c r="D139" s="69" t="s">
        <v>352</v>
      </c>
      <c r="E139" s="68" t="s">
        <v>352</v>
      </c>
      <c r="F139" s="68" t="s">
        <v>352</v>
      </c>
      <c r="G139" s="68">
        <v>0</v>
      </c>
      <c r="H139" s="73"/>
      <c r="I139" s="70" t="s">
        <v>354</v>
      </c>
      <c r="J139" s="71"/>
      <c r="K139" s="71"/>
      <c r="L139" s="72"/>
      <c r="M139" s="71"/>
    </row>
    <row r="140" spans="1:13" x14ac:dyDescent="0.15">
      <c r="A140" s="67"/>
      <c r="B140" s="128">
        <v>137</v>
      </c>
      <c r="C140" s="68" t="s">
        <v>352</v>
      </c>
      <c r="D140" s="69" t="s">
        <v>352</v>
      </c>
      <c r="E140" s="68" t="s">
        <v>352</v>
      </c>
      <c r="F140" s="68" t="s">
        <v>352</v>
      </c>
      <c r="G140" s="68">
        <v>0</v>
      </c>
      <c r="H140" s="73"/>
      <c r="I140" s="70" t="s">
        <v>354</v>
      </c>
      <c r="J140" s="71"/>
      <c r="K140" s="71"/>
      <c r="L140" s="72"/>
      <c r="M140" s="71"/>
    </row>
    <row r="141" spans="1:13" x14ac:dyDescent="0.15">
      <c r="A141" s="67"/>
      <c r="B141" s="128">
        <v>138</v>
      </c>
      <c r="C141" s="68" t="s">
        <v>352</v>
      </c>
      <c r="D141" s="69" t="s">
        <v>352</v>
      </c>
      <c r="E141" s="68" t="s">
        <v>352</v>
      </c>
      <c r="F141" s="68" t="s">
        <v>352</v>
      </c>
      <c r="G141" s="68">
        <v>0</v>
      </c>
      <c r="H141" s="73"/>
      <c r="I141" s="70" t="s">
        <v>354</v>
      </c>
      <c r="J141" s="71"/>
      <c r="K141" s="71"/>
      <c r="L141" s="72"/>
      <c r="M141" s="71"/>
    </row>
    <row r="142" spans="1:13" x14ac:dyDescent="0.15">
      <c r="A142" s="67"/>
      <c r="B142" s="128">
        <v>139</v>
      </c>
      <c r="C142" s="68" t="s">
        <v>352</v>
      </c>
      <c r="D142" s="69" t="s">
        <v>352</v>
      </c>
      <c r="E142" s="68" t="s">
        <v>352</v>
      </c>
      <c r="F142" s="68" t="s">
        <v>352</v>
      </c>
      <c r="G142" s="68">
        <v>0</v>
      </c>
      <c r="H142" s="73"/>
      <c r="I142" s="70" t="s">
        <v>354</v>
      </c>
      <c r="J142" s="71"/>
      <c r="K142" s="71"/>
      <c r="L142" s="72"/>
      <c r="M142" s="71"/>
    </row>
    <row r="143" spans="1:13" x14ac:dyDescent="0.15">
      <c r="A143" s="67"/>
      <c r="B143" s="128">
        <v>140</v>
      </c>
      <c r="C143" s="68" t="s">
        <v>352</v>
      </c>
      <c r="D143" s="69" t="s">
        <v>352</v>
      </c>
      <c r="E143" s="68" t="s">
        <v>352</v>
      </c>
      <c r="F143" s="68" t="s">
        <v>352</v>
      </c>
      <c r="G143" s="68">
        <v>0</v>
      </c>
      <c r="H143" s="73"/>
      <c r="I143" s="70" t="s">
        <v>354</v>
      </c>
      <c r="J143" s="71"/>
      <c r="K143" s="71"/>
      <c r="L143" s="72"/>
      <c r="M143" s="71"/>
    </row>
    <row r="144" spans="1:13" x14ac:dyDescent="0.15">
      <c r="A144" s="67"/>
      <c r="B144" s="128">
        <v>141</v>
      </c>
      <c r="C144" s="68" t="s">
        <v>352</v>
      </c>
      <c r="D144" s="69" t="s">
        <v>352</v>
      </c>
      <c r="E144" s="68" t="s">
        <v>352</v>
      </c>
      <c r="F144" s="68" t="s">
        <v>352</v>
      </c>
      <c r="G144" s="68">
        <v>0</v>
      </c>
      <c r="H144" s="73"/>
      <c r="I144" s="70" t="s">
        <v>354</v>
      </c>
      <c r="J144" s="71"/>
      <c r="K144" s="71"/>
      <c r="L144" s="72"/>
      <c r="M144" s="71"/>
    </row>
    <row r="145" spans="1:13" x14ac:dyDescent="0.15">
      <c r="A145" s="67"/>
      <c r="B145" s="128">
        <v>142</v>
      </c>
      <c r="C145" s="68" t="s">
        <v>352</v>
      </c>
      <c r="D145" s="69" t="s">
        <v>352</v>
      </c>
      <c r="E145" s="68" t="s">
        <v>352</v>
      </c>
      <c r="F145" s="68" t="s">
        <v>352</v>
      </c>
      <c r="G145" s="68">
        <v>0</v>
      </c>
      <c r="H145" s="73"/>
      <c r="I145" s="70" t="s">
        <v>354</v>
      </c>
      <c r="J145" s="71"/>
      <c r="K145" s="71"/>
      <c r="L145" s="72"/>
      <c r="M145" s="71"/>
    </row>
    <row r="146" spans="1:13" x14ac:dyDescent="0.15">
      <c r="A146" s="67"/>
      <c r="B146" s="128">
        <v>143</v>
      </c>
      <c r="C146" s="68" t="s">
        <v>352</v>
      </c>
      <c r="D146" s="69" t="s">
        <v>352</v>
      </c>
      <c r="E146" s="68" t="s">
        <v>352</v>
      </c>
      <c r="F146" s="68" t="s">
        <v>352</v>
      </c>
      <c r="G146" s="68">
        <v>0</v>
      </c>
      <c r="H146" s="73"/>
      <c r="I146" s="70" t="s">
        <v>354</v>
      </c>
      <c r="J146" s="71"/>
      <c r="K146" s="71"/>
      <c r="L146" s="72"/>
      <c r="M146" s="71"/>
    </row>
    <row r="147" spans="1:13" x14ac:dyDescent="0.15">
      <c r="A147" s="67"/>
      <c r="B147" s="128">
        <v>144</v>
      </c>
      <c r="C147" s="68" t="s">
        <v>352</v>
      </c>
      <c r="D147" s="69" t="s">
        <v>352</v>
      </c>
      <c r="E147" s="68" t="s">
        <v>352</v>
      </c>
      <c r="F147" s="68" t="s">
        <v>352</v>
      </c>
      <c r="G147" s="68">
        <v>0</v>
      </c>
      <c r="H147" s="73"/>
      <c r="I147" s="70" t="s">
        <v>354</v>
      </c>
      <c r="J147" s="71"/>
      <c r="K147" s="71"/>
      <c r="L147" s="72"/>
      <c r="M147" s="71"/>
    </row>
    <row r="148" spans="1:13" x14ac:dyDescent="0.15">
      <c r="A148" s="67"/>
      <c r="B148" s="128">
        <v>145</v>
      </c>
      <c r="C148" s="68" t="s">
        <v>352</v>
      </c>
      <c r="D148" s="69" t="s">
        <v>352</v>
      </c>
      <c r="E148" s="68" t="s">
        <v>352</v>
      </c>
      <c r="F148" s="68" t="s">
        <v>352</v>
      </c>
      <c r="G148" s="68">
        <v>0</v>
      </c>
      <c r="H148" s="73"/>
      <c r="I148" s="70" t="s">
        <v>354</v>
      </c>
      <c r="J148" s="71"/>
      <c r="K148" s="71"/>
      <c r="L148" s="72"/>
      <c r="M148" s="71"/>
    </row>
    <row r="149" spans="1:13" x14ac:dyDescent="0.15">
      <c r="A149" s="67"/>
      <c r="B149" s="128">
        <v>146</v>
      </c>
      <c r="C149" s="68" t="s">
        <v>352</v>
      </c>
      <c r="D149" s="69" t="s">
        <v>352</v>
      </c>
      <c r="E149" s="68" t="s">
        <v>352</v>
      </c>
      <c r="F149" s="68" t="s">
        <v>352</v>
      </c>
      <c r="G149" s="68">
        <v>0</v>
      </c>
      <c r="H149" s="73"/>
      <c r="I149" s="70" t="s">
        <v>354</v>
      </c>
      <c r="J149" s="71"/>
      <c r="K149" s="71"/>
      <c r="L149" s="72"/>
      <c r="M149" s="71"/>
    </row>
    <row r="150" spans="1:13" x14ac:dyDescent="0.15">
      <c r="A150" s="67"/>
      <c r="B150" s="128">
        <v>146</v>
      </c>
      <c r="C150" s="68" t="s">
        <v>352</v>
      </c>
      <c r="D150" s="69" t="s">
        <v>352</v>
      </c>
      <c r="E150" s="68" t="s">
        <v>352</v>
      </c>
      <c r="F150" s="68" t="s">
        <v>352</v>
      </c>
      <c r="G150" s="68">
        <v>0</v>
      </c>
      <c r="H150" s="73"/>
      <c r="I150" s="70" t="s">
        <v>354</v>
      </c>
      <c r="J150" s="71"/>
      <c r="K150" s="71"/>
      <c r="L150" s="72"/>
      <c r="M150" s="71"/>
    </row>
    <row r="151" spans="1:13" x14ac:dyDescent="0.15">
      <c r="A151" s="67"/>
      <c r="B151" s="129">
        <v>146</v>
      </c>
      <c r="C151" s="68" t="s">
        <v>352</v>
      </c>
      <c r="D151" s="69" t="s">
        <v>352</v>
      </c>
      <c r="E151" s="68" t="s">
        <v>352</v>
      </c>
      <c r="F151" s="68" t="s">
        <v>352</v>
      </c>
      <c r="G151" s="68">
        <v>0</v>
      </c>
      <c r="H151" s="73"/>
      <c r="I151" s="70" t="s">
        <v>354</v>
      </c>
      <c r="J151" s="71"/>
      <c r="K151" s="71"/>
      <c r="L151" s="72"/>
      <c r="M151" s="71"/>
    </row>
    <row r="152" spans="1:13" x14ac:dyDescent="0.15">
      <c r="A152" s="67"/>
      <c r="B152" s="129">
        <v>147</v>
      </c>
      <c r="C152" s="68" t="s">
        <v>352</v>
      </c>
      <c r="D152" s="69" t="s">
        <v>352</v>
      </c>
      <c r="E152" s="68" t="s">
        <v>352</v>
      </c>
      <c r="F152" s="68" t="s">
        <v>352</v>
      </c>
      <c r="G152" s="68">
        <v>0</v>
      </c>
      <c r="H152" s="73"/>
      <c r="I152" s="70" t="s">
        <v>354</v>
      </c>
      <c r="J152" s="71"/>
      <c r="K152" s="71"/>
      <c r="L152" s="72"/>
      <c r="M152" s="71"/>
    </row>
    <row r="153" spans="1:13" x14ac:dyDescent="0.15">
      <c r="A153" s="67"/>
      <c r="B153" s="129">
        <v>148</v>
      </c>
      <c r="C153" s="68" t="s">
        <v>352</v>
      </c>
      <c r="D153" s="69" t="s">
        <v>352</v>
      </c>
      <c r="E153" s="68" t="s">
        <v>352</v>
      </c>
      <c r="F153" s="68" t="s">
        <v>352</v>
      </c>
      <c r="G153" s="68">
        <v>0</v>
      </c>
      <c r="H153" s="73"/>
      <c r="I153" s="70" t="s">
        <v>354</v>
      </c>
      <c r="J153" s="71"/>
      <c r="K153" s="71"/>
      <c r="L153" s="72"/>
      <c r="M153" s="71"/>
    </row>
    <row r="154" spans="1:13" x14ac:dyDescent="0.15">
      <c r="A154" s="67"/>
      <c r="B154" s="129">
        <v>149</v>
      </c>
      <c r="C154" s="68" t="s">
        <v>352</v>
      </c>
      <c r="D154" s="69" t="s">
        <v>352</v>
      </c>
      <c r="E154" s="68" t="s">
        <v>352</v>
      </c>
      <c r="F154" s="68" t="s">
        <v>352</v>
      </c>
      <c r="G154" s="68">
        <v>0</v>
      </c>
      <c r="H154" s="73"/>
      <c r="I154" s="70" t="s">
        <v>354</v>
      </c>
      <c r="J154" s="71"/>
      <c r="K154" s="71"/>
      <c r="L154" s="72"/>
      <c r="M154" s="71"/>
    </row>
    <row r="155" spans="1:13" x14ac:dyDescent="0.15">
      <c r="A155" s="67"/>
      <c r="B155" s="129">
        <v>150</v>
      </c>
      <c r="C155" s="68" t="s">
        <v>352</v>
      </c>
      <c r="D155" s="69" t="s">
        <v>352</v>
      </c>
      <c r="E155" s="68" t="s">
        <v>352</v>
      </c>
      <c r="F155" s="68" t="s">
        <v>352</v>
      </c>
      <c r="G155" s="68">
        <v>0</v>
      </c>
      <c r="H155" s="73"/>
      <c r="I155" s="70" t="s">
        <v>354</v>
      </c>
      <c r="J155" s="71"/>
      <c r="K155" s="71"/>
      <c r="L155" s="72"/>
      <c r="M155" s="71"/>
    </row>
    <row r="156" spans="1:13" x14ac:dyDescent="0.15">
      <c r="A156" s="67"/>
      <c r="B156" s="129">
        <v>151</v>
      </c>
      <c r="C156" s="68" t="s">
        <v>352</v>
      </c>
      <c r="D156" s="69" t="s">
        <v>352</v>
      </c>
      <c r="E156" s="68" t="s">
        <v>352</v>
      </c>
      <c r="F156" s="68" t="s">
        <v>352</v>
      </c>
      <c r="G156" s="68">
        <v>0</v>
      </c>
      <c r="H156" s="73"/>
      <c r="I156" s="70" t="s">
        <v>354</v>
      </c>
      <c r="J156" s="71"/>
      <c r="K156" s="71"/>
      <c r="L156" s="72"/>
      <c r="M156" s="71"/>
    </row>
    <row r="157" spans="1:13" x14ac:dyDescent="0.15">
      <c r="A157" s="67"/>
      <c r="B157" s="129">
        <v>152</v>
      </c>
      <c r="C157" s="68" t="s">
        <v>352</v>
      </c>
      <c r="D157" s="69" t="s">
        <v>352</v>
      </c>
      <c r="E157" s="68" t="s">
        <v>352</v>
      </c>
      <c r="F157" s="68" t="s">
        <v>352</v>
      </c>
      <c r="G157" s="68">
        <v>0</v>
      </c>
      <c r="H157" s="73"/>
      <c r="I157" s="70" t="s">
        <v>354</v>
      </c>
      <c r="J157" s="71"/>
      <c r="K157" s="71"/>
      <c r="L157" s="72"/>
      <c r="M157" s="71"/>
    </row>
    <row r="158" spans="1:13" x14ac:dyDescent="0.15">
      <c r="A158" s="67"/>
      <c r="B158" s="129">
        <v>153</v>
      </c>
      <c r="C158" s="68" t="s">
        <v>352</v>
      </c>
      <c r="D158" s="69" t="s">
        <v>352</v>
      </c>
      <c r="E158" s="68" t="s">
        <v>352</v>
      </c>
      <c r="F158" s="68" t="s">
        <v>352</v>
      </c>
      <c r="G158" s="68">
        <v>0</v>
      </c>
      <c r="H158" s="73"/>
      <c r="I158" s="70" t="s">
        <v>354</v>
      </c>
      <c r="J158" s="71"/>
      <c r="K158" s="71"/>
      <c r="L158" s="72"/>
      <c r="M158" s="71"/>
    </row>
    <row r="159" spans="1:13" x14ac:dyDescent="0.15">
      <c r="A159" s="67"/>
      <c r="B159" s="129">
        <v>154</v>
      </c>
      <c r="C159" s="68" t="s">
        <v>352</v>
      </c>
      <c r="D159" s="69" t="s">
        <v>352</v>
      </c>
      <c r="E159" s="68" t="s">
        <v>352</v>
      </c>
      <c r="F159" s="68" t="s">
        <v>352</v>
      </c>
      <c r="G159" s="68">
        <v>0</v>
      </c>
      <c r="H159" s="73"/>
      <c r="I159" s="70" t="s">
        <v>354</v>
      </c>
      <c r="J159" s="71"/>
      <c r="K159" s="71"/>
      <c r="L159" s="72"/>
      <c r="M159" s="71"/>
    </row>
    <row r="160" spans="1:13" x14ac:dyDescent="0.15">
      <c r="A160" s="67"/>
      <c r="B160" s="129">
        <v>155</v>
      </c>
      <c r="C160" s="68" t="s">
        <v>352</v>
      </c>
      <c r="D160" s="69" t="s">
        <v>352</v>
      </c>
      <c r="E160" s="68" t="s">
        <v>352</v>
      </c>
      <c r="F160" s="68" t="s">
        <v>352</v>
      </c>
      <c r="G160" s="68">
        <v>0</v>
      </c>
      <c r="H160" s="73"/>
      <c r="I160" s="70" t="s">
        <v>354</v>
      </c>
      <c r="J160" s="71"/>
      <c r="K160" s="71"/>
      <c r="L160" s="72"/>
      <c r="M160" s="71"/>
    </row>
    <row r="161" spans="1:13" x14ac:dyDescent="0.15">
      <c r="A161" s="67"/>
      <c r="B161" s="129">
        <v>156</v>
      </c>
      <c r="C161" s="68" t="s">
        <v>352</v>
      </c>
      <c r="D161" s="69" t="s">
        <v>352</v>
      </c>
      <c r="E161" s="68" t="s">
        <v>352</v>
      </c>
      <c r="F161" s="68" t="s">
        <v>352</v>
      </c>
      <c r="G161" s="68">
        <v>0</v>
      </c>
      <c r="H161" s="73"/>
      <c r="I161" s="70" t="s">
        <v>354</v>
      </c>
      <c r="J161" s="71"/>
      <c r="K161" s="71"/>
      <c r="L161" s="72"/>
      <c r="M161" s="71"/>
    </row>
    <row r="162" spans="1:13" x14ac:dyDescent="0.15">
      <c r="A162" s="67"/>
      <c r="B162" s="129">
        <v>157</v>
      </c>
      <c r="C162" s="68" t="s">
        <v>352</v>
      </c>
      <c r="D162" s="69" t="s">
        <v>352</v>
      </c>
      <c r="E162" s="68" t="s">
        <v>352</v>
      </c>
      <c r="F162" s="68" t="s">
        <v>352</v>
      </c>
      <c r="G162" s="68">
        <v>0</v>
      </c>
      <c r="H162" s="73"/>
      <c r="I162" s="70" t="s">
        <v>354</v>
      </c>
      <c r="J162" s="71"/>
      <c r="K162" s="71"/>
      <c r="L162" s="72"/>
      <c r="M162" s="71"/>
    </row>
    <row r="163" spans="1:13" x14ac:dyDescent="0.15">
      <c r="A163" s="67"/>
      <c r="B163" s="129">
        <v>158</v>
      </c>
      <c r="C163" s="68" t="s">
        <v>352</v>
      </c>
      <c r="D163" s="69" t="s">
        <v>352</v>
      </c>
      <c r="E163" s="68" t="s">
        <v>352</v>
      </c>
      <c r="F163" s="68" t="s">
        <v>352</v>
      </c>
      <c r="G163" s="68">
        <v>0</v>
      </c>
      <c r="H163" s="73"/>
      <c r="I163" s="70" t="s">
        <v>354</v>
      </c>
      <c r="J163" s="71"/>
      <c r="K163" s="71"/>
      <c r="L163" s="72"/>
      <c r="M163" s="71"/>
    </row>
    <row r="164" spans="1:13" x14ac:dyDescent="0.15">
      <c r="A164" s="67"/>
      <c r="B164" s="129">
        <v>159</v>
      </c>
      <c r="C164" s="68" t="s">
        <v>352</v>
      </c>
      <c r="D164" s="69" t="s">
        <v>352</v>
      </c>
      <c r="E164" s="68" t="s">
        <v>352</v>
      </c>
      <c r="F164" s="68" t="s">
        <v>352</v>
      </c>
      <c r="G164" s="68">
        <v>0</v>
      </c>
      <c r="H164" s="73"/>
      <c r="I164" s="70" t="s">
        <v>354</v>
      </c>
      <c r="J164" s="71"/>
      <c r="K164" s="71"/>
      <c r="L164" s="72"/>
      <c r="M164" s="71"/>
    </row>
    <row r="165" spans="1:13" x14ac:dyDescent="0.15">
      <c r="A165" s="67"/>
      <c r="B165" s="129">
        <v>160</v>
      </c>
      <c r="C165" s="68" t="s">
        <v>352</v>
      </c>
      <c r="D165" s="69" t="s">
        <v>352</v>
      </c>
      <c r="E165" s="68" t="s">
        <v>352</v>
      </c>
      <c r="F165" s="68" t="s">
        <v>352</v>
      </c>
      <c r="G165" s="68">
        <v>0</v>
      </c>
      <c r="H165" s="73"/>
      <c r="I165" s="70" t="s">
        <v>354</v>
      </c>
      <c r="J165" s="71"/>
      <c r="K165" s="71"/>
      <c r="L165" s="72"/>
      <c r="M165" s="71"/>
    </row>
    <row r="166" spans="1:13" x14ac:dyDescent="0.15">
      <c r="A166" s="67"/>
      <c r="B166" s="129">
        <v>161</v>
      </c>
      <c r="C166" s="68" t="s">
        <v>352</v>
      </c>
      <c r="D166" s="69" t="s">
        <v>352</v>
      </c>
      <c r="E166" s="68" t="s">
        <v>352</v>
      </c>
      <c r="F166" s="68" t="s">
        <v>352</v>
      </c>
      <c r="G166" s="68">
        <v>0</v>
      </c>
      <c r="H166" s="73"/>
      <c r="I166" s="70" t="s">
        <v>354</v>
      </c>
      <c r="J166" s="71"/>
      <c r="K166" s="71"/>
      <c r="L166" s="72"/>
      <c r="M166" s="71"/>
    </row>
    <row r="167" spans="1:13" x14ac:dyDescent="0.15">
      <c r="A167" s="67"/>
      <c r="B167" s="129">
        <v>162</v>
      </c>
      <c r="C167" s="68" t="s">
        <v>352</v>
      </c>
      <c r="D167" s="69" t="s">
        <v>352</v>
      </c>
      <c r="E167" s="68" t="s">
        <v>352</v>
      </c>
      <c r="F167" s="68" t="s">
        <v>352</v>
      </c>
      <c r="G167" s="68">
        <v>0</v>
      </c>
      <c r="H167" s="73"/>
      <c r="I167" s="70" t="s">
        <v>354</v>
      </c>
      <c r="J167" s="71"/>
      <c r="K167" s="71"/>
      <c r="L167" s="72"/>
      <c r="M167" s="71"/>
    </row>
    <row r="168" spans="1:13" x14ac:dyDescent="0.15">
      <c r="A168" s="67"/>
      <c r="B168" s="129">
        <v>163</v>
      </c>
      <c r="C168" s="68" t="s">
        <v>352</v>
      </c>
      <c r="D168" s="69" t="s">
        <v>352</v>
      </c>
      <c r="E168" s="68" t="s">
        <v>352</v>
      </c>
      <c r="F168" s="68" t="s">
        <v>352</v>
      </c>
      <c r="G168" s="68">
        <v>0</v>
      </c>
      <c r="H168" s="73"/>
      <c r="I168" s="70" t="s">
        <v>354</v>
      </c>
      <c r="J168" s="71"/>
      <c r="K168" s="71"/>
      <c r="L168" s="72"/>
      <c r="M168" s="71"/>
    </row>
    <row r="169" spans="1:13" x14ac:dyDescent="0.15">
      <c r="A169" s="67"/>
      <c r="B169" s="129">
        <v>164</v>
      </c>
      <c r="C169" s="68" t="s">
        <v>352</v>
      </c>
      <c r="D169" s="69" t="s">
        <v>352</v>
      </c>
      <c r="E169" s="68" t="s">
        <v>352</v>
      </c>
      <c r="F169" s="68" t="s">
        <v>352</v>
      </c>
      <c r="G169" s="68">
        <v>0</v>
      </c>
      <c r="H169" s="73"/>
      <c r="I169" s="70" t="s">
        <v>354</v>
      </c>
      <c r="J169" s="71"/>
      <c r="K169" s="71"/>
      <c r="L169" s="72"/>
      <c r="M169" s="71"/>
    </row>
    <row r="170" spans="1:13" x14ac:dyDescent="0.15">
      <c r="A170" s="67"/>
      <c r="B170" s="129">
        <v>165</v>
      </c>
      <c r="C170" s="68" t="s">
        <v>352</v>
      </c>
      <c r="D170" s="69" t="s">
        <v>352</v>
      </c>
      <c r="E170" s="68" t="s">
        <v>352</v>
      </c>
      <c r="F170" s="68" t="s">
        <v>352</v>
      </c>
      <c r="G170" s="68">
        <v>0</v>
      </c>
      <c r="H170" s="73"/>
      <c r="I170" s="70" t="s">
        <v>354</v>
      </c>
      <c r="J170" s="71"/>
      <c r="K170" s="71"/>
      <c r="L170" s="72"/>
      <c r="M170" s="71"/>
    </row>
    <row r="171" spans="1:13" x14ac:dyDescent="0.15">
      <c r="A171" s="67"/>
      <c r="B171" s="129">
        <v>166</v>
      </c>
      <c r="C171" s="68" t="s">
        <v>352</v>
      </c>
      <c r="D171" s="69" t="s">
        <v>352</v>
      </c>
      <c r="E171" s="68" t="s">
        <v>352</v>
      </c>
      <c r="F171" s="68" t="s">
        <v>352</v>
      </c>
      <c r="G171" s="68">
        <v>0</v>
      </c>
      <c r="H171" s="73"/>
      <c r="I171" s="70" t="s">
        <v>354</v>
      </c>
      <c r="J171" s="71"/>
      <c r="K171" s="71"/>
      <c r="L171" s="72"/>
      <c r="M171" s="71"/>
    </row>
    <row r="172" spans="1:13" x14ac:dyDescent="0.15">
      <c r="A172" s="67"/>
      <c r="B172" s="129">
        <v>167</v>
      </c>
      <c r="C172" s="68" t="s">
        <v>352</v>
      </c>
      <c r="D172" s="69" t="s">
        <v>352</v>
      </c>
      <c r="E172" s="68" t="s">
        <v>352</v>
      </c>
      <c r="F172" s="68" t="s">
        <v>352</v>
      </c>
      <c r="G172" s="68">
        <v>0</v>
      </c>
      <c r="H172" s="73"/>
      <c r="I172" s="70" t="s">
        <v>354</v>
      </c>
      <c r="J172" s="71"/>
      <c r="K172" s="71"/>
      <c r="L172" s="72"/>
      <c r="M172" s="71"/>
    </row>
    <row r="173" spans="1:13" x14ac:dyDescent="0.15">
      <c r="A173" s="67"/>
      <c r="B173" s="129">
        <v>168</v>
      </c>
      <c r="C173" s="68" t="s">
        <v>352</v>
      </c>
      <c r="D173" s="69" t="s">
        <v>352</v>
      </c>
      <c r="E173" s="68" t="s">
        <v>352</v>
      </c>
      <c r="F173" s="68" t="s">
        <v>352</v>
      </c>
      <c r="G173" s="68">
        <v>0</v>
      </c>
      <c r="H173" s="73"/>
      <c r="I173" s="70" t="s">
        <v>354</v>
      </c>
      <c r="J173" s="71"/>
      <c r="K173" s="71"/>
      <c r="L173" s="72"/>
      <c r="M173" s="71"/>
    </row>
    <row r="174" spans="1:13" x14ac:dyDescent="0.15">
      <c r="A174" s="67"/>
      <c r="B174" s="129">
        <v>169</v>
      </c>
      <c r="C174" s="68" t="s">
        <v>352</v>
      </c>
      <c r="D174" s="69" t="s">
        <v>352</v>
      </c>
      <c r="E174" s="68" t="s">
        <v>352</v>
      </c>
      <c r="F174" s="68" t="s">
        <v>352</v>
      </c>
      <c r="G174" s="68">
        <v>0</v>
      </c>
      <c r="H174" s="73"/>
      <c r="I174" s="70" t="s">
        <v>354</v>
      </c>
      <c r="J174" s="71"/>
      <c r="K174" s="71"/>
      <c r="L174" s="72"/>
      <c r="M174" s="71"/>
    </row>
    <row r="175" spans="1:13" x14ac:dyDescent="0.15">
      <c r="A175" s="67"/>
      <c r="B175" s="129">
        <v>170</v>
      </c>
      <c r="C175" s="68" t="s">
        <v>352</v>
      </c>
      <c r="D175" s="69" t="s">
        <v>352</v>
      </c>
      <c r="E175" s="68" t="s">
        <v>352</v>
      </c>
      <c r="F175" s="68" t="s">
        <v>352</v>
      </c>
      <c r="G175" s="68">
        <v>0</v>
      </c>
      <c r="H175" s="73"/>
      <c r="I175" s="70" t="s">
        <v>354</v>
      </c>
      <c r="J175" s="71"/>
      <c r="K175" s="71"/>
      <c r="L175" s="72"/>
      <c r="M175" s="71"/>
    </row>
    <row r="176" spans="1:13" x14ac:dyDescent="0.15">
      <c r="A176" s="67"/>
      <c r="B176" s="129">
        <v>171</v>
      </c>
      <c r="C176" s="68" t="s">
        <v>352</v>
      </c>
      <c r="D176" s="69" t="s">
        <v>352</v>
      </c>
      <c r="E176" s="68" t="s">
        <v>352</v>
      </c>
      <c r="F176" s="68" t="s">
        <v>352</v>
      </c>
      <c r="G176" s="68">
        <v>0</v>
      </c>
      <c r="H176" s="73"/>
      <c r="I176" s="70" t="s">
        <v>354</v>
      </c>
      <c r="J176" s="71"/>
      <c r="K176" s="71"/>
      <c r="L176" s="72"/>
      <c r="M176" s="71"/>
    </row>
    <row r="177" spans="1:13" x14ac:dyDescent="0.15">
      <c r="A177" s="67"/>
      <c r="B177" s="129">
        <v>172</v>
      </c>
      <c r="C177" s="68" t="s">
        <v>352</v>
      </c>
      <c r="D177" s="69" t="s">
        <v>352</v>
      </c>
      <c r="E177" s="68" t="s">
        <v>352</v>
      </c>
      <c r="F177" s="68" t="s">
        <v>352</v>
      </c>
      <c r="G177" s="68">
        <v>0</v>
      </c>
      <c r="H177" s="73"/>
      <c r="I177" s="70" t="s">
        <v>354</v>
      </c>
      <c r="J177" s="71"/>
      <c r="K177" s="71"/>
      <c r="L177" s="72"/>
      <c r="M177" s="71"/>
    </row>
    <row r="178" spans="1:13" x14ac:dyDescent="0.15">
      <c r="A178" s="67"/>
      <c r="B178" s="129">
        <v>173</v>
      </c>
      <c r="C178" s="68" t="s">
        <v>352</v>
      </c>
      <c r="D178" s="69" t="s">
        <v>352</v>
      </c>
      <c r="E178" s="68" t="s">
        <v>352</v>
      </c>
      <c r="F178" s="68" t="s">
        <v>352</v>
      </c>
      <c r="G178" s="68">
        <v>0</v>
      </c>
      <c r="H178" s="73"/>
      <c r="I178" s="70" t="s">
        <v>354</v>
      </c>
      <c r="J178" s="71"/>
      <c r="K178" s="71"/>
      <c r="L178" s="72"/>
      <c r="M178" s="71"/>
    </row>
    <row r="179" spans="1:13" x14ac:dyDescent="0.15">
      <c r="A179" s="67"/>
      <c r="B179" s="129">
        <v>174</v>
      </c>
      <c r="C179" s="68" t="s">
        <v>352</v>
      </c>
      <c r="D179" s="69" t="s">
        <v>352</v>
      </c>
      <c r="E179" s="68" t="s">
        <v>352</v>
      </c>
      <c r="F179" s="68" t="s">
        <v>352</v>
      </c>
      <c r="G179" s="68">
        <v>0</v>
      </c>
      <c r="H179" s="73"/>
      <c r="I179" s="70" t="s">
        <v>354</v>
      </c>
      <c r="J179" s="71"/>
      <c r="K179" s="71"/>
      <c r="L179" s="72"/>
      <c r="M179" s="71"/>
    </row>
    <row r="180" spans="1:13" x14ac:dyDescent="0.15">
      <c r="A180" s="67"/>
      <c r="B180" s="129">
        <v>175</v>
      </c>
      <c r="C180" s="68" t="s">
        <v>352</v>
      </c>
      <c r="D180" s="69" t="s">
        <v>352</v>
      </c>
      <c r="E180" s="68" t="s">
        <v>352</v>
      </c>
      <c r="F180" s="68" t="s">
        <v>352</v>
      </c>
      <c r="G180" s="68">
        <v>0</v>
      </c>
      <c r="H180" s="73"/>
      <c r="I180" s="70" t="s">
        <v>354</v>
      </c>
      <c r="J180" s="71"/>
      <c r="K180" s="71"/>
      <c r="L180" s="72"/>
      <c r="M180" s="71"/>
    </row>
    <row r="181" spans="1:13" x14ac:dyDescent="0.15">
      <c r="A181" s="67"/>
      <c r="B181" s="129">
        <v>176</v>
      </c>
      <c r="C181" s="68" t="s">
        <v>352</v>
      </c>
      <c r="D181" s="69" t="s">
        <v>352</v>
      </c>
      <c r="E181" s="68" t="s">
        <v>352</v>
      </c>
      <c r="F181" s="68" t="s">
        <v>352</v>
      </c>
      <c r="G181" s="68">
        <v>0</v>
      </c>
      <c r="H181" s="73"/>
      <c r="I181" s="70" t="s">
        <v>354</v>
      </c>
      <c r="J181" s="71"/>
      <c r="K181" s="71"/>
      <c r="L181" s="72"/>
      <c r="M181" s="71"/>
    </row>
    <row r="182" spans="1:13" x14ac:dyDescent="0.15">
      <c r="A182" s="67"/>
      <c r="B182" s="129">
        <v>177</v>
      </c>
      <c r="C182" s="68" t="s">
        <v>352</v>
      </c>
      <c r="D182" s="69" t="s">
        <v>352</v>
      </c>
      <c r="E182" s="68" t="s">
        <v>352</v>
      </c>
      <c r="F182" s="68" t="s">
        <v>352</v>
      </c>
      <c r="G182" s="68">
        <v>0</v>
      </c>
      <c r="H182" s="73"/>
      <c r="I182" s="70" t="s">
        <v>354</v>
      </c>
      <c r="J182" s="71"/>
      <c r="K182" s="71"/>
      <c r="L182" s="72"/>
      <c r="M182" s="71"/>
    </row>
    <row r="183" spans="1:13" x14ac:dyDescent="0.15">
      <c r="A183" s="67"/>
      <c r="B183" s="129">
        <v>178</v>
      </c>
      <c r="C183" s="68" t="s">
        <v>352</v>
      </c>
      <c r="D183" s="69" t="s">
        <v>352</v>
      </c>
      <c r="E183" s="68" t="s">
        <v>352</v>
      </c>
      <c r="F183" s="68" t="s">
        <v>352</v>
      </c>
      <c r="G183" s="68">
        <v>0</v>
      </c>
      <c r="H183" s="73"/>
      <c r="I183" s="70" t="s">
        <v>354</v>
      </c>
      <c r="J183" s="71"/>
      <c r="K183" s="71"/>
      <c r="L183" s="72"/>
      <c r="M183" s="71"/>
    </row>
    <row r="184" spans="1:13" x14ac:dyDescent="0.15">
      <c r="A184" s="67"/>
      <c r="B184" s="129">
        <v>179</v>
      </c>
      <c r="C184" s="68" t="s">
        <v>352</v>
      </c>
      <c r="D184" s="69" t="s">
        <v>352</v>
      </c>
      <c r="E184" s="68" t="s">
        <v>352</v>
      </c>
      <c r="F184" s="68" t="s">
        <v>352</v>
      </c>
      <c r="G184" s="68">
        <v>0</v>
      </c>
      <c r="H184" s="73"/>
      <c r="I184" s="70" t="s">
        <v>354</v>
      </c>
      <c r="J184" s="71"/>
      <c r="K184" s="71"/>
      <c r="L184" s="72"/>
      <c r="M184" s="71"/>
    </row>
    <row r="185" spans="1:13" x14ac:dyDescent="0.15">
      <c r="A185" s="67"/>
      <c r="B185" s="129">
        <v>180</v>
      </c>
      <c r="C185" s="68" t="s">
        <v>352</v>
      </c>
      <c r="D185" s="69" t="s">
        <v>352</v>
      </c>
      <c r="E185" s="68" t="s">
        <v>352</v>
      </c>
      <c r="F185" s="68" t="s">
        <v>352</v>
      </c>
      <c r="G185" s="68">
        <v>0</v>
      </c>
      <c r="H185" s="73"/>
      <c r="I185" s="70" t="s">
        <v>354</v>
      </c>
      <c r="J185" s="71"/>
      <c r="K185" s="71"/>
      <c r="L185" s="72"/>
      <c r="M185" s="71"/>
    </row>
    <row r="186" spans="1:13" x14ac:dyDescent="0.15">
      <c r="A186" s="67"/>
      <c r="B186" s="129">
        <v>181</v>
      </c>
      <c r="C186" s="68" t="s">
        <v>352</v>
      </c>
      <c r="D186" s="69" t="s">
        <v>352</v>
      </c>
      <c r="E186" s="68" t="s">
        <v>352</v>
      </c>
      <c r="F186" s="68" t="s">
        <v>352</v>
      </c>
      <c r="G186" s="68">
        <v>0</v>
      </c>
      <c r="H186" s="73"/>
      <c r="I186" s="70" t="s">
        <v>354</v>
      </c>
      <c r="J186" s="71"/>
      <c r="K186" s="71"/>
      <c r="L186" s="72"/>
      <c r="M186" s="71"/>
    </row>
    <row r="187" spans="1:13" x14ac:dyDescent="0.15">
      <c r="A187" s="67"/>
      <c r="B187" s="129">
        <v>182</v>
      </c>
      <c r="C187" s="68" t="s">
        <v>352</v>
      </c>
      <c r="D187" s="69" t="s">
        <v>352</v>
      </c>
      <c r="E187" s="68" t="s">
        <v>352</v>
      </c>
      <c r="F187" s="68" t="s">
        <v>352</v>
      </c>
      <c r="G187" s="68">
        <v>0</v>
      </c>
      <c r="H187" s="73"/>
      <c r="I187" s="70" t="s">
        <v>354</v>
      </c>
      <c r="J187" s="71"/>
      <c r="K187" s="71"/>
      <c r="L187" s="72"/>
      <c r="M187" s="71"/>
    </row>
    <row r="188" spans="1:13" x14ac:dyDescent="0.15">
      <c r="A188" s="67"/>
      <c r="B188" s="129">
        <v>183</v>
      </c>
      <c r="C188" s="68" t="s">
        <v>352</v>
      </c>
      <c r="D188" s="69" t="s">
        <v>352</v>
      </c>
      <c r="E188" s="68" t="s">
        <v>352</v>
      </c>
      <c r="F188" s="68" t="s">
        <v>352</v>
      </c>
      <c r="G188" s="68">
        <v>0</v>
      </c>
      <c r="H188" s="73"/>
      <c r="I188" s="70" t="s">
        <v>354</v>
      </c>
      <c r="J188" s="71"/>
      <c r="K188" s="71"/>
      <c r="L188" s="72"/>
      <c r="M188" s="71"/>
    </row>
    <row r="189" spans="1:13" x14ac:dyDescent="0.15">
      <c r="A189" s="67"/>
      <c r="B189" s="129">
        <v>184</v>
      </c>
      <c r="C189" s="68" t="s">
        <v>352</v>
      </c>
      <c r="D189" s="69" t="s">
        <v>352</v>
      </c>
      <c r="E189" s="68" t="s">
        <v>352</v>
      </c>
      <c r="F189" s="68" t="s">
        <v>352</v>
      </c>
      <c r="G189" s="68">
        <v>0</v>
      </c>
      <c r="H189" s="73"/>
      <c r="I189" s="70" t="s">
        <v>354</v>
      </c>
      <c r="J189" s="71"/>
      <c r="K189" s="71"/>
      <c r="L189" s="72"/>
      <c r="M189" s="71"/>
    </row>
    <row r="190" spans="1:13" x14ac:dyDescent="0.15">
      <c r="A190" s="67"/>
      <c r="B190" s="129">
        <v>185</v>
      </c>
      <c r="C190" s="68" t="s">
        <v>352</v>
      </c>
      <c r="D190" s="69" t="s">
        <v>352</v>
      </c>
      <c r="E190" s="68" t="s">
        <v>352</v>
      </c>
      <c r="F190" s="68" t="s">
        <v>352</v>
      </c>
      <c r="G190" s="68">
        <v>0</v>
      </c>
      <c r="H190" s="73"/>
      <c r="I190" s="70" t="s">
        <v>354</v>
      </c>
      <c r="J190" s="71"/>
      <c r="K190" s="71"/>
      <c r="L190" s="72"/>
      <c r="M190" s="71"/>
    </row>
    <row r="191" spans="1:13" x14ac:dyDescent="0.15">
      <c r="A191" s="67"/>
      <c r="B191" s="129">
        <v>186</v>
      </c>
      <c r="C191" s="68" t="s">
        <v>352</v>
      </c>
      <c r="D191" s="69" t="s">
        <v>352</v>
      </c>
      <c r="E191" s="68" t="s">
        <v>352</v>
      </c>
      <c r="F191" s="68" t="s">
        <v>352</v>
      </c>
      <c r="G191" s="68">
        <v>0</v>
      </c>
      <c r="H191" s="73"/>
      <c r="I191" s="70" t="s">
        <v>354</v>
      </c>
      <c r="J191" s="71"/>
      <c r="K191" s="71"/>
      <c r="L191" s="72"/>
      <c r="M191" s="71"/>
    </row>
    <row r="192" spans="1:13" x14ac:dyDescent="0.15">
      <c r="A192" s="67"/>
      <c r="B192" s="129">
        <v>187</v>
      </c>
      <c r="C192" s="68" t="s">
        <v>352</v>
      </c>
      <c r="D192" s="69" t="s">
        <v>352</v>
      </c>
      <c r="E192" s="68" t="s">
        <v>352</v>
      </c>
      <c r="F192" s="68" t="s">
        <v>352</v>
      </c>
      <c r="G192" s="68">
        <v>0</v>
      </c>
      <c r="H192" s="73"/>
      <c r="I192" s="70" t="s">
        <v>354</v>
      </c>
      <c r="J192" s="71"/>
      <c r="K192" s="71"/>
      <c r="L192" s="72"/>
      <c r="M192" s="71"/>
    </row>
    <row r="193" spans="1:13" x14ac:dyDescent="0.15">
      <c r="A193" s="67"/>
      <c r="B193" s="129">
        <v>188</v>
      </c>
      <c r="C193" s="68" t="s">
        <v>352</v>
      </c>
      <c r="D193" s="69" t="s">
        <v>352</v>
      </c>
      <c r="E193" s="68" t="s">
        <v>352</v>
      </c>
      <c r="F193" s="68" t="s">
        <v>352</v>
      </c>
      <c r="G193" s="68">
        <v>0</v>
      </c>
      <c r="H193" s="73"/>
      <c r="I193" s="70" t="s">
        <v>354</v>
      </c>
      <c r="J193" s="71"/>
      <c r="K193" s="71"/>
      <c r="L193" s="72"/>
      <c r="M193" s="71"/>
    </row>
    <row r="194" spans="1:13" x14ac:dyDescent="0.15">
      <c r="A194" s="67"/>
      <c r="B194" s="129">
        <v>189</v>
      </c>
      <c r="C194" s="68" t="s">
        <v>352</v>
      </c>
      <c r="D194" s="69" t="s">
        <v>352</v>
      </c>
      <c r="E194" s="68" t="s">
        <v>352</v>
      </c>
      <c r="F194" s="68" t="s">
        <v>352</v>
      </c>
      <c r="G194" s="68">
        <v>0</v>
      </c>
      <c r="H194" s="73"/>
      <c r="I194" s="70" t="s">
        <v>354</v>
      </c>
      <c r="J194" s="71"/>
      <c r="K194" s="71"/>
      <c r="L194" s="72"/>
      <c r="M194" s="71"/>
    </row>
    <row r="195" spans="1:13" x14ac:dyDescent="0.15">
      <c r="A195" s="67"/>
      <c r="B195" s="129">
        <v>190</v>
      </c>
      <c r="C195" s="68" t="s">
        <v>352</v>
      </c>
      <c r="D195" s="69" t="s">
        <v>352</v>
      </c>
      <c r="E195" s="68" t="s">
        <v>352</v>
      </c>
      <c r="F195" s="68" t="s">
        <v>352</v>
      </c>
      <c r="G195" s="68">
        <v>0</v>
      </c>
      <c r="H195" s="73"/>
      <c r="I195" s="70" t="s">
        <v>354</v>
      </c>
      <c r="J195" s="71"/>
      <c r="K195" s="71"/>
      <c r="L195" s="72"/>
      <c r="M195" s="71"/>
    </row>
    <row r="196" spans="1:13" x14ac:dyDescent="0.15">
      <c r="A196" s="67"/>
      <c r="B196" s="129">
        <v>191</v>
      </c>
      <c r="C196" s="68" t="s">
        <v>352</v>
      </c>
      <c r="D196" s="69" t="s">
        <v>352</v>
      </c>
      <c r="E196" s="68" t="s">
        <v>352</v>
      </c>
      <c r="F196" s="68" t="s">
        <v>352</v>
      </c>
      <c r="G196" s="68">
        <v>0</v>
      </c>
      <c r="H196" s="73"/>
      <c r="I196" s="70" t="s">
        <v>354</v>
      </c>
      <c r="J196" s="71"/>
      <c r="K196" s="71"/>
      <c r="L196" s="72"/>
      <c r="M196" s="71"/>
    </row>
    <row r="197" spans="1:13" x14ac:dyDescent="0.15">
      <c r="A197" s="67"/>
      <c r="B197" s="129">
        <v>192</v>
      </c>
      <c r="C197" s="68" t="s">
        <v>352</v>
      </c>
      <c r="D197" s="69" t="s">
        <v>352</v>
      </c>
      <c r="E197" s="68" t="s">
        <v>352</v>
      </c>
      <c r="F197" s="68" t="s">
        <v>352</v>
      </c>
      <c r="G197" s="68">
        <v>0</v>
      </c>
      <c r="H197" s="73"/>
      <c r="I197" s="70" t="s">
        <v>354</v>
      </c>
      <c r="J197" s="71"/>
      <c r="K197" s="71"/>
      <c r="L197" s="72"/>
      <c r="M197" s="71"/>
    </row>
    <row r="198" spans="1:13" x14ac:dyDescent="0.15">
      <c r="A198" s="67"/>
      <c r="B198" s="129">
        <v>193</v>
      </c>
      <c r="C198" s="68" t="s">
        <v>352</v>
      </c>
      <c r="D198" s="69" t="s">
        <v>352</v>
      </c>
      <c r="E198" s="68" t="s">
        <v>352</v>
      </c>
      <c r="F198" s="68" t="s">
        <v>352</v>
      </c>
      <c r="G198" s="68">
        <v>0</v>
      </c>
      <c r="H198" s="73"/>
      <c r="I198" s="70" t="s">
        <v>354</v>
      </c>
      <c r="J198" s="71"/>
      <c r="K198" s="71"/>
      <c r="L198" s="72"/>
      <c r="M198" s="71"/>
    </row>
    <row r="199" spans="1:13" x14ac:dyDescent="0.15">
      <c r="A199" s="67"/>
      <c r="B199" s="129">
        <v>194</v>
      </c>
      <c r="C199" s="68" t="s">
        <v>352</v>
      </c>
      <c r="D199" s="69" t="s">
        <v>352</v>
      </c>
      <c r="E199" s="68" t="s">
        <v>352</v>
      </c>
      <c r="F199" s="68" t="s">
        <v>352</v>
      </c>
      <c r="G199" s="68">
        <v>0</v>
      </c>
      <c r="H199" s="73"/>
      <c r="I199" s="70" t="s">
        <v>354</v>
      </c>
      <c r="J199" s="71"/>
      <c r="K199" s="71"/>
      <c r="L199" s="72"/>
      <c r="M199" s="71"/>
    </row>
    <row r="200" spans="1:13" x14ac:dyDescent="0.15">
      <c r="A200" s="67"/>
      <c r="B200" s="129">
        <v>195</v>
      </c>
      <c r="C200" s="68" t="s">
        <v>352</v>
      </c>
      <c r="D200" s="69" t="s">
        <v>352</v>
      </c>
      <c r="E200" s="68" t="s">
        <v>352</v>
      </c>
      <c r="F200" s="68" t="s">
        <v>352</v>
      </c>
      <c r="G200" s="68">
        <v>0</v>
      </c>
      <c r="H200" s="73"/>
      <c r="I200" s="70" t="s">
        <v>354</v>
      </c>
      <c r="J200" s="71"/>
      <c r="K200" s="71"/>
      <c r="L200" s="72"/>
      <c r="M200" s="71"/>
    </row>
    <row r="201" spans="1:13" x14ac:dyDescent="0.15">
      <c r="A201" s="67"/>
      <c r="B201" s="129">
        <v>196</v>
      </c>
      <c r="C201" s="68" t="s">
        <v>352</v>
      </c>
      <c r="D201" s="69" t="s">
        <v>352</v>
      </c>
      <c r="E201" s="68" t="s">
        <v>352</v>
      </c>
      <c r="F201" s="68" t="s">
        <v>352</v>
      </c>
      <c r="G201" s="68">
        <v>0</v>
      </c>
      <c r="H201" s="73"/>
      <c r="I201" s="70" t="s">
        <v>354</v>
      </c>
      <c r="J201" s="71"/>
      <c r="K201" s="71"/>
      <c r="L201" s="72"/>
      <c r="M201" s="71"/>
    </row>
    <row r="202" spans="1:13" x14ac:dyDescent="0.15">
      <c r="A202" s="67"/>
      <c r="B202" s="129">
        <v>197</v>
      </c>
      <c r="C202" s="68" t="s">
        <v>352</v>
      </c>
      <c r="D202" s="69" t="s">
        <v>352</v>
      </c>
      <c r="E202" s="68" t="s">
        <v>352</v>
      </c>
      <c r="F202" s="68" t="s">
        <v>352</v>
      </c>
      <c r="G202" s="68">
        <v>0</v>
      </c>
      <c r="H202" s="73"/>
      <c r="I202" s="70" t="s">
        <v>354</v>
      </c>
      <c r="J202" s="71"/>
      <c r="K202" s="71"/>
      <c r="L202" s="72"/>
      <c r="M202" s="71"/>
    </row>
    <row r="203" spans="1:13" x14ac:dyDescent="0.15">
      <c r="A203" s="67"/>
      <c r="B203" s="129">
        <v>198</v>
      </c>
      <c r="C203" s="68" t="s">
        <v>352</v>
      </c>
      <c r="D203" s="69" t="s">
        <v>352</v>
      </c>
      <c r="E203" s="68" t="s">
        <v>352</v>
      </c>
      <c r="F203" s="68" t="s">
        <v>352</v>
      </c>
      <c r="G203" s="68">
        <v>0</v>
      </c>
      <c r="H203" s="73"/>
      <c r="I203" s="70" t="s">
        <v>354</v>
      </c>
      <c r="J203" s="71"/>
      <c r="K203" s="71"/>
      <c r="L203" s="72"/>
      <c r="M203" s="71"/>
    </row>
    <row r="204" spans="1:13" x14ac:dyDescent="0.15">
      <c r="A204" s="67"/>
      <c r="B204" s="129">
        <v>199</v>
      </c>
      <c r="C204" s="68" t="s">
        <v>352</v>
      </c>
      <c r="D204" s="69" t="s">
        <v>352</v>
      </c>
      <c r="E204" s="68" t="s">
        <v>352</v>
      </c>
      <c r="F204" s="68" t="s">
        <v>352</v>
      </c>
      <c r="G204" s="68">
        <v>0</v>
      </c>
      <c r="H204" s="73"/>
      <c r="I204" s="70" t="s">
        <v>354</v>
      </c>
      <c r="J204" s="71"/>
      <c r="K204" s="71"/>
      <c r="L204" s="72"/>
      <c r="M204" s="71"/>
    </row>
    <row r="205" spans="1:13" x14ac:dyDescent="0.15">
      <c r="A205" s="67"/>
      <c r="B205" s="129">
        <v>200</v>
      </c>
      <c r="C205" s="68" t="s">
        <v>352</v>
      </c>
      <c r="D205" s="69" t="s">
        <v>352</v>
      </c>
      <c r="E205" s="68" t="s">
        <v>352</v>
      </c>
      <c r="F205" s="68" t="s">
        <v>352</v>
      </c>
      <c r="G205" s="68">
        <v>0</v>
      </c>
      <c r="H205" s="73"/>
      <c r="I205" s="70" t="s">
        <v>354</v>
      </c>
      <c r="J205" s="71"/>
      <c r="K205" s="71"/>
      <c r="L205" s="72"/>
      <c r="M205" s="71"/>
    </row>
    <row r="206" spans="1:13" x14ac:dyDescent="0.15">
      <c r="A206" s="67"/>
      <c r="B206" s="74"/>
      <c r="C206" s="75"/>
      <c r="D206" s="69" t="s">
        <v>352</v>
      </c>
      <c r="E206" s="75"/>
      <c r="F206" s="75"/>
      <c r="G206" s="75"/>
      <c r="H206" s="75"/>
      <c r="I206" s="75"/>
      <c r="J206" s="71"/>
      <c r="K206" s="71"/>
      <c r="L206" s="72"/>
      <c r="M206" s="71"/>
    </row>
    <row r="207" spans="1:13" x14ac:dyDescent="0.15">
      <c r="D207" s="69" t="s">
        <v>352</v>
      </c>
    </row>
    <row r="208" spans="1:13" x14ac:dyDescent="0.15">
      <c r="D208" s="69" t="s">
        <v>352</v>
      </c>
    </row>
    <row r="209" spans="4:4" x14ac:dyDescent="0.15">
      <c r="D209" s="69" t="s">
        <v>352</v>
      </c>
    </row>
    <row r="210" spans="4:4" x14ac:dyDescent="0.15">
      <c r="D210" s="69" t="s">
        <v>352</v>
      </c>
    </row>
    <row r="211" spans="4:4" x14ac:dyDescent="0.15">
      <c r="D211" s="69" t="s">
        <v>352</v>
      </c>
    </row>
    <row r="212" spans="4:4" x14ac:dyDescent="0.15">
      <c r="D212" s="69" t="s">
        <v>352</v>
      </c>
    </row>
    <row r="213" spans="4:4" x14ac:dyDescent="0.15">
      <c r="D213" s="69" t="s">
        <v>352</v>
      </c>
    </row>
    <row r="214" spans="4:4" x14ac:dyDescent="0.15">
      <c r="D214" s="69" t="s">
        <v>352</v>
      </c>
    </row>
    <row r="215" spans="4:4" x14ac:dyDescent="0.15">
      <c r="D215" s="69" t="s">
        <v>352</v>
      </c>
    </row>
    <row r="216" spans="4:4" x14ac:dyDescent="0.15">
      <c r="D216" s="69" t="s">
        <v>352</v>
      </c>
    </row>
    <row r="217" spans="4:4" x14ac:dyDescent="0.15">
      <c r="D217" s="69" t="s">
        <v>352</v>
      </c>
    </row>
    <row r="218" spans="4:4" x14ac:dyDescent="0.15">
      <c r="D218" s="69" t="s">
        <v>352</v>
      </c>
    </row>
    <row r="219" spans="4:4" x14ac:dyDescent="0.15">
      <c r="D219" s="69" t="s">
        <v>352</v>
      </c>
    </row>
    <row r="220" spans="4:4" x14ac:dyDescent="0.15">
      <c r="D220" s="69" t="s">
        <v>352</v>
      </c>
    </row>
    <row r="221" spans="4:4" x14ac:dyDescent="0.15">
      <c r="D221" s="69" t="s">
        <v>352</v>
      </c>
    </row>
    <row r="222" spans="4:4" x14ac:dyDescent="0.15">
      <c r="D222" s="69" t="s">
        <v>352</v>
      </c>
    </row>
    <row r="223" spans="4:4" x14ac:dyDescent="0.15">
      <c r="D223" s="69" t="s">
        <v>352</v>
      </c>
    </row>
    <row r="224" spans="4:4" x14ac:dyDescent="0.15">
      <c r="D224" s="69" t="s">
        <v>352</v>
      </c>
    </row>
    <row r="225" spans="4:4" x14ac:dyDescent="0.15">
      <c r="D225" s="69" t="s">
        <v>352</v>
      </c>
    </row>
    <row r="226" spans="4:4" x14ac:dyDescent="0.15">
      <c r="D226" s="69" t="s">
        <v>352</v>
      </c>
    </row>
    <row r="227" spans="4:4" x14ac:dyDescent="0.15">
      <c r="D227" s="69" t="s">
        <v>352</v>
      </c>
    </row>
    <row r="228" spans="4:4" x14ac:dyDescent="0.15">
      <c r="D228" s="69" t="s">
        <v>352</v>
      </c>
    </row>
    <row r="229" spans="4:4" x14ac:dyDescent="0.15">
      <c r="D229" s="69" t="s">
        <v>352</v>
      </c>
    </row>
    <row r="230" spans="4:4" x14ac:dyDescent="0.15">
      <c r="D230" s="69" t="s">
        <v>352</v>
      </c>
    </row>
    <row r="231" spans="4:4" x14ac:dyDescent="0.15">
      <c r="D231" s="69" t="s">
        <v>352</v>
      </c>
    </row>
    <row r="232" spans="4:4" x14ac:dyDescent="0.15">
      <c r="D232" s="69" t="s">
        <v>352</v>
      </c>
    </row>
    <row r="233" spans="4:4" x14ac:dyDescent="0.15">
      <c r="D233" s="69" t="s">
        <v>352</v>
      </c>
    </row>
    <row r="234" spans="4:4" x14ac:dyDescent="0.15">
      <c r="D234" s="69" t="s">
        <v>352</v>
      </c>
    </row>
    <row r="235" spans="4:4" x14ac:dyDescent="0.15">
      <c r="D235" s="69" t="s">
        <v>352</v>
      </c>
    </row>
    <row r="236" spans="4:4" x14ac:dyDescent="0.15">
      <c r="D236" s="69" t="s">
        <v>352</v>
      </c>
    </row>
    <row r="237" spans="4:4" x14ac:dyDescent="0.15">
      <c r="D237" s="69" t="s">
        <v>352</v>
      </c>
    </row>
    <row r="238" spans="4:4" x14ac:dyDescent="0.15">
      <c r="D238" s="69" t="s">
        <v>352</v>
      </c>
    </row>
    <row r="239" spans="4:4" x14ac:dyDescent="0.15">
      <c r="D239" s="69" t="s">
        <v>352</v>
      </c>
    </row>
    <row r="240" spans="4:4" x14ac:dyDescent="0.15">
      <c r="D240" s="69" t="s">
        <v>352</v>
      </c>
    </row>
    <row r="241" spans="4:4" x14ac:dyDescent="0.15">
      <c r="D241" s="69" t="s">
        <v>352</v>
      </c>
    </row>
    <row r="242" spans="4:4" x14ac:dyDescent="0.15">
      <c r="D242" s="69" t="s">
        <v>352</v>
      </c>
    </row>
    <row r="243" spans="4:4" x14ac:dyDescent="0.15">
      <c r="D243" s="69" t="s">
        <v>352</v>
      </c>
    </row>
    <row r="244" spans="4:4" x14ac:dyDescent="0.15">
      <c r="D244" s="69" t="s">
        <v>352</v>
      </c>
    </row>
    <row r="245" spans="4:4" x14ac:dyDescent="0.15">
      <c r="D245" s="69" t="s">
        <v>352</v>
      </c>
    </row>
    <row r="246" spans="4:4" x14ac:dyDescent="0.15">
      <c r="D246" s="69" t="s">
        <v>352</v>
      </c>
    </row>
    <row r="247" spans="4:4" x14ac:dyDescent="0.15">
      <c r="D247" s="69" t="s">
        <v>352</v>
      </c>
    </row>
    <row r="248" spans="4:4" x14ac:dyDescent="0.15">
      <c r="D248" s="69" t="s">
        <v>352</v>
      </c>
    </row>
    <row r="249" spans="4:4" x14ac:dyDescent="0.15">
      <c r="D249" s="69" t="s">
        <v>352</v>
      </c>
    </row>
    <row r="250" spans="4:4" x14ac:dyDescent="0.15">
      <c r="D250" s="69" t="s">
        <v>352</v>
      </c>
    </row>
    <row r="251" spans="4:4" x14ac:dyDescent="0.15">
      <c r="D251" s="69" t="s">
        <v>352</v>
      </c>
    </row>
    <row r="252" spans="4:4" x14ac:dyDescent="0.15">
      <c r="D252" s="69" t="s">
        <v>352</v>
      </c>
    </row>
    <row r="253" spans="4:4" x14ac:dyDescent="0.15">
      <c r="D253" s="69" t="s">
        <v>352</v>
      </c>
    </row>
    <row r="254" spans="4:4" x14ac:dyDescent="0.15">
      <c r="D254" s="69" t="s">
        <v>352</v>
      </c>
    </row>
    <row r="255" spans="4:4" x14ac:dyDescent="0.15">
      <c r="D255" s="69" t="s">
        <v>352</v>
      </c>
    </row>
    <row r="256" spans="4:4" x14ac:dyDescent="0.15">
      <c r="D256" s="69" t="s">
        <v>352</v>
      </c>
    </row>
    <row r="257" spans="4:4" x14ac:dyDescent="0.15">
      <c r="D257" s="69" t="s">
        <v>352</v>
      </c>
    </row>
    <row r="258" spans="4:4" x14ac:dyDescent="0.15">
      <c r="D258" s="69" t="s">
        <v>352</v>
      </c>
    </row>
    <row r="259" spans="4:4" x14ac:dyDescent="0.15">
      <c r="D259" s="69" t="s">
        <v>352</v>
      </c>
    </row>
    <row r="260" spans="4:4" x14ac:dyDescent="0.15">
      <c r="D260" s="69" t="s">
        <v>352</v>
      </c>
    </row>
    <row r="261" spans="4:4" x14ac:dyDescent="0.15">
      <c r="D261" s="69" t="s">
        <v>352</v>
      </c>
    </row>
    <row r="262" spans="4:4" x14ac:dyDescent="0.15">
      <c r="D262" s="69" t="s">
        <v>352</v>
      </c>
    </row>
    <row r="263" spans="4:4" x14ac:dyDescent="0.15">
      <c r="D263" s="69" t="s">
        <v>352</v>
      </c>
    </row>
    <row r="264" spans="4:4" x14ac:dyDescent="0.15">
      <c r="D264" s="69" t="s">
        <v>352</v>
      </c>
    </row>
    <row r="265" spans="4:4" x14ac:dyDescent="0.15">
      <c r="D265" s="69" t="s">
        <v>352</v>
      </c>
    </row>
    <row r="266" spans="4:4" x14ac:dyDescent="0.15">
      <c r="D266" s="69" t="s">
        <v>352</v>
      </c>
    </row>
    <row r="267" spans="4:4" x14ac:dyDescent="0.15">
      <c r="D267" s="69" t="s">
        <v>352</v>
      </c>
    </row>
    <row r="268" spans="4:4" x14ac:dyDescent="0.15">
      <c r="D268" s="69" t="s">
        <v>352</v>
      </c>
    </row>
    <row r="269" spans="4:4" x14ac:dyDescent="0.15">
      <c r="D269" s="69" t="s">
        <v>352</v>
      </c>
    </row>
    <row r="270" spans="4:4" x14ac:dyDescent="0.15">
      <c r="D270" s="69" t="s">
        <v>352</v>
      </c>
    </row>
    <row r="271" spans="4:4" x14ac:dyDescent="0.15">
      <c r="D271" s="69" t="s">
        <v>352</v>
      </c>
    </row>
    <row r="272" spans="4:4" x14ac:dyDescent="0.15">
      <c r="D272" s="69" t="s">
        <v>352</v>
      </c>
    </row>
    <row r="273" spans="4:4" x14ac:dyDescent="0.15">
      <c r="D273" s="69" t="s">
        <v>352</v>
      </c>
    </row>
    <row r="274" spans="4:4" x14ac:dyDescent="0.15">
      <c r="D274" s="69" t="s">
        <v>352</v>
      </c>
    </row>
    <row r="275" spans="4:4" x14ac:dyDescent="0.15">
      <c r="D275" s="69" t="s">
        <v>352</v>
      </c>
    </row>
    <row r="276" spans="4:4" x14ac:dyDescent="0.15">
      <c r="D276" s="69" t="s">
        <v>352</v>
      </c>
    </row>
    <row r="277" spans="4:4" x14ac:dyDescent="0.15">
      <c r="D277" s="69" t="s">
        <v>352</v>
      </c>
    </row>
    <row r="278" spans="4:4" x14ac:dyDescent="0.15">
      <c r="D278" s="69" t="s">
        <v>352</v>
      </c>
    </row>
    <row r="279" spans="4:4" x14ac:dyDescent="0.15">
      <c r="D279" s="69" t="s">
        <v>352</v>
      </c>
    </row>
    <row r="280" spans="4:4" x14ac:dyDescent="0.15">
      <c r="D280" s="69" t="s">
        <v>352</v>
      </c>
    </row>
    <row r="281" spans="4:4" x14ac:dyDescent="0.15">
      <c r="D281" s="69" t="s">
        <v>352</v>
      </c>
    </row>
    <row r="282" spans="4:4" x14ac:dyDescent="0.15">
      <c r="D282" s="69" t="s">
        <v>352</v>
      </c>
    </row>
    <row r="283" spans="4:4" x14ac:dyDescent="0.15">
      <c r="D283" s="69" t="s">
        <v>352</v>
      </c>
    </row>
    <row r="284" spans="4:4" x14ac:dyDescent="0.15">
      <c r="D284" s="69" t="s">
        <v>352</v>
      </c>
    </row>
    <row r="285" spans="4:4" x14ac:dyDescent="0.15">
      <c r="D285" s="69" t="s">
        <v>352</v>
      </c>
    </row>
    <row r="286" spans="4:4" x14ac:dyDescent="0.15">
      <c r="D286" s="69" t="s">
        <v>352</v>
      </c>
    </row>
    <row r="287" spans="4:4" x14ac:dyDescent="0.15">
      <c r="D287" s="69" t="s">
        <v>352</v>
      </c>
    </row>
    <row r="288" spans="4:4" x14ac:dyDescent="0.15">
      <c r="D288" s="69" t="s">
        <v>352</v>
      </c>
    </row>
    <row r="289" spans="4:4" x14ac:dyDescent="0.15">
      <c r="D289" s="69" t="s">
        <v>352</v>
      </c>
    </row>
    <row r="290" spans="4:4" x14ac:dyDescent="0.15">
      <c r="D290" s="69" t="s">
        <v>352</v>
      </c>
    </row>
    <row r="291" spans="4:4" x14ac:dyDescent="0.15">
      <c r="D291" s="69" t="s">
        <v>352</v>
      </c>
    </row>
    <row r="292" spans="4:4" x14ac:dyDescent="0.15">
      <c r="D292" s="69" t="s">
        <v>352</v>
      </c>
    </row>
    <row r="293" spans="4:4" x14ac:dyDescent="0.15">
      <c r="D293" s="69" t="s">
        <v>352</v>
      </c>
    </row>
    <row r="294" spans="4:4" x14ac:dyDescent="0.15">
      <c r="D294" s="69" t="s">
        <v>352</v>
      </c>
    </row>
    <row r="295" spans="4:4" x14ac:dyDescent="0.15">
      <c r="D295" s="69" t="s">
        <v>352</v>
      </c>
    </row>
    <row r="296" spans="4:4" x14ac:dyDescent="0.15">
      <c r="D296" s="69" t="s">
        <v>352</v>
      </c>
    </row>
    <row r="297" spans="4:4" x14ac:dyDescent="0.15">
      <c r="D297" s="69" t="s">
        <v>352</v>
      </c>
    </row>
    <row r="298" spans="4:4" x14ac:dyDescent="0.15">
      <c r="D298" s="69" t="s">
        <v>352</v>
      </c>
    </row>
    <row r="299" spans="4:4" x14ac:dyDescent="0.15">
      <c r="D299" s="69" t="s">
        <v>352</v>
      </c>
    </row>
    <row r="300" spans="4:4" x14ac:dyDescent="0.15">
      <c r="D300" s="69" t="s">
        <v>352</v>
      </c>
    </row>
    <row r="301" spans="4:4" x14ac:dyDescent="0.15">
      <c r="D301" s="69" t="s">
        <v>352</v>
      </c>
    </row>
    <row r="302" spans="4:4" x14ac:dyDescent="0.15">
      <c r="D302" s="69" t="s">
        <v>352</v>
      </c>
    </row>
    <row r="303" spans="4:4" x14ac:dyDescent="0.15">
      <c r="D303" s="69" t="s">
        <v>352</v>
      </c>
    </row>
    <row r="304" spans="4:4" x14ac:dyDescent="0.15">
      <c r="D304" s="69" t="s">
        <v>352</v>
      </c>
    </row>
    <row r="305" spans="4:4" x14ac:dyDescent="0.15">
      <c r="D305" s="69" t="s">
        <v>352</v>
      </c>
    </row>
    <row r="306" spans="4:4" x14ac:dyDescent="0.15">
      <c r="D306" s="69" t="s">
        <v>352</v>
      </c>
    </row>
    <row r="307" spans="4:4" x14ac:dyDescent="0.15">
      <c r="D307" s="69" t="s">
        <v>352</v>
      </c>
    </row>
    <row r="308" spans="4:4" x14ac:dyDescent="0.15">
      <c r="D308" s="69" t="s">
        <v>352</v>
      </c>
    </row>
    <row r="309" spans="4:4" x14ac:dyDescent="0.15">
      <c r="D309" s="69" t="s">
        <v>352</v>
      </c>
    </row>
    <row r="310" spans="4:4" x14ac:dyDescent="0.15">
      <c r="D310" s="69" t="s">
        <v>352</v>
      </c>
    </row>
    <row r="311" spans="4:4" x14ac:dyDescent="0.15">
      <c r="D311" s="69" t="s">
        <v>352</v>
      </c>
    </row>
    <row r="312" spans="4:4" x14ac:dyDescent="0.15">
      <c r="D312" s="69" t="s">
        <v>352</v>
      </c>
    </row>
    <row r="313" spans="4:4" x14ac:dyDescent="0.15">
      <c r="D313" s="69" t="s">
        <v>352</v>
      </c>
    </row>
    <row r="314" spans="4:4" x14ac:dyDescent="0.15">
      <c r="D314" s="69" t="s">
        <v>352</v>
      </c>
    </row>
    <row r="315" spans="4:4" x14ac:dyDescent="0.15">
      <c r="D315" s="69" t="s">
        <v>352</v>
      </c>
    </row>
    <row r="316" spans="4:4" x14ac:dyDescent="0.15">
      <c r="D316" s="69" t="s">
        <v>352</v>
      </c>
    </row>
    <row r="317" spans="4:4" x14ac:dyDescent="0.15">
      <c r="D317" s="69" t="s">
        <v>352</v>
      </c>
    </row>
    <row r="318" spans="4:4" x14ac:dyDescent="0.15">
      <c r="D318" s="69" t="s">
        <v>352</v>
      </c>
    </row>
    <row r="319" spans="4:4" x14ac:dyDescent="0.15">
      <c r="D319" s="69" t="s">
        <v>352</v>
      </c>
    </row>
    <row r="320" spans="4:4" x14ac:dyDescent="0.15">
      <c r="D320" s="69" t="s">
        <v>352</v>
      </c>
    </row>
    <row r="321" spans="4:4" x14ac:dyDescent="0.15">
      <c r="D321" s="69" t="s">
        <v>352</v>
      </c>
    </row>
    <row r="322" spans="4:4" x14ac:dyDescent="0.15">
      <c r="D322" s="69" t="s">
        <v>352</v>
      </c>
    </row>
    <row r="323" spans="4:4" x14ac:dyDescent="0.15">
      <c r="D323" s="69" t="s">
        <v>352</v>
      </c>
    </row>
    <row r="324" spans="4:4" x14ac:dyDescent="0.15">
      <c r="D324" s="69" t="s">
        <v>352</v>
      </c>
    </row>
    <row r="325" spans="4:4" x14ac:dyDescent="0.15">
      <c r="D325" s="69" t="s">
        <v>352</v>
      </c>
    </row>
    <row r="326" spans="4:4" x14ac:dyDescent="0.15">
      <c r="D326" s="69" t="s">
        <v>352</v>
      </c>
    </row>
    <row r="327" spans="4:4" x14ac:dyDescent="0.15">
      <c r="D327" s="69" t="s">
        <v>352</v>
      </c>
    </row>
    <row r="328" spans="4:4" x14ac:dyDescent="0.15">
      <c r="D328" s="69" t="s">
        <v>352</v>
      </c>
    </row>
    <row r="329" spans="4:4" x14ac:dyDescent="0.15">
      <c r="D329" s="69" t="s">
        <v>352</v>
      </c>
    </row>
    <row r="330" spans="4:4" x14ac:dyDescent="0.15">
      <c r="D330" s="69" t="s">
        <v>352</v>
      </c>
    </row>
    <row r="331" spans="4:4" x14ac:dyDescent="0.15">
      <c r="D331" s="69" t="s">
        <v>352</v>
      </c>
    </row>
    <row r="332" spans="4:4" x14ac:dyDescent="0.15">
      <c r="D332" s="69" t="s">
        <v>352</v>
      </c>
    </row>
    <row r="333" spans="4:4" x14ac:dyDescent="0.15">
      <c r="D333" s="69" t="s">
        <v>352</v>
      </c>
    </row>
    <row r="334" spans="4:4" x14ac:dyDescent="0.15">
      <c r="D334" s="69" t="s">
        <v>352</v>
      </c>
    </row>
    <row r="335" spans="4:4" x14ac:dyDescent="0.15">
      <c r="D335" s="69" t="s">
        <v>352</v>
      </c>
    </row>
    <row r="336" spans="4:4" x14ac:dyDescent="0.15">
      <c r="D336" s="69" t="s">
        <v>352</v>
      </c>
    </row>
    <row r="337" spans="4:4" x14ac:dyDescent="0.15">
      <c r="D337" s="69" t="s">
        <v>352</v>
      </c>
    </row>
    <row r="338" spans="4:4" x14ac:dyDescent="0.15">
      <c r="D338" s="69" t="s">
        <v>352</v>
      </c>
    </row>
    <row r="339" spans="4:4" x14ac:dyDescent="0.15">
      <c r="D339" s="69" t="s">
        <v>352</v>
      </c>
    </row>
    <row r="340" spans="4:4" x14ac:dyDescent="0.15">
      <c r="D340" s="69" t="s">
        <v>352</v>
      </c>
    </row>
    <row r="341" spans="4:4" x14ac:dyDescent="0.15">
      <c r="D341" s="69" t="s">
        <v>352</v>
      </c>
    </row>
    <row r="342" spans="4:4" x14ac:dyDescent="0.15">
      <c r="D342" s="69" t="s">
        <v>352</v>
      </c>
    </row>
    <row r="343" spans="4:4" x14ac:dyDescent="0.15">
      <c r="D343" s="69" t="s">
        <v>352</v>
      </c>
    </row>
    <row r="344" spans="4:4" x14ac:dyDescent="0.15">
      <c r="D344" s="69" t="s">
        <v>352</v>
      </c>
    </row>
    <row r="345" spans="4:4" x14ac:dyDescent="0.15">
      <c r="D345" s="69" t="s">
        <v>352</v>
      </c>
    </row>
    <row r="346" spans="4:4" x14ac:dyDescent="0.15">
      <c r="D346" s="69" t="s">
        <v>352</v>
      </c>
    </row>
    <row r="347" spans="4:4" x14ac:dyDescent="0.15">
      <c r="D347" s="69" t="s">
        <v>352</v>
      </c>
    </row>
    <row r="348" spans="4:4" x14ac:dyDescent="0.15">
      <c r="D348" s="69" t="s">
        <v>352</v>
      </c>
    </row>
    <row r="349" spans="4:4" x14ac:dyDescent="0.15">
      <c r="D349" s="69" t="s">
        <v>352</v>
      </c>
    </row>
    <row r="350" spans="4:4" x14ac:dyDescent="0.15">
      <c r="D350" s="69" t="s">
        <v>352</v>
      </c>
    </row>
    <row r="351" spans="4:4" x14ac:dyDescent="0.15">
      <c r="D351" s="69" t="s">
        <v>352</v>
      </c>
    </row>
    <row r="352" spans="4:4" x14ac:dyDescent="0.15">
      <c r="D352" s="69" t="s">
        <v>352</v>
      </c>
    </row>
    <row r="353" spans="4:4" x14ac:dyDescent="0.15">
      <c r="D353" s="69" t="s">
        <v>352</v>
      </c>
    </row>
    <row r="354" spans="4:4" x14ac:dyDescent="0.15">
      <c r="D354" s="69" t="s">
        <v>352</v>
      </c>
    </row>
    <row r="355" spans="4:4" x14ac:dyDescent="0.15">
      <c r="D355" s="69" t="s">
        <v>352</v>
      </c>
    </row>
    <row r="356" spans="4:4" x14ac:dyDescent="0.15">
      <c r="D356" s="69" t="s">
        <v>352</v>
      </c>
    </row>
    <row r="357" spans="4:4" x14ac:dyDescent="0.15">
      <c r="D357" s="69" t="s">
        <v>352</v>
      </c>
    </row>
    <row r="358" spans="4:4" x14ac:dyDescent="0.15">
      <c r="D358" s="69" t="s">
        <v>352</v>
      </c>
    </row>
    <row r="359" spans="4:4" x14ac:dyDescent="0.15">
      <c r="D359" s="69" t="s">
        <v>352</v>
      </c>
    </row>
    <row r="360" spans="4:4" x14ac:dyDescent="0.15">
      <c r="D360" s="69" t="s">
        <v>352</v>
      </c>
    </row>
    <row r="361" spans="4:4" x14ac:dyDescent="0.15">
      <c r="D361" s="69" t="s">
        <v>352</v>
      </c>
    </row>
    <row r="362" spans="4:4" x14ac:dyDescent="0.15">
      <c r="D362" s="69" t="s">
        <v>352</v>
      </c>
    </row>
    <row r="363" spans="4:4" x14ac:dyDescent="0.15">
      <c r="D363" s="69" t="s">
        <v>352</v>
      </c>
    </row>
    <row r="364" spans="4:4" x14ac:dyDescent="0.15">
      <c r="D364" s="69" t="s">
        <v>352</v>
      </c>
    </row>
    <row r="365" spans="4:4" x14ac:dyDescent="0.15">
      <c r="D365" s="69" t="s">
        <v>352</v>
      </c>
    </row>
    <row r="366" spans="4:4" x14ac:dyDescent="0.15">
      <c r="D366" s="69" t="s">
        <v>352</v>
      </c>
    </row>
    <row r="367" spans="4:4" x14ac:dyDescent="0.15">
      <c r="D367" s="69" t="s">
        <v>352</v>
      </c>
    </row>
    <row r="368" spans="4:4" x14ac:dyDescent="0.15">
      <c r="D368" s="69" t="s">
        <v>352</v>
      </c>
    </row>
    <row r="369" spans="4:4" x14ac:dyDescent="0.15">
      <c r="D369" s="69" t="s">
        <v>352</v>
      </c>
    </row>
    <row r="370" spans="4:4" x14ac:dyDescent="0.15">
      <c r="D370" s="69" t="s">
        <v>352</v>
      </c>
    </row>
    <row r="371" spans="4:4" x14ac:dyDescent="0.15">
      <c r="D371" s="69" t="s">
        <v>352</v>
      </c>
    </row>
    <row r="372" spans="4:4" x14ac:dyDescent="0.15">
      <c r="D372" s="69" t="s">
        <v>352</v>
      </c>
    </row>
    <row r="373" spans="4:4" x14ac:dyDescent="0.15">
      <c r="D373" s="69" t="s">
        <v>352</v>
      </c>
    </row>
    <row r="374" spans="4:4" x14ac:dyDescent="0.15">
      <c r="D374" s="69" t="s">
        <v>352</v>
      </c>
    </row>
    <row r="375" spans="4:4" x14ac:dyDescent="0.15">
      <c r="D375" s="69" t="s">
        <v>352</v>
      </c>
    </row>
    <row r="376" spans="4:4" x14ac:dyDescent="0.15">
      <c r="D376" s="69" t="s">
        <v>352</v>
      </c>
    </row>
    <row r="377" spans="4:4" x14ac:dyDescent="0.15">
      <c r="D377" s="69" t="s">
        <v>352</v>
      </c>
    </row>
    <row r="378" spans="4:4" x14ac:dyDescent="0.15">
      <c r="D378" s="69" t="s">
        <v>352</v>
      </c>
    </row>
    <row r="379" spans="4:4" x14ac:dyDescent="0.15">
      <c r="D379" s="69" t="s">
        <v>352</v>
      </c>
    </row>
    <row r="380" spans="4:4" x14ac:dyDescent="0.15">
      <c r="D380" s="69" t="s">
        <v>352</v>
      </c>
    </row>
    <row r="381" spans="4:4" x14ac:dyDescent="0.15">
      <c r="D381" s="69" t="s">
        <v>352</v>
      </c>
    </row>
    <row r="382" spans="4:4" x14ac:dyDescent="0.15">
      <c r="D382" s="69" t="s">
        <v>352</v>
      </c>
    </row>
    <row r="383" spans="4:4" x14ac:dyDescent="0.15">
      <c r="D383" s="69" t="s">
        <v>352</v>
      </c>
    </row>
    <row r="384" spans="4:4" x14ac:dyDescent="0.15">
      <c r="D384" s="69" t="s">
        <v>352</v>
      </c>
    </row>
    <row r="385" spans="4:4" x14ac:dyDescent="0.15">
      <c r="D385" s="69" t="s">
        <v>352</v>
      </c>
    </row>
    <row r="386" spans="4:4" x14ac:dyDescent="0.15">
      <c r="D386" s="69" t="s">
        <v>352</v>
      </c>
    </row>
    <row r="387" spans="4:4" x14ac:dyDescent="0.15">
      <c r="D387" s="69" t="s">
        <v>352</v>
      </c>
    </row>
    <row r="388" spans="4:4" x14ac:dyDescent="0.15">
      <c r="D388" s="69" t="s">
        <v>352</v>
      </c>
    </row>
    <row r="389" spans="4:4" x14ac:dyDescent="0.15">
      <c r="D389" s="69" t="s">
        <v>352</v>
      </c>
    </row>
    <row r="390" spans="4:4" x14ac:dyDescent="0.15">
      <c r="D390" s="69" t="s">
        <v>352</v>
      </c>
    </row>
    <row r="391" spans="4:4" x14ac:dyDescent="0.15">
      <c r="D391" s="69" t="s">
        <v>352</v>
      </c>
    </row>
    <row r="392" spans="4:4" x14ac:dyDescent="0.15">
      <c r="D392" s="69" t="s">
        <v>352</v>
      </c>
    </row>
    <row r="393" spans="4:4" x14ac:dyDescent="0.15">
      <c r="D393" s="69" t="s">
        <v>352</v>
      </c>
    </row>
    <row r="394" spans="4:4" x14ac:dyDescent="0.15">
      <c r="D394" s="69" t="s">
        <v>352</v>
      </c>
    </row>
    <row r="395" spans="4:4" x14ac:dyDescent="0.15">
      <c r="D395" s="69" t="s">
        <v>352</v>
      </c>
    </row>
    <row r="396" spans="4:4" x14ac:dyDescent="0.15">
      <c r="D396" s="69" t="s">
        <v>352</v>
      </c>
    </row>
    <row r="397" spans="4:4" x14ac:dyDescent="0.15">
      <c r="D397" s="69" t="s">
        <v>352</v>
      </c>
    </row>
    <row r="398" spans="4:4" x14ac:dyDescent="0.15">
      <c r="D398" s="69" t="s">
        <v>352</v>
      </c>
    </row>
    <row r="399" spans="4:4" x14ac:dyDescent="0.15">
      <c r="D399" s="69" t="s">
        <v>352</v>
      </c>
    </row>
    <row r="400" spans="4:4" x14ac:dyDescent="0.15">
      <c r="D400" s="69" t="s">
        <v>352</v>
      </c>
    </row>
    <row r="401" spans="4:4" x14ac:dyDescent="0.15">
      <c r="D401" s="69" t="s">
        <v>352</v>
      </c>
    </row>
    <row r="402" spans="4:4" x14ac:dyDescent="0.15">
      <c r="D402" s="69" t="s">
        <v>352</v>
      </c>
    </row>
    <row r="403" spans="4:4" x14ac:dyDescent="0.15">
      <c r="D403" s="69" t="s">
        <v>352</v>
      </c>
    </row>
    <row r="404" spans="4:4" x14ac:dyDescent="0.15">
      <c r="D404" s="69" t="s">
        <v>352</v>
      </c>
    </row>
    <row r="405" spans="4:4" x14ac:dyDescent="0.15">
      <c r="D405" s="69" t="s">
        <v>352</v>
      </c>
    </row>
    <row r="406" spans="4:4" x14ac:dyDescent="0.15">
      <c r="D406" s="69" t="s">
        <v>352</v>
      </c>
    </row>
    <row r="407" spans="4:4" x14ac:dyDescent="0.15">
      <c r="D407" s="69" t="s">
        <v>352</v>
      </c>
    </row>
    <row r="408" spans="4:4" x14ac:dyDescent="0.15">
      <c r="D408" s="69" t="s">
        <v>352</v>
      </c>
    </row>
    <row r="409" spans="4:4" x14ac:dyDescent="0.15">
      <c r="D409" s="69" t="s">
        <v>352</v>
      </c>
    </row>
    <row r="410" spans="4:4" x14ac:dyDescent="0.15">
      <c r="D410" s="69" t="s">
        <v>352</v>
      </c>
    </row>
    <row r="411" spans="4:4" x14ac:dyDescent="0.15">
      <c r="D411" s="69" t="s">
        <v>352</v>
      </c>
    </row>
    <row r="412" spans="4:4" x14ac:dyDescent="0.15">
      <c r="D412" s="69" t="s">
        <v>352</v>
      </c>
    </row>
    <row r="413" spans="4:4" x14ac:dyDescent="0.15">
      <c r="D413" s="69" t="s">
        <v>352</v>
      </c>
    </row>
    <row r="414" spans="4:4" x14ac:dyDescent="0.15">
      <c r="D414" s="69" t="s">
        <v>352</v>
      </c>
    </row>
    <row r="415" spans="4:4" x14ac:dyDescent="0.15">
      <c r="D415" s="69" t="s">
        <v>352</v>
      </c>
    </row>
    <row r="416" spans="4:4" x14ac:dyDescent="0.15">
      <c r="D416" s="69" t="s">
        <v>352</v>
      </c>
    </row>
    <row r="417" spans="4:4" x14ac:dyDescent="0.15">
      <c r="D417" s="69" t="s">
        <v>352</v>
      </c>
    </row>
    <row r="418" spans="4:4" x14ac:dyDescent="0.15">
      <c r="D418" s="69" t="s">
        <v>352</v>
      </c>
    </row>
    <row r="419" spans="4:4" x14ac:dyDescent="0.15">
      <c r="D419" s="69" t="s">
        <v>352</v>
      </c>
    </row>
    <row r="420" spans="4:4" x14ac:dyDescent="0.15">
      <c r="D420" s="69" t="s">
        <v>352</v>
      </c>
    </row>
    <row r="421" spans="4:4" x14ac:dyDescent="0.15">
      <c r="D421" s="69" t="s">
        <v>352</v>
      </c>
    </row>
    <row r="422" spans="4:4" x14ac:dyDescent="0.15">
      <c r="D422" s="69" t="s">
        <v>352</v>
      </c>
    </row>
    <row r="423" spans="4:4" x14ac:dyDescent="0.15">
      <c r="D423" s="69" t="s">
        <v>352</v>
      </c>
    </row>
    <row r="424" spans="4:4" x14ac:dyDescent="0.15">
      <c r="D424" s="69" t="s">
        <v>352</v>
      </c>
    </row>
    <row r="425" spans="4:4" x14ac:dyDescent="0.15">
      <c r="D425" s="69" t="s">
        <v>352</v>
      </c>
    </row>
    <row r="426" spans="4:4" x14ac:dyDescent="0.15">
      <c r="D426" s="69" t="s">
        <v>352</v>
      </c>
    </row>
    <row r="427" spans="4:4" x14ac:dyDescent="0.15">
      <c r="D427" s="69" t="s">
        <v>352</v>
      </c>
    </row>
    <row r="428" spans="4:4" x14ac:dyDescent="0.15">
      <c r="D428" s="69" t="s">
        <v>352</v>
      </c>
    </row>
    <row r="429" spans="4:4" x14ac:dyDescent="0.15">
      <c r="D429" s="69" t="s">
        <v>352</v>
      </c>
    </row>
    <row r="430" spans="4:4" x14ac:dyDescent="0.15">
      <c r="D430" s="69" t="s">
        <v>352</v>
      </c>
    </row>
    <row r="431" spans="4:4" x14ac:dyDescent="0.15">
      <c r="D431" s="69" t="s">
        <v>352</v>
      </c>
    </row>
    <row r="432" spans="4:4" x14ac:dyDescent="0.15">
      <c r="D432" s="69" t="s">
        <v>352</v>
      </c>
    </row>
    <row r="433" spans="4:4" x14ac:dyDescent="0.15">
      <c r="D433" s="69" t="s">
        <v>352</v>
      </c>
    </row>
    <row r="434" spans="4:4" x14ac:dyDescent="0.15">
      <c r="D434" s="69" t="s">
        <v>352</v>
      </c>
    </row>
    <row r="435" spans="4:4" x14ac:dyDescent="0.15">
      <c r="D435" s="69" t="s">
        <v>352</v>
      </c>
    </row>
    <row r="436" spans="4:4" x14ac:dyDescent="0.15">
      <c r="D436" s="69" t="s">
        <v>352</v>
      </c>
    </row>
    <row r="437" spans="4:4" x14ac:dyDescent="0.15">
      <c r="D437" s="69" t="s">
        <v>352</v>
      </c>
    </row>
    <row r="438" spans="4:4" x14ac:dyDescent="0.15">
      <c r="D438" s="69" t="s">
        <v>352</v>
      </c>
    </row>
    <row r="439" spans="4:4" x14ac:dyDescent="0.15">
      <c r="D439" s="69" t="s">
        <v>352</v>
      </c>
    </row>
    <row r="440" spans="4:4" x14ac:dyDescent="0.15">
      <c r="D440" s="69" t="s">
        <v>352</v>
      </c>
    </row>
    <row r="441" spans="4:4" x14ac:dyDescent="0.15">
      <c r="D441" s="69" t="s">
        <v>352</v>
      </c>
    </row>
    <row r="442" spans="4:4" x14ac:dyDescent="0.15">
      <c r="D442" s="69" t="s">
        <v>352</v>
      </c>
    </row>
    <row r="443" spans="4:4" x14ac:dyDescent="0.15">
      <c r="D443" s="69" t="s">
        <v>352</v>
      </c>
    </row>
    <row r="444" spans="4:4" x14ac:dyDescent="0.15">
      <c r="D444" s="69" t="s">
        <v>352</v>
      </c>
    </row>
    <row r="445" spans="4:4" x14ac:dyDescent="0.15">
      <c r="D445" s="69" t="s">
        <v>352</v>
      </c>
    </row>
    <row r="446" spans="4:4" x14ac:dyDescent="0.15">
      <c r="D446" s="69" t="s">
        <v>352</v>
      </c>
    </row>
    <row r="447" spans="4:4" x14ac:dyDescent="0.15">
      <c r="D447" s="69" t="s">
        <v>352</v>
      </c>
    </row>
    <row r="448" spans="4:4" x14ac:dyDescent="0.15">
      <c r="D448" s="69" t="s">
        <v>352</v>
      </c>
    </row>
    <row r="449" spans="4:4" x14ac:dyDescent="0.15">
      <c r="D449" s="69" t="s">
        <v>352</v>
      </c>
    </row>
    <row r="450" spans="4:4" x14ac:dyDescent="0.15">
      <c r="D450" s="69" t="s">
        <v>352</v>
      </c>
    </row>
    <row r="451" spans="4:4" x14ac:dyDescent="0.15">
      <c r="D451" s="69" t="s">
        <v>352</v>
      </c>
    </row>
    <row r="452" spans="4:4" x14ac:dyDescent="0.15">
      <c r="D452" s="69" t="s">
        <v>352</v>
      </c>
    </row>
    <row r="453" spans="4:4" x14ac:dyDescent="0.15">
      <c r="D453" s="69" t="s">
        <v>352</v>
      </c>
    </row>
    <row r="454" spans="4:4" x14ac:dyDescent="0.15">
      <c r="D454" s="69" t="s">
        <v>352</v>
      </c>
    </row>
    <row r="455" spans="4:4" x14ac:dyDescent="0.15">
      <c r="D455" s="69" t="s">
        <v>352</v>
      </c>
    </row>
    <row r="456" spans="4:4" x14ac:dyDescent="0.15">
      <c r="D456" s="69" t="s">
        <v>352</v>
      </c>
    </row>
    <row r="457" spans="4:4" x14ac:dyDescent="0.15">
      <c r="D457" s="69" t="s">
        <v>352</v>
      </c>
    </row>
    <row r="458" spans="4:4" x14ac:dyDescent="0.15">
      <c r="D458" s="69" t="s">
        <v>352</v>
      </c>
    </row>
    <row r="459" spans="4:4" x14ac:dyDescent="0.15">
      <c r="D459" s="69" t="s">
        <v>352</v>
      </c>
    </row>
    <row r="460" spans="4:4" x14ac:dyDescent="0.15">
      <c r="D460" s="69" t="s">
        <v>352</v>
      </c>
    </row>
    <row r="461" spans="4:4" x14ac:dyDescent="0.15">
      <c r="D461" s="69" t="s">
        <v>352</v>
      </c>
    </row>
    <row r="462" spans="4:4" x14ac:dyDescent="0.15">
      <c r="D462" s="69" t="s">
        <v>352</v>
      </c>
    </row>
    <row r="463" spans="4:4" x14ac:dyDescent="0.15">
      <c r="D463" s="69" t="s">
        <v>352</v>
      </c>
    </row>
    <row r="464" spans="4:4" x14ac:dyDescent="0.15">
      <c r="D464" s="69" t="s">
        <v>352</v>
      </c>
    </row>
    <row r="465" spans="4:4" x14ac:dyDescent="0.15">
      <c r="D465" s="69" t="s">
        <v>352</v>
      </c>
    </row>
    <row r="466" spans="4:4" x14ac:dyDescent="0.15">
      <c r="D466" s="69" t="s">
        <v>352</v>
      </c>
    </row>
    <row r="467" spans="4:4" x14ac:dyDescent="0.15">
      <c r="D467" s="69" t="s">
        <v>352</v>
      </c>
    </row>
    <row r="468" spans="4:4" x14ac:dyDescent="0.15">
      <c r="D468" s="69" t="s">
        <v>352</v>
      </c>
    </row>
    <row r="469" spans="4:4" x14ac:dyDescent="0.15">
      <c r="D469" s="69" t="s">
        <v>352</v>
      </c>
    </row>
    <row r="470" spans="4:4" x14ac:dyDescent="0.15">
      <c r="D470" s="69" t="s">
        <v>352</v>
      </c>
    </row>
    <row r="471" spans="4:4" x14ac:dyDescent="0.15">
      <c r="D471" s="69" t="s">
        <v>352</v>
      </c>
    </row>
    <row r="472" spans="4:4" x14ac:dyDescent="0.15">
      <c r="D472" s="69" t="s">
        <v>352</v>
      </c>
    </row>
    <row r="473" spans="4:4" x14ac:dyDescent="0.15">
      <c r="D473" s="69" t="s">
        <v>352</v>
      </c>
    </row>
    <row r="474" spans="4:4" x14ac:dyDescent="0.15">
      <c r="D474" s="69" t="s">
        <v>352</v>
      </c>
    </row>
    <row r="475" spans="4:4" x14ac:dyDescent="0.15">
      <c r="D475" s="69" t="s">
        <v>352</v>
      </c>
    </row>
    <row r="476" spans="4:4" x14ac:dyDescent="0.15">
      <c r="D476" s="69" t="s">
        <v>352</v>
      </c>
    </row>
    <row r="477" spans="4:4" x14ac:dyDescent="0.15">
      <c r="D477" s="69" t="s">
        <v>352</v>
      </c>
    </row>
    <row r="478" spans="4:4" x14ac:dyDescent="0.15">
      <c r="D478" s="69" t="s">
        <v>352</v>
      </c>
    </row>
    <row r="479" spans="4:4" x14ac:dyDescent="0.15">
      <c r="D479" s="69" t="s">
        <v>352</v>
      </c>
    </row>
    <row r="480" spans="4:4" x14ac:dyDescent="0.15">
      <c r="D480" s="69" t="s">
        <v>352</v>
      </c>
    </row>
    <row r="481" spans="4:4" x14ac:dyDescent="0.15">
      <c r="D481" s="69" t="s">
        <v>352</v>
      </c>
    </row>
    <row r="482" spans="4:4" x14ac:dyDescent="0.15">
      <c r="D482" s="69" t="s">
        <v>352</v>
      </c>
    </row>
    <row r="483" spans="4:4" x14ac:dyDescent="0.15">
      <c r="D483" s="69" t="s">
        <v>352</v>
      </c>
    </row>
    <row r="484" spans="4:4" x14ac:dyDescent="0.15">
      <c r="D484" s="69" t="s">
        <v>352</v>
      </c>
    </row>
    <row r="485" spans="4:4" x14ac:dyDescent="0.15">
      <c r="D485" s="69" t="s">
        <v>352</v>
      </c>
    </row>
    <row r="486" spans="4:4" x14ac:dyDescent="0.15">
      <c r="D486" s="69" t="s">
        <v>352</v>
      </c>
    </row>
    <row r="487" spans="4:4" x14ac:dyDescent="0.15">
      <c r="D487" s="69" t="s">
        <v>352</v>
      </c>
    </row>
    <row r="488" spans="4:4" x14ac:dyDescent="0.15">
      <c r="D488" s="69" t="s">
        <v>352</v>
      </c>
    </row>
    <row r="489" spans="4:4" x14ac:dyDescent="0.15">
      <c r="D489" s="69" t="s">
        <v>352</v>
      </c>
    </row>
    <row r="490" spans="4:4" x14ac:dyDescent="0.15">
      <c r="D490" s="69" t="s">
        <v>352</v>
      </c>
    </row>
    <row r="491" spans="4:4" x14ac:dyDescent="0.15">
      <c r="D491" s="69" t="s">
        <v>352</v>
      </c>
    </row>
    <row r="492" spans="4:4" x14ac:dyDescent="0.15">
      <c r="D492" s="69" t="s">
        <v>352</v>
      </c>
    </row>
    <row r="493" spans="4:4" x14ac:dyDescent="0.15">
      <c r="D493" s="69" t="s">
        <v>352</v>
      </c>
    </row>
    <row r="494" spans="4:4" x14ac:dyDescent="0.15">
      <c r="D494" s="69" t="s">
        <v>352</v>
      </c>
    </row>
    <row r="495" spans="4:4" x14ac:dyDescent="0.15">
      <c r="D495" s="69" t="s">
        <v>352</v>
      </c>
    </row>
    <row r="496" spans="4:4" x14ac:dyDescent="0.15">
      <c r="D496" s="69" t="s">
        <v>352</v>
      </c>
    </row>
    <row r="497" spans="4:4" x14ac:dyDescent="0.15">
      <c r="D497" s="69" t="s">
        <v>352</v>
      </c>
    </row>
    <row r="498" spans="4:4" x14ac:dyDescent="0.15">
      <c r="D498" s="69" t="s">
        <v>352</v>
      </c>
    </row>
    <row r="499" spans="4:4" x14ac:dyDescent="0.15">
      <c r="D499" s="69" t="s">
        <v>352</v>
      </c>
    </row>
    <row r="500" spans="4:4" x14ac:dyDescent="0.15">
      <c r="D500" s="69" t="s">
        <v>352</v>
      </c>
    </row>
    <row r="501" spans="4:4" x14ac:dyDescent="0.15">
      <c r="D501" s="69" t="s">
        <v>352</v>
      </c>
    </row>
    <row r="502" spans="4:4" x14ac:dyDescent="0.15">
      <c r="D502" s="69" t="s">
        <v>352</v>
      </c>
    </row>
    <row r="503" spans="4:4" x14ac:dyDescent="0.15">
      <c r="D503" s="69" t="s">
        <v>352</v>
      </c>
    </row>
    <row r="504" spans="4:4" x14ac:dyDescent="0.15">
      <c r="D504" s="69" t="s">
        <v>352</v>
      </c>
    </row>
    <row r="505" spans="4:4" x14ac:dyDescent="0.15">
      <c r="D505" s="69" t="s">
        <v>352</v>
      </c>
    </row>
    <row r="506" spans="4:4" x14ac:dyDescent="0.15">
      <c r="D506" s="69" t="s">
        <v>352</v>
      </c>
    </row>
    <row r="507" spans="4:4" x14ac:dyDescent="0.15">
      <c r="D507" s="69" t="s">
        <v>352</v>
      </c>
    </row>
    <row r="508" spans="4:4" x14ac:dyDescent="0.15">
      <c r="D508" s="69" t="s">
        <v>352</v>
      </c>
    </row>
    <row r="509" spans="4:4" x14ac:dyDescent="0.15">
      <c r="D509" s="69" t="s">
        <v>352</v>
      </c>
    </row>
    <row r="510" spans="4:4" x14ac:dyDescent="0.15">
      <c r="D510" s="69" t="s">
        <v>352</v>
      </c>
    </row>
    <row r="511" spans="4:4" x14ac:dyDescent="0.15">
      <c r="D511" s="69" t="s">
        <v>352</v>
      </c>
    </row>
    <row r="512" spans="4:4" x14ac:dyDescent="0.15">
      <c r="D512" s="69" t="s">
        <v>352</v>
      </c>
    </row>
    <row r="513" spans="4:4" x14ac:dyDescent="0.15">
      <c r="D513" s="69" t="s">
        <v>352</v>
      </c>
    </row>
    <row r="514" spans="4:4" x14ac:dyDescent="0.15">
      <c r="D514" s="69" t="s">
        <v>352</v>
      </c>
    </row>
    <row r="515" spans="4:4" x14ac:dyDescent="0.15">
      <c r="D515" s="69" t="s">
        <v>352</v>
      </c>
    </row>
    <row r="516" spans="4:4" x14ac:dyDescent="0.15">
      <c r="D516" s="69" t="s">
        <v>352</v>
      </c>
    </row>
    <row r="517" spans="4:4" x14ac:dyDescent="0.15">
      <c r="D517" s="69" t="s">
        <v>352</v>
      </c>
    </row>
    <row r="518" spans="4:4" x14ac:dyDescent="0.15">
      <c r="D518" s="69" t="s">
        <v>352</v>
      </c>
    </row>
    <row r="519" spans="4:4" x14ac:dyDescent="0.15">
      <c r="D519" s="69" t="s">
        <v>352</v>
      </c>
    </row>
    <row r="520" spans="4:4" x14ac:dyDescent="0.15">
      <c r="D520" s="69" t="s">
        <v>352</v>
      </c>
    </row>
    <row r="521" spans="4:4" x14ac:dyDescent="0.15">
      <c r="D521" s="69" t="s">
        <v>352</v>
      </c>
    </row>
    <row r="522" spans="4:4" x14ac:dyDescent="0.15">
      <c r="D522" s="69" t="s">
        <v>352</v>
      </c>
    </row>
    <row r="523" spans="4:4" x14ac:dyDescent="0.15">
      <c r="D523" s="69" t="s">
        <v>352</v>
      </c>
    </row>
    <row r="524" spans="4:4" x14ac:dyDescent="0.15">
      <c r="D524" s="69" t="s">
        <v>352</v>
      </c>
    </row>
    <row r="525" spans="4:4" x14ac:dyDescent="0.15">
      <c r="D525" s="69" t="s">
        <v>352</v>
      </c>
    </row>
    <row r="526" spans="4:4" x14ac:dyDescent="0.15">
      <c r="D526" s="69" t="s">
        <v>352</v>
      </c>
    </row>
    <row r="527" spans="4:4" x14ac:dyDescent="0.15">
      <c r="D527" s="69" t="s">
        <v>352</v>
      </c>
    </row>
    <row r="528" spans="4:4" x14ac:dyDescent="0.15">
      <c r="D528" s="69" t="s">
        <v>352</v>
      </c>
    </row>
    <row r="529" spans="4:4" x14ac:dyDescent="0.15">
      <c r="D529" s="69" t="s">
        <v>352</v>
      </c>
    </row>
    <row r="530" spans="4:4" x14ac:dyDescent="0.15">
      <c r="D530" s="69" t="s">
        <v>352</v>
      </c>
    </row>
    <row r="531" spans="4:4" x14ac:dyDescent="0.15">
      <c r="D531" s="69" t="s">
        <v>352</v>
      </c>
    </row>
    <row r="532" spans="4:4" x14ac:dyDescent="0.15">
      <c r="D532" s="69" t="s">
        <v>352</v>
      </c>
    </row>
    <row r="533" spans="4:4" x14ac:dyDescent="0.15">
      <c r="D533" s="69" t="s">
        <v>352</v>
      </c>
    </row>
    <row r="534" spans="4:4" x14ac:dyDescent="0.15">
      <c r="D534" s="69" t="s">
        <v>352</v>
      </c>
    </row>
    <row r="535" spans="4:4" x14ac:dyDescent="0.15">
      <c r="D535" s="69" t="s">
        <v>352</v>
      </c>
    </row>
    <row r="536" spans="4:4" x14ac:dyDescent="0.15">
      <c r="D536" s="69" t="s">
        <v>352</v>
      </c>
    </row>
    <row r="537" spans="4:4" x14ac:dyDescent="0.15">
      <c r="D537" s="69" t="s">
        <v>352</v>
      </c>
    </row>
    <row r="538" spans="4:4" x14ac:dyDescent="0.15">
      <c r="D538" s="69" t="s">
        <v>352</v>
      </c>
    </row>
    <row r="539" spans="4:4" x14ac:dyDescent="0.15">
      <c r="D539" s="69" t="s">
        <v>352</v>
      </c>
    </row>
    <row r="540" spans="4:4" x14ac:dyDescent="0.15">
      <c r="D540" s="69" t="s">
        <v>352</v>
      </c>
    </row>
    <row r="541" spans="4:4" x14ac:dyDescent="0.15">
      <c r="D541" s="69" t="s">
        <v>352</v>
      </c>
    </row>
    <row r="542" spans="4:4" x14ac:dyDescent="0.15">
      <c r="D542" s="69" t="s">
        <v>352</v>
      </c>
    </row>
    <row r="543" spans="4:4" x14ac:dyDescent="0.15">
      <c r="D543" s="69" t="s">
        <v>352</v>
      </c>
    </row>
    <row r="544" spans="4:4" x14ac:dyDescent="0.15">
      <c r="D544" s="69" t="s">
        <v>352</v>
      </c>
    </row>
    <row r="545" spans="4:4" x14ac:dyDescent="0.15">
      <c r="D545" s="69" t="s">
        <v>352</v>
      </c>
    </row>
    <row r="546" spans="4:4" x14ac:dyDescent="0.15">
      <c r="D546" s="69" t="s">
        <v>352</v>
      </c>
    </row>
    <row r="547" spans="4:4" x14ac:dyDescent="0.15">
      <c r="D547" s="69" t="s">
        <v>352</v>
      </c>
    </row>
    <row r="548" spans="4:4" x14ac:dyDescent="0.15">
      <c r="D548" s="69" t="s">
        <v>352</v>
      </c>
    </row>
    <row r="549" spans="4:4" x14ac:dyDescent="0.15">
      <c r="D549" s="69" t="s">
        <v>352</v>
      </c>
    </row>
    <row r="550" spans="4:4" x14ac:dyDescent="0.15">
      <c r="D550" s="69" t="s">
        <v>352</v>
      </c>
    </row>
    <row r="551" spans="4:4" x14ac:dyDescent="0.15">
      <c r="D551" s="69" t="s">
        <v>352</v>
      </c>
    </row>
    <row r="552" spans="4:4" x14ac:dyDescent="0.15">
      <c r="D552" s="69" t="s">
        <v>352</v>
      </c>
    </row>
    <row r="553" spans="4:4" x14ac:dyDescent="0.15">
      <c r="D553" s="69" t="s">
        <v>352</v>
      </c>
    </row>
    <row r="554" spans="4:4" x14ac:dyDescent="0.15">
      <c r="D554" s="69" t="s">
        <v>352</v>
      </c>
    </row>
    <row r="555" spans="4:4" x14ac:dyDescent="0.15">
      <c r="D555" s="69" t="s">
        <v>352</v>
      </c>
    </row>
    <row r="556" spans="4:4" x14ac:dyDescent="0.15">
      <c r="D556" s="69" t="s">
        <v>352</v>
      </c>
    </row>
    <row r="557" spans="4:4" x14ac:dyDescent="0.15">
      <c r="D557" s="69" t="s">
        <v>352</v>
      </c>
    </row>
    <row r="558" spans="4:4" x14ac:dyDescent="0.15">
      <c r="D558" s="69" t="s">
        <v>352</v>
      </c>
    </row>
    <row r="559" spans="4:4" x14ac:dyDescent="0.15">
      <c r="D559" s="69" t="s">
        <v>352</v>
      </c>
    </row>
    <row r="560" spans="4:4" x14ac:dyDescent="0.15">
      <c r="D560" s="69" t="s">
        <v>352</v>
      </c>
    </row>
    <row r="561" spans="4:4" x14ac:dyDescent="0.15">
      <c r="D561" s="69" t="s">
        <v>352</v>
      </c>
    </row>
    <row r="562" spans="4:4" x14ac:dyDescent="0.15">
      <c r="D562" s="69" t="s">
        <v>352</v>
      </c>
    </row>
    <row r="563" spans="4:4" x14ac:dyDescent="0.15">
      <c r="D563" s="69" t="s">
        <v>352</v>
      </c>
    </row>
    <row r="564" spans="4:4" x14ac:dyDescent="0.15">
      <c r="D564" s="69" t="s">
        <v>352</v>
      </c>
    </row>
    <row r="565" spans="4:4" x14ac:dyDescent="0.15">
      <c r="D565" s="69" t="s">
        <v>352</v>
      </c>
    </row>
    <row r="566" spans="4:4" x14ac:dyDescent="0.15">
      <c r="D566" s="69" t="s">
        <v>352</v>
      </c>
    </row>
    <row r="567" spans="4:4" x14ac:dyDescent="0.15">
      <c r="D567" s="69" t="s">
        <v>352</v>
      </c>
    </row>
    <row r="568" spans="4:4" x14ac:dyDescent="0.15">
      <c r="D568" s="69" t="s">
        <v>352</v>
      </c>
    </row>
    <row r="569" spans="4:4" x14ac:dyDescent="0.15">
      <c r="D569" s="69" t="s">
        <v>352</v>
      </c>
    </row>
    <row r="570" spans="4:4" x14ac:dyDescent="0.15">
      <c r="D570" s="69" t="s">
        <v>352</v>
      </c>
    </row>
    <row r="571" spans="4:4" x14ac:dyDescent="0.15">
      <c r="D571" s="69" t="s">
        <v>352</v>
      </c>
    </row>
    <row r="572" spans="4:4" x14ac:dyDescent="0.15">
      <c r="D572" s="69" t="s">
        <v>352</v>
      </c>
    </row>
    <row r="573" spans="4:4" x14ac:dyDescent="0.15">
      <c r="D573" s="69" t="s">
        <v>352</v>
      </c>
    </row>
    <row r="574" spans="4:4" x14ac:dyDescent="0.15">
      <c r="D574" s="69" t="s">
        <v>352</v>
      </c>
    </row>
    <row r="575" spans="4:4" x14ac:dyDescent="0.15">
      <c r="D575" s="69" t="s">
        <v>352</v>
      </c>
    </row>
    <row r="576" spans="4:4" x14ac:dyDescent="0.15">
      <c r="D576" s="69" t="s">
        <v>352</v>
      </c>
    </row>
    <row r="577" spans="4:4" x14ac:dyDescent="0.15">
      <c r="D577" s="69" t="s">
        <v>352</v>
      </c>
    </row>
    <row r="578" spans="4:4" x14ac:dyDescent="0.15">
      <c r="D578" s="69" t="s">
        <v>352</v>
      </c>
    </row>
    <row r="579" spans="4:4" x14ac:dyDescent="0.15">
      <c r="D579" s="69" t="s">
        <v>352</v>
      </c>
    </row>
    <row r="580" spans="4:4" x14ac:dyDescent="0.15">
      <c r="D580" s="69" t="s">
        <v>352</v>
      </c>
    </row>
    <row r="581" spans="4:4" x14ac:dyDescent="0.15">
      <c r="D581" s="69" t="s">
        <v>352</v>
      </c>
    </row>
    <row r="582" spans="4:4" x14ac:dyDescent="0.15">
      <c r="D582" s="69" t="s">
        <v>352</v>
      </c>
    </row>
    <row r="583" spans="4:4" x14ac:dyDescent="0.15">
      <c r="D583" s="69" t="s">
        <v>352</v>
      </c>
    </row>
    <row r="584" spans="4:4" x14ac:dyDescent="0.15">
      <c r="D584" s="69" t="s">
        <v>352</v>
      </c>
    </row>
    <row r="585" spans="4:4" x14ac:dyDescent="0.15">
      <c r="D585" s="69" t="s">
        <v>352</v>
      </c>
    </row>
    <row r="586" spans="4:4" x14ac:dyDescent="0.15">
      <c r="D586" s="69" t="s">
        <v>352</v>
      </c>
    </row>
    <row r="587" spans="4:4" x14ac:dyDescent="0.15">
      <c r="D587" s="69" t="s">
        <v>352</v>
      </c>
    </row>
    <row r="588" spans="4:4" x14ac:dyDescent="0.15">
      <c r="D588" s="69" t="s">
        <v>352</v>
      </c>
    </row>
    <row r="589" spans="4:4" x14ac:dyDescent="0.15">
      <c r="D589" s="69" t="s">
        <v>352</v>
      </c>
    </row>
    <row r="590" spans="4:4" x14ac:dyDescent="0.15">
      <c r="D590" s="69" t="s">
        <v>352</v>
      </c>
    </row>
    <row r="591" spans="4:4" x14ac:dyDescent="0.15">
      <c r="D591" s="69" t="s">
        <v>352</v>
      </c>
    </row>
    <row r="592" spans="4:4" x14ac:dyDescent="0.15">
      <c r="D592" s="69" t="s">
        <v>352</v>
      </c>
    </row>
    <row r="593" spans="4:4" x14ac:dyDescent="0.15">
      <c r="D593" s="69" t="s">
        <v>352</v>
      </c>
    </row>
    <row r="594" spans="4:4" x14ac:dyDescent="0.15">
      <c r="D594" s="69" t="s">
        <v>352</v>
      </c>
    </row>
    <row r="595" spans="4:4" x14ac:dyDescent="0.15">
      <c r="D595" s="69" t="s">
        <v>352</v>
      </c>
    </row>
    <row r="596" spans="4:4" x14ac:dyDescent="0.15">
      <c r="D596" s="69" t="s">
        <v>352</v>
      </c>
    </row>
    <row r="597" spans="4:4" x14ac:dyDescent="0.15">
      <c r="D597" s="69" t="s">
        <v>352</v>
      </c>
    </row>
    <row r="598" spans="4:4" x14ac:dyDescent="0.15">
      <c r="D598" s="69" t="s">
        <v>352</v>
      </c>
    </row>
    <row r="599" spans="4:4" x14ac:dyDescent="0.15">
      <c r="D599" s="69" t="s">
        <v>352</v>
      </c>
    </row>
    <row r="600" spans="4:4" x14ac:dyDescent="0.15">
      <c r="D600" s="69" t="s">
        <v>352</v>
      </c>
    </row>
    <row r="601" spans="4:4" x14ac:dyDescent="0.15">
      <c r="D601" s="69" t="s">
        <v>352</v>
      </c>
    </row>
    <row r="602" spans="4:4" x14ac:dyDescent="0.15">
      <c r="D602" s="69" t="s">
        <v>352</v>
      </c>
    </row>
    <row r="603" spans="4:4" x14ac:dyDescent="0.15">
      <c r="D603" s="69" t="s">
        <v>352</v>
      </c>
    </row>
    <row r="604" spans="4:4" x14ac:dyDescent="0.15">
      <c r="D604" s="69" t="s">
        <v>352</v>
      </c>
    </row>
    <row r="605" spans="4:4" x14ac:dyDescent="0.15">
      <c r="D605" s="69" t="s">
        <v>352</v>
      </c>
    </row>
    <row r="606" spans="4:4" x14ac:dyDescent="0.15">
      <c r="D606" s="69" t="s">
        <v>352</v>
      </c>
    </row>
    <row r="607" spans="4:4" x14ac:dyDescent="0.15">
      <c r="D607" s="69" t="s">
        <v>352</v>
      </c>
    </row>
    <row r="608" spans="4:4" x14ac:dyDescent="0.15">
      <c r="D608" s="69" t="s">
        <v>352</v>
      </c>
    </row>
    <row r="609" spans="4:4" x14ac:dyDescent="0.15">
      <c r="D609" s="69" t="s">
        <v>352</v>
      </c>
    </row>
    <row r="610" spans="4:4" x14ac:dyDescent="0.15">
      <c r="D610" s="69" t="s">
        <v>352</v>
      </c>
    </row>
    <row r="611" spans="4:4" x14ac:dyDescent="0.15">
      <c r="D611" s="69" t="s">
        <v>352</v>
      </c>
    </row>
    <row r="612" spans="4:4" x14ac:dyDescent="0.15">
      <c r="D612" s="69" t="s">
        <v>352</v>
      </c>
    </row>
    <row r="613" spans="4:4" x14ac:dyDescent="0.15">
      <c r="D613" s="69" t="s">
        <v>352</v>
      </c>
    </row>
    <row r="614" spans="4:4" x14ac:dyDescent="0.15">
      <c r="D614" s="69" t="s">
        <v>352</v>
      </c>
    </row>
    <row r="615" spans="4:4" x14ac:dyDescent="0.15">
      <c r="D615" s="69" t="s">
        <v>352</v>
      </c>
    </row>
    <row r="616" spans="4:4" x14ac:dyDescent="0.15">
      <c r="D616" s="69" t="s">
        <v>352</v>
      </c>
    </row>
    <row r="617" spans="4:4" x14ac:dyDescent="0.15">
      <c r="D617" s="69" t="s">
        <v>352</v>
      </c>
    </row>
    <row r="618" spans="4:4" x14ac:dyDescent="0.15">
      <c r="D618" s="69" t="s">
        <v>352</v>
      </c>
    </row>
    <row r="619" spans="4:4" x14ac:dyDescent="0.15">
      <c r="D619" s="69" t="s">
        <v>352</v>
      </c>
    </row>
    <row r="620" spans="4:4" x14ac:dyDescent="0.15">
      <c r="D620" s="69" t="s">
        <v>352</v>
      </c>
    </row>
    <row r="621" spans="4:4" x14ac:dyDescent="0.15">
      <c r="D621" s="69" t="s">
        <v>352</v>
      </c>
    </row>
    <row r="622" spans="4:4" x14ac:dyDescent="0.15">
      <c r="D622" s="69" t="s">
        <v>352</v>
      </c>
    </row>
    <row r="623" spans="4:4" x14ac:dyDescent="0.15">
      <c r="D623" s="69" t="s">
        <v>352</v>
      </c>
    </row>
    <row r="624" spans="4:4" x14ac:dyDescent="0.15">
      <c r="D624" s="69" t="s">
        <v>352</v>
      </c>
    </row>
    <row r="625" spans="4:4" x14ac:dyDescent="0.15">
      <c r="D625" s="69" t="s">
        <v>352</v>
      </c>
    </row>
    <row r="626" spans="4:4" x14ac:dyDescent="0.15">
      <c r="D626" s="69" t="s">
        <v>352</v>
      </c>
    </row>
    <row r="627" spans="4:4" x14ac:dyDescent="0.15">
      <c r="D627" s="69" t="s">
        <v>352</v>
      </c>
    </row>
    <row r="628" spans="4:4" x14ac:dyDescent="0.15">
      <c r="D628" s="69" t="s">
        <v>352</v>
      </c>
    </row>
    <row r="629" spans="4:4" x14ac:dyDescent="0.15">
      <c r="D629" s="69" t="s">
        <v>352</v>
      </c>
    </row>
    <row r="630" spans="4:4" x14ac:dyDescent="0.15">
      <c r="D630" s="69" t="s">
        <v>352</v>
      </c>
    </row>
    <row r="631" spans="4:4" x14ac:dyDescent="0.15">
      <c r="D631" s="69" t="s">
        <v>352</v>
      </c>
    </row>
    <row r="632" spans="4:4" x14ac:dyDescent="0.15">
      <c r="D632" s="69" t="s">
        <v>352</v>
      </c>
    </row>
    <row r="633" spans="4:4" x14ac:dyDescent="0.15">
      <c r="D633" s="69" t="s">
        <v>352</v>
      </c>
    </row>
    <row r="634" spans="4:4" x14ac:dyDescent="0.15">
      <c r="D634" s="69" t="s">
        <v>352</v>
      </c>
    </row>
    <row r="635" spans="4:4" x14ac:dyDescent="0.15">
      <c r="D635" s="69" t="s">
        <v>352</v>
      </c>
    </row>
    <row r="636" spans="4:4" x14ac:dyDescent="0.15">
      <c r="D636" s="69" t="s">
        <v>352</v>
      </c>
    </row>
    <row r="637" spans="4:4" x14ac:dyDescent="0.15">
      <c r="D637" s="69" t="s">
        <v>352</v>
      </c>
    </row>
    <row r="638" spans="4:4" x14ac:dyDescent="0.15">
      <c r="D638" s="69" t="s">
        <v>352</v>
      </c>
    </row>
    <row r="639" spans="4:4" x14ac:dyDescent="0.15">
      <c r="D639" s="69" t="s">
        <v>352</v>
      </c>
    </row>
    <row r="640" spans="4:4" x14ac:dyDescent="0.15">
      <c r="D640" s="69" t="s">
        <v>352</v>
      </c>
    </row>
    <row r="641" spans="4:4" x14ac:dyDescent="0.15">
      <c r="D641" s="69" t="s">
        <v>352</v>
      </c>
    </row>
    <row r="642" spans="4:4" x14ac:dyDescent="0.15">
      <c r="D642" s="69" t="s">
        <v>352</v>
      </c>
    </row>
    <row r="643" spans="4:4" x14ac:dyDescent="0.15">
      <c r="D643" s="69" t="s">
        <v>352</v>
      </c>
    </row>
    <row r="644" spans="4:4" x14ac:dyDescent="0.15">
      <c r="D644" s="69" t="s">
        <v>352</v>
      </c>
    </row>
    <row r="645" spans="4:4" x14ac:dyDescent="0.15">
      <c r="D645" s="69" t="s">
        <v>352</v>
      </c>
    </row>
    <row r="646" spans="4:4" x14ac:dyDescent="0.15">
      <c r="D646" s="69" t="s">
        <v>352</v>
      </c>
    </row>
    <row r="647" spans="4:4" x14ac:dyDescent="0.15">
      <c r="D647" s="69" t="s">
        <v>352</v>
      </c>
    </row>
    <row r="648" spans="4:4" x14ac:dyDescent="0.15">
      <c r="D648" s="69" t="s">
        <v>352</v>
      </c>
    </row>
    <row r="649" spans="4:4" x14ac:dyDescent="0.15">
      <c r="D649" s="69" t="s">
        <v>352</v>
      </c>
    </row>
    <row r="650" spans="4:4" x14ac:dyDescent="0.15">
      <c r="D650" s="69" t="s">
        <v>352</v>
      </c>
    </row>
    <row r="651" spans="4:4" x14ac:dyDescent="0.15">
      <c r="D651" s="69" t="s">
        <v>352</v>
      </c>
    </row>
    <row r="652" spans="4:4" x14ac:dyDescent="0.15">
      <c r="D652" s="69" t="s">
        <v>352</v>
      </c>
    </row>
    <row r="653" spans="4:4" x14ac:dyDescent="0.15">
      <c r="D653" s="69" t="s">
        <v>352</v>
      </c>
    </row>
    <row r="654" spans="4:4" x14ac:dyDescent="0.15">
      <c r="D654" s="69" t="s">
        <v>352</v>
      </c>
    </row>
    <row r="655" spans="4:4" x14ac:dyDescent="0.15">
      <c r="D655" s="69" t="s">
        <v>352</v>
      </c>
    </row>
    <row r="656" spans="4:4" x14ac:dyDescent="0.15">
      <c r="D656" s="69" t="s">
        <v>352</v>
      </c>
    </row>
    <row r="657" spans="4:4" x14ac:dyDescent="0.15">
      <c r="D657" s="69" t="s">
        <v>352</v>
      </c>
    </row>
    <row r="658" spans="4:4" x14ac:dyDescent="0.15">
      <c r="D658" s="69" t="s">
        <v>352</v>
      </c>
    </row>
    <row r="659" spans="4:4" x14ac:dyDescent="0.15">
      <c r="D659" s="69" t="s">
        <v>352</v>
      </c>
    </row>
    <row r="660" spans="4:4" x14ac:dyDescent="0.15">
      <c r="D660" s="69" t="s">
        <v>352</v>
      </c>
    </row>
    <row r="661" spans="4:4" x14ac:dyDescent="0.15">
      <c r="D661" s="69" t="s">
        <v>352</v>
      </c>
    </row>
    <row r="662" spans="4:4" x14ac:dyDescent="0.15">
      <c r="D662" s="69" t="s">
        <v>352</v>
      </c>
    </row>
    <row r="663" spans="4:4" x14ac:dyDescent="0.15">
      <c r="D663" s="69" t="s">
        <v>352</v>
      </c>
    </row>
    <row r="664" spans="4:4" x14ac:dyDescent="0.15">
      <c r="D664" s="69" t="s">
        <v>352</v>
      </c>
    </row>
    <row r="665" spans="4:4" x14ac:dyDescent="0.15">
      <c r="D665" s="69" t="s">
        <v>352</v>
      </c>
    </row>
    <row r="666" spans="4:4" x14ac:dyDescent="0.15">
      <c r="D666" s="69" t="s">
        <v>352</v>
      </c>
    </row>
    <row r="667" spans="4:4" x14ac:dyDescent="0.15">
      <c r="D667" s="69" t="s">
        <v>352</v>
      </c>
    </row>
    <row r="668" spans="4:4" x14ac:dyDescent="0.15">
      <c r="D668" s="69" t="s">
        <v>352</v>
      </c>
    </row>
    <row r="669" spans="4:4" x14ac:dyDescent="0.15">
      <c r="D669" s="69" t="s">
        <v>352</v>
      </c>
    </row>
    <row r="670" spans="4:4" x14ac:dyDescent="0.15">
      <c r="D670" s="69" t="s">
        <v>352</v>
      </c>
    </row>
    <row r="671" spans="4:4" x14ac:dyDescent="0.15">
      <c r="D671" s="69" t="s">
        <v>352</v>
      </c>
    </row>
    <row r="672" spans="4:4" x14ac:dyDescent="0.15">
      <c r="D672" s="69" t="s">
        <v>352</v>
      </c>
    </row>
    <row r="673" spans="4:4" x14ac:dyDescent="0.15">
      <c r="D673" s="69" t="s">
        <v>352</v>
      </c>
    </row>
    <row r="674" spans="4:4" x14ac:dyDescent="0.15">
      <c r="D674" s="69" t="s">
        <v>352</v>
      </c>
    </row>
    <row r="675" spans="4:4" x14ac:dyDescent="0.15">
      <c r="D675" s="69" t="s">
        <v>352</v>
      </c>
    </row>
    <row r="676" spans="4:4" x14ac:dyDescent="0.15">
      <c r="D676" s="69" t="s">
        <v>352</v>
      </c>
    </row>
    <row r="677" spans="4:4" x14ac:dyDescent="0.15">
      <c r="D677" s="69" t="s">
        <v>352</v>
      </c>
    </row>
    <row r="678" spans="4:4" x14ac:dyDescent="0.15">
      <c r="D678" s="69" t="s">
        <v>352</v>
      </c>
    </row>
    <row r="679" spans="4:4" x14ac:dyDescent="0.15">
      <c r="D679" s="69" t="s">
        <v>352</v>
      </c>
    </row>
    <row r="680" spans="4:4" x14ac:dyDescent="0.15">
      <c r="D680" s="69" t="s">
        <v>352</v>
      </c>
    </row>
    <row r="681" spans="4:4" x14ac:dyDescent="0.15">
      <c r="D681" s="69" t="s">
        <v>352</v>
      </c>
    </row>
    <row r="682" spans="4:4" x14ac:dyDescent="0.15">
      <c r="D682" s="69" t="s">
        <v>352</v>
      </c>
    </row>
    <row r="683" spans="4:4" x14ac:dyDescent="0.15">
      <c r="D683" s="69" t="s">
        <v>352</v>
      </c>
    </row>
    <row r="684" spans="4:4" x14ac:dyDescent="0.15">
      <c r="D684" s="69" t="s">
        <v>352</v>
      </c>
    </row>
    <row r="685" spans="4:4" x14ac:dyDescent="0.15">
      <c r="D685" s="69" t="s">
        <v>352</v>
      </c>
    </row>
    <row r="686" spans="4:4" x14ac:dyDescent="0.15">
      <c r="D686" s="69" t="s">
        <v>352</v>
      </c>
    </row>
    <row r="687" spans="4:4" x14ac:dyDescent="0.15">
      <c r="D687" s="69" t="s">
        <v>352</v>
      </c>
    </row>
    <row r="688" spans="4:4" x14ac:dyDescent="0.15">
      <c r="D688" s="69" t="s">
        <v>352</v>
      </c>
    </row>
    <row r="689" spans="4:4" x14ac:dyDescent="0.15">
      <c r="D689" s="69" t="s">
        <v>352</v>
      </c>
    </row>
    <row r="690" spans="4:4" x14ac:dyDescent="0.15">
      <c r="D690" s="69" t="s">
        <v>352</v>
      </c>
    </row>
    <row r="691" spans="4:4" x14ac:dyDescent="0.15">
      <c r="D691" s="69" t="s">
        <v>352</v>
      </c>
    </row>
    <row r="692" spans="4:4" x14ac:dyDescent="0.15">
      <c r="D692" s="69" t="s">
        <v>352</v>
      </c>
    </row>
    <row r="693" spans="4:4" x14ac:dyDescent="0.15">
      <c r="D693" s="69" t="s">
        <v>352</v>
      </c>
    </row>
    <row r="694" spans="4:4" x14ac:dyDescent="0.15">
      <c r="D694" s="69" t="s">
        <v>352</v>
      </c>
    </row>
    <row r="695" spans="4:4" x14ac:dyDescent="0.15">
      <c r="D695" s="69" t="s">
        <v>352</v>
      </c>
    </row>
    <row r="696" spans="4:4" x14ac:dyDescent="0.15">
      <c r="D696" s="69" t="s">
        <v>352</v>
      </c>
    </row>
    <row r="697" spans="4:4" x14ac:dyDescent="0.15">
      <c r="D697" s="69" t="s">
        <v>352</v>
      </c>
    </row>
    <row r="698" spans="4:4" x14ac:dyDescent="0.15">
      <c r="D698" s="69" t="s">
        <v>352</v>
      </c>
    </row>
    <row r="699" spans="4:4" x14ac:dyDescent="0.15">
      <c r="D699" s="69" t="s">
        <v>352</v>
      </c>
    </row>
    <row r="700" spans="4:4" x14ac:dyDescent="0.15">
      <c r="D700" s="69" t="s">
        <v>352</v>
      </c>
    </row>
    <row r="701" spans="4:4" x14ac:dyDescent="0.15">
      <c r="D701" s="69" t="s">
        <v>352</v>
      </c>
    </row>
    <row r="702" spans="4:4" x14ac:dyDescent="0.15">
      <c r="D702" s="69" t="s">
        <v>352</v>
      </c>
    </row>
    <row r="703" spans="4:4" x14ac:dyDescent="0.15">
      <c r="D703" s="69" t="s">
        <v>352</v>
      </c>
    </row>
    <row r="704" spans="4:4" x14ac:dyDescent="0.15">
      <c r="D704" s="69" t="s">
        <v>352</v>
      </c>
    </row>
    <row r="705" spans="4:4" x14ac:dyDescent="0.15">
      <c r="D705" s="69" t="s">
        <v>352</v>
      </c>
    </row>
    <row r="706" spans="4:4" x14ac:dyDescent="0.15">
      <c r="D706" s="69" t="s">
        <v>352</v>
      </c>
    </row>
    <row r="707" spans="4:4" x14ac:dyDescent="0.15">
      <c r="D707" s="69" t="s">
        <v>352</v>
      </c>
    </row>
    <row r="708" spans="4:4" x14ac:dyDescent="0.15">
      <c r="D708" s="69" t="s">
        <v>352</v>
      </c>
    </row>
    <row r="709" spans="4:4" x14ac:dyDescent="0.15">
      <c r="D709" s="69" t="s">
        <v>352</v>
      </c>
    </row>
    <row r="710" spans="4:4" x14ac:dyDescent="0.15">
      <c r="D710" s="69" t="s">
        <v>352</v>
      </c>
    </row>
    <row r="711" spans="4:4" x14ac:dyDescent="0.15">
      <c r="D711" s="69" t="s">
        <v>352</v>
      </c>
    </row>
    <row r="712" spans="4:4" x14ac:dyDescent="0.15">
      <c r="D712" s="69" t="s">
        <v>352</v>
      </c>
    </row>
    <row r="713" spans="4:4" x14ac:dyDescent="0.15">
      <c r="D713" s="69" t="s">
        <v>352</v>
      </c>
    </row>
    <row r="714" spans="4:4" x14ac:dyDescent="0.15">
      <c r="D714" s="69" t="s">
        <v>352</v>
      </c>
    </row>
    <row r="715" spans="4:4" x14ac:dyDescent="0.15">
      <c r="D715" s="69" t="s">
        <v>352</v>
      </c>
    </row>
    <row r="716" spans="4:4" x14ac:dyDescent="0.15">
      <c r="D716" s="69" t="s">
        <v>352</v>
      </c>
    </row>
    <row r="717" spans="4:4" x14ac:dyDescent="0.15">
      <c r="D717" s="69" t="s">
        <v>352</v>
      </c>
    </row>
    <row r="718" spans="4:4" x14ac:dyDescent="0.15">
      <c r="D718" s="69" t="s">
        <v>352</v>
      </c>
    </row>
    <row r="719" spans="4:4" x14ac:dyDescent="0.15">
      <c r="D719" s="69" t="s">
        <v>352</v>
      </c>
    </row>
    <row r="720" spans="4:4" x14ac:dyDescent="0.15">
      <c r="D720" s="69" t="s">
        <v>352</v>
      </c>
    </row>
    <row r="721" spans="4:4" x14ac:dyDescent="0.15">
      <c r="D721" s="69" t="s">
        <v>352</v>
      </c>
    </row>
    <row r="722" spans="4:4" x14ac:dyDescent="0.15">
      <c r="D722" s="69" t="s">
        <v>352</v>
      </c>
    </row>
    <row r="723" spans="4:4" x14ac:dyDescent="0.15">
      <c r="D723" s="69" t="s">
        <v>352</v>
      </c>
    </row>
    <row r="724" spans="4:4" x14ac:dyDescent="0.15">
      <c r="D724" s="69" t="s">
        <v>352</v>
      </c>
    </row>
    <row r="725" spans="4:4" x14ac:dyDescent="0.15">
      <c r="D725" s="69" t="s">
        <v>352</v>
      </c>
    </row>
    <row r="726" spans="4:4" x14ac:dyDescent="0.15">
      <c r="D726" s="69" t="s">
        <v>352</v>
      </c>
    </row>
    <row r="727" spans="4:4" x14ac:dyDescent="0.15">
      <c r="D727" s="69" t="s">
        <v>352</v>
      </c>
    </row>
    <row r="728" spans="4:4" x14ac:dyDescent="0.15">
      <c r="D728" s="69" t="s">
        <v>352</v>
      </c>
    </row>
    <row r="729" spans="4:4" x14ac:dyDescent="0.15">
      <c r="D729" s="69" t="s">
        <v>352</v>
      </c>
    </row>
    <row r="730" spans="4:4" x14ac:dyDescent="0.15">
      <c r="D730" s="69" t="s">
        <v>352</v>
      </c>
    </row>
    <row r="731" spans="4:4" x14ac:dyDescent="0.15">
      <c r="D731" s="69" t="s">
        <v>352</v>
      </c>
    </row>
    <row r="732" spans="4:4" x14ac:dyDescent="0.15">
      <c r="D732" s="69" t="s">
        <v>352</v>
      </c>
    </row>
    <row r="733" spans="4:4" x14ac:dyDescent="0.15">
      <c r="D733" s="69" t="s">
        <v>352</v>
      </c>
    </row>
    <row r="734" spans="4:4" x14ac:dyDescent="0.15">
      <c r="D734" s="69" t="s">
        <v>352</v>
      </c>
    </row>
    <row r="735" spans="4:4" x14ac:dyDescent="0.15">
      <c r="D735" s="69" t="s">
        <v>352</v>
      </c>
    </row>
    <row r="736" spans="4:4" x14ac:dyDescent="0.15">
      <c r="D736" s="69" t="s">
        <v>352</v>
      </c>
    </row>
    <row r="737" spans="4:4" x14ac:dyDescent="0.15">
      <c r="D737" s="69" t="s">
        <v>352</v>
      </c>
    </row>
    <row r="738" spans="4:4" x14ac:dyDescent="0.15">
      <c r="D738" s="69" t="s">
        <v>352</v>
      </c>
    </row>
    <row r="739" spans="4:4" x14ac:dyDescent="0.15">
      <c r="D739" s="69" t="s">
        <v>352</v>
      </c>
    </row>
    <row r="740" spans="4:4" x14ac:dyDescent="0.15">
      <c r="D740" s="69" t="s">
        <v>352</v>
      </c>
    </row>
    <row r="741" spans="4:4" x14ac:dyDescent="0.15">
      <c r="D741" s="69" t="s">
        <v>352</v>
      </c>
    </row>
    <row r="742" spans="4:4" x14ac:dyDescent="0.15">
      <c r="D742" s="69" t="s">
        <v>352</v>
      </c>
    </row>
    <row r="743" spans="4:4" x14ac:dyDescent="0.15">
      <c r="D743" s="69" t="s">
        <v>352</v>
      </c>
    </row>
    <row r="744" spans="4:4" x14ac:dyDescent="0.15">
      <c r="D744" s="69" t="s">
        <v>352</v>
      </c>
    </row>
    <row r="745" spans="4:4" x14ac:dyDescent="0.15">
      <c r="D745" s="69" t="s">
        <v>352</v>
      </c>
    </row>
    <row r="746" spans="4:4" x14ac:dyDescent="0.15">
      <c r="D746" s="69" t="s">
        <v>352</v>
      </c>
    </row>
    <row r="747" spans="4:4" x14ac:dyDescent="0.15">
      <c r="D747" s="69" t="s">
        <v>352</v>
      </c>
    </row>
    <row r="748" spans="4:4" x14ac:dyDescent="0.15">
      <c r="D748" s="69" t="s">
        <v>352</v>
      </c>
    </row>
    <row r="749" spans="4:4" x14ac:dyDescent="0.15">
      <c r="D749" s="69" t="s">
        <v>352</v>
      </c>
    </row>
    <row r="750" spans="4:4" x14ac:dyDescent="0.15">
      <c r="D750" s="69" t="s">
        <v>352</v>
      </c>
    </row>
    <row r="751" spans="4:4" x14ac:dyDescent="0.15">
      <c r="D751" s="69" t="s">
        <v>352</v>
      </c>
    </row>
    <row r="752" spans="4:4" x14ac:dyDescent="0.15">
      <c r="D752" s="69" t="s">
        <v>352</v>
      </c>
    </row>
    <row r="753" spans="4:4" x14ac:dyDescent="0.15">
      <c r="D753" s="69" t="s">
        <v>352</v>
      </c>
    </row>
    <row r="754" spans="4:4" x14ac:dyDescent="0.15">
      <c r="D754" s="69" t="s">
        <v>352</v>
      </c>
    </row>
    <row r="755" spans="4:4" x14ac:dyDescent="0.15">
      <c r="D755" s="69" t="s">
        <v>352</v>
      </c>
    </row>
    <row r="756" spans="4:4" x14ac:dyDescent="0.15">
      <c r="D756" s="69" t="s">
        <v>352</v>
      </c>
    </row>
    <row r="757" spans="4:4" x14ac:dyDescent="0.15">
      <c r="D757" s="69" t="s">
        <v>352</v>
      </c>
    </row>
    <row r="758" spans="4:4" x14ac:dyDescent="0.15">
      <c r="D758" s="69" t="s">
        <v>352</v>
      </c>
    </row>
    <row r="759" spans="4:4" x14ac:dyDescent="0.15">
      <c r="D759" s="69" t="s">
        <v>352</v>
      </c>
    </row>
    <row r="760" spans="4:4" x14ac:dyDescent="0.15">
      <c r="D760" s="69" t="s">
        <v>352</v>
      </c>
    </row>
    <row r="761" spans="4:4" x14ac:dyDescent="0.15">
      <c r="D761" s="69" t="s">
        <v>352</v>
      </c>
    </row>
    <row r="762" spans="4:4" x14ac:dyDescent="0.15">
      <c r="D762" s="69" t="s">
        <v>352</v>
      </c>
    </row>
    <row r="763" spans="4:4" x14ac:dyDescent="0.15">
      <c r="D763" s="69" t="s">
        <v>352</v>
      </c>
    </row>
    <row r="764" spans="4:4" x14ac:dyDescent="0.15">
      <c r="D764" s="69" t="s">
        <v>352</v>
      </c>
    </row>
    <row r="765" spans="4:4" x14ac:dyDescent="0.15">
      <c r="D765" s="69" t="s">
        <v>352</v>
      </c>
    </row>
    <row r="766" spans="4:4" x14ac:dyDescent="0.15">
      <c r="D766" s="69" t="s">
        <v>352</v>
      </c>
    </row>
    <row r="767" spans="4:4" x14ac:dyDescent="0.15">
      <c r="D767" s="69" t="s">
        <v>352</v>
      </c>
    </row>
    <row r="768" spans="4:4" x14ac:dyDescent="0.15">
      <c r="D768" s="69" t="s">
        <v>352</v>
      </c>
    </row>
    <row r="769" spans="4:4" x14ac:dyDescent="0.15">
      <c r="D769" s="69" t="s">
        <v>352</v>
      </c>
    </row>
    <row r="770" spans="4:4" x14ac:dyDescent="0.15">
      <c r="D770" s="69" t="s">
        <v>352</v>
      </c>
    </row>
    <row r="771" spans="4:4" x14ac:dyDescent="0.15">
      <c r="D771" s="69" t="s">
        <v>352</v>
      </c>
    </row>
    <row r="772" spans="4:4" x14ac:dyDescent="0.15">
      <c r="D772" s="69" t="s">
        <v>352</v>
      </c>
    </row>
    <row r="773" spans="4:4" x14ac:dyDescent="0.15">
      <c r="D773" s="69" t="s">
        <v>352</v>
      </c>
    </row>
    <row r="774" spans="4:4" x14ac:dyDescent="0.15">
      <c r="D774" s="69" t="s">
        <v>352</v>
      </c>
    </row>
    <row r="775" spans="4:4" x14ac:dyDescent="0.15">
      <c r="D775" s="69" t="s">
        <v>352</v>
      </c>
    </row>
    <row r="776" spans="4:4" x14ac:dyDescent="0.15">
      <c r="D776" s="69" t="s">
        <v>352</v>
      </c>
    </row>
    <row r="777" spans="4:4" x14ac:dyDescent="0.15">
      <c r="D777" s="69" t="s">
        <v>352</v>
      </c>
    </row>
    <row r="778" spans="4:4" x14ac:dyDescent="0.15">
      <c r="D778" s="69" t="s">
        <v>352</v>
      </c>
    </row>
    <row r="779" spans="4:4" x14ac:dyDescent="0.15">
      <c r="D779" s="69" t="s">
        <v>352</v>
      </c>
    </row>
    <row r="780" spans="4:4" x14ac:dyDescent="0.15">
      <c r="D780" s="69" t="s">
        <v>352</v>
      </c>
    </row>
    <row r="781" spans="4:4" x14ac:dyDescent="0.15">
      <c r="D781" s="69" t="s">
        <v>352</v>
      </c>
    </row>
    <row r="782" spans="4:4" x14ac:dyDescent="0.15">
      <c r="D782" s="69" t="s">
        <v>352</v>
      </c>
    </row>
    <row r="783" spans="4:4" x14ac:dyDescent="0.15">
      <c r="D783" s="69" t="s">
        <v>352</v>
      </c>
    </row>
    <row r="784" spans="4:4" x14ac:dyDescent="0.15">
      <c r="D784" s="69" t="s">
        <v>352</v>
      </c>
    </row>
    <row r="785" spans="4:4" x14ac:dyDescent="0.15">
      <c r="D785" s="69" t="s">
        <v>352</v>
      </c>
    </row>
    <row r="786" spans="4:4" x14ac:dyDescent="0.15">
      <c r="D786" s="69" t="s">
        <v>352</v>
      </c>
    </row>
    <row r="787" spans="4:4" x14ac:dyDescent="0.15">
      <c r="D787" s="69" t="s">
        <v>352</v>
      </c>
    </row>
    <row r="788" spans="4:4" x14ac:dyDescent="0.15">
      <c r="D788" s="69" t="s">
        <v>352</v>
      </c>
    </row>
    <row r="789" spans="4:4" x14ac:dyDescent="0.15">
      <c r="D789" s="69" t="s">
        <v>352</v>
      </c>
    </row>
    <row r="790" spans="4:4" x14ac:dyDescent="0.15">
      <c r="D790" s="69" t="s">
        <v>352</v>
      </c>
    </row>
    <row r="791" spans="4:4" x14ac:dyDescent="0.15">
      <c r="D791" s="69" t="s">
        <v>352</v>
      </c>
    </row>
    <row r="792" spans="4:4" x14ac:dyDescent="0.15">
      <c r="D792" s="69" t="s">
        <v>352</v>
      </c>
    </row>
    <row r="793" spans="4:4" x14ac:dyDescent="0.15">
      <c r="D793" s="69" t="s">
        <v>352</v>
      </c>
    </row>
    <row r="794" spans="4:4" x14ac:dyDescent="0.15">
      <c r="D794" s="69" t="s">
        <v>352</v>
      </c>
    </row>
    <row r="795" spans="4:4" x14ac:dyDescent="0.15">
      <c r="D795" s="69" t="s">
        <v>352</v>
      </c>
    </row>
    <row r="796" spans="4:4" x14ac:dyDescent="0.15">
      <c r="D796" s="69" t="s">
        <v>352</v>
      </c>
    </row>
    <row r="797" spans="4:4" x14ac:dyDescent="0.15">
      <c r="D797" s="69" t="s">
        <v>352</v>
      </c>
    </row>
    <row r="798" spans="4:4" x14ac:dyDescent="0.15">
      <c r="D798" s="69" t="s">
        <v>352</v>
      </c>
    </row>
    <row r="799" spans="4:4" x14ac:dyDescent="0.15">
      <c r="D799" s="69" t="s">
        <v>352</v>
      </c>
    </row>
    <row r="800" spans="4:4" x14ac:dyDescent="0.15">
      <c r="D800" s="69" t="s">
        <v>352</v>
      </c>
    </row>
    <row r="801" spans="4:4" x14ac:dyDescent="0.15">
      <c r="D801" s="69" t="s">
        <v>352</v>
      </c>
    </row>
    <row r="802" spans="4:4" x14ac:dyDescent="0.15">
      <c r="D802" s="69" t="s">
        <v>352</v>
      </c>
    </row>
    <row r="803" spans="4:4" x14ac:dyDescent="0.15">
      <c r="D803" s="69" t="s">
        <v>352</v>
      </c>
    </row>
    <row r="804" spans="4:4" x14ac:dyDescent="0.15">
      <c r="D804" s="69" t="s">
        <v>352</v>
      </c>
    </row>
    <row r="805" spans="4:4" x14ac:dyDescent="0.15">
      <c r="D805" s="69" t="s">
        <v>352</v>
      </c>
    </row>
    <row r="806" spans="4:4" x14ac:dyDescent="0.15">
      <c r="D806" s="69" t="s">
        <v>352</v>
      </c>
    </row>
    <row r="807" spans="4:4" x14ac:dyDescent="0.15">
      <c r="D807" s="69" t="s">
        <v>352</v>
      </c>
    </row>
    <row r="808" spans="4:4" x14ac:dyDescent="0.15">
      <c r="D808" s="69" t="s">
        <v>352</v>
      </c>
    </row>
    <row r="809" spans="4:4" x14ac:dyDescent="0.15">
      <c r="D809" s="69" t="s">
        <v>352</v>
      </c>
    </row>
    <row r="810" spans="4:4" x14ac:dyDescent="0.15">
      <c r="D810" s="69" t="s">
        <v>352</v>
      </c>
    </row>
    <row r="811" spans="4:4" x14ac:dyDescent="0.15">
      <c r="D811" s="69" t="s">
        <v>352</v>
      </c>
    </row>
    <row r="812" spans="4:4" x14ac:dyDescent="0.15">
      <c r="D812" s="69" t="s">
        <v>352</v>
      </c>
    </row>
    <row r="813" spans="4:4" x14ac:dyDescent="0.15">
      <c r="D813" s="69" t="s">
        <v>352</v>
      </c>
    </row>
    <row r="814" spans="4:4" x14ac:dyDescent="0.15">
      <c r="D814" s="69" t="s">
        <v>352</v>
      </c>
    </row>
    <row r="815" spans="4:4" x14ac:dyDescent="0.15">
      <c r="D815" s="69" t="s">
        <v>352</v>
      </c>
    </row>
    <row r="816" spans="4:4" x14ac:dyDescent="0.15">
      <c r="D816" s="69" t="s">
        <v>352</v>
      </c>
    </row>
    <row r="817" spans="4:4" x14ac:dyDescent="0.15">
      <c r="D817" s="69" t="s">
        <v>352</v>
      </c>
    </row>
    <row r="818" spans="4:4" x14ac:dyDescent="0.15">
      <c r="D818" s="69" t="s">
        <v>352</v>
      </c>
    </row>
    <row r="819" spans="4:4" x14ac:dyDescent="0.15">
      <c r="D819" s="69" t="s">
        <v>352</v>
      </c>
    </row>
    <row r="820" spans="4:4" x14ac:dyDescent="0.15">
      <c r="D820" s="69" t="s">
        <v>352</v>
      </c>
    </row>
    <row r="821" spans="4:4" x14ac:dyDescent="0.15">
      <c r="D821" s="69" t="s">
        <v>352</v>
      </c>
    </row>
    <row r="822" spans="4:4" x14ac:dyDescent="0.15">
      <c r="D822" s="69" t="s">
        <v>352</v>
      </c>
    </row>
    <row r="823" spans="4:4" x14ac:dyDescent="0.15">
      <c r="D823" s="69" t="s">
        <v>352</v>
      </c>
    </row>
    <row r="824" spans="4:4" x14ac:dyDescent="0.15">
      <c r="D824" s="69" t="s">
        <v>352</v>
      </c>
    </row>
    <row r="825" spans="4:4" x14ac:dyDescent="0.15">
      <c r="D825" s="69" t="s">
        <v>352</v>
      </c>
    </row>
    <row r="826" spans="4:4" x14ac:dyDescent="0.15">
      <c r="D826" s="69" t="s">
        <v>352</v>
      </c>
    </row>
    <row r="827" spans="4:4" x14ac:dyDescent="0.15">
      <c r="D827" s="69" t="s">
        <v>352</v>
      </c>
    </row>
    <row r="828" spans="4:4" x14ac:dyDescent="0.15">
      <c r="D828" s="69" t="s">
        <v>352</v>
      </c>
    </row>
    <row r="829" spans="4:4" x14ac:dyDescent="0.15">
      <c r="D829" s="69" t="s">
        <v>352</v>
      </c>
    </row>
    <row r="830" spans="4:4" x14ac:dyDescent="0.15">
      <c r="D830" s="69" t="s">
        <v>352</v>
      </c>
    </row>
    <row r="831" spans="4:4" x14ac:dyDescent="0.15">
      <c r="D831" s="69" t="s">
        <v>352</v>
      </c>
    </row>
    <row r="832" spans="4:4" x14ac:dyDescent="0.15">
      <c r="D832" s="69" t="s">
        <v>352</v>
      </c>
    </row>
    <row r="833" spans="4:4" x14ac:dyDescent="0.15">
      <c r="D833" s="69" t="s">
        <v>352</v>
      </c>
    </row>
    <row r="834" spans="4:4" x14ac:dyDescent="0.15">
      <c r="D834" s="69" t="s">
        <v>352</v>
      </c>
    </row>
    <row r="835" spans="4:4" x14ac:dyDescent="0.15">
      <c r="D835" s="69" t="s">
        <v>352</v>
      </c>
    </row>
    <row r="836" spans="4:4" x14ac:dyDescent="0.15">
      <c r="D836" s="69" t="s">
        <v>352</v>
      </c>
    </row>
    <row r="837" spans="4:4" x14ac:dyDescent="0.15">
      <c r="D837" s="69" t="s">
        <v>352</v>
      </c>
    </row>
    <row r="838" spans="4:4" x14ac:dyDescent="0.15">
      <c r="D838" s="69" t="s">
        <v>352</v>
      </c>
    </row>
    <row r="839" spans="4:4" x14ac:dyDescent="0.15">
      <c r="D839" s="69" t="s">
        <v>352</v>
      </c>
    </row>
    <row r="840" spans="4:4" x14ac:dyDescent="0.15">
      <c r="D840" s="69" t="s">
        <v>352</v>
      </c>
    </row>
    <row r="841" spans="4:4" x14ac:dyDescent="0.15">
      <c r="D841" s="69" t="s">
        <v>352</v>
      </c>
    </row>
    <row r="842" spans="4:4" x14ac:dyDescent="0.15">
      <c r="D842" s="69" t="s">
        <v>352</v>
      </c>
    </row>
    <row r="843" spans="4:4" x14ac:dyDescent="0.15">
      <c r="D843" s="69" t="s">
        <v>352</v>
      </c>
    </row>
    <row r="844" spans="4:4" x14ac:dyDescent="0.15">
      <c r="D844" s="69" t="s">
        <v>352</v>
      </c>
    </row>
    <row r="845" spans="4:4" x14ac:dyDescent="0.15">
      <c r="D845" s="69" t="s">
        <v>352</v>
      </c>
    </row>
    <row r="846" spans="4:4" x14ac:dyDescent="0.15">
      <c r="D846" s="69" t="s">
        <v>352</v>
      </c>
    </row>
    <row r="847" spans="4:4" x14ac:dyDescent="0.15">
      <c r="D847" s="69" t="s">
        <v>352</v>
      </c>
    </row>
    <row r="848" spans="4:4" x14ac:dyDescent="0.15">
      <c r="D848" s="69" t="s">
        <v>352</v>
      </c>
    </row>
    <row r="849" spans="4:4" x14ac:dyDescent="0.15">
      <c r="D849" s="69" t="s">
        <v>352</v>
      </c>
    </row>
    <row r="850" spans="4:4" x14ac:dyDescent="0.15">
      <c r="D850" s="69" t="s">
        <v>352</v>
      </c>
    </row>
    <row r="851" spans="4:4" x14ac:dyDescent="0.15">
      <c r="D851" s="69" t="s">
        <v>352</v>
      </c>
    </row>
    <row r="852" spans="4:4" x14ac:dyDescent="0.15">
      <c r="D852" s="69" t="s">
        <v>352</v>
      </c>
    </row>
    <row r="853" spans="4:4" x14ac:dyDescent="0.15">
      <c r="D853" s="69" t="s">
        <v>352</v>
      </c>
    </row>
    <row r="854" spans="4:4" x14ac:dyDescent="0.15">
      <c r="D854" s="69" t="s">
        <v>352</v>
      </c>
    </row>
    <row r="855" spans="4:4" x14ac:dyDescent="0.15">
      <c r="D855" s="69" t="s">
        <v>352</v>
      </c>
    </row>
    <row r="856" spans="4:4" x14ac:dyDescent="0.15">
      <c r="D856" s="69" t="s">
        <v>352</v>
      </c>
    </row>
    <row r="857" spans="4:4" x14ac:dyDescent="0.15">
      <c r="D857" s="69" t="s">
        <v>352</v>
      </c>
    </row>
    <row r="858" spans="4:4" x14ac:dyDescent="0.15">
      <c r="D858" s="69" t="s">
        <v>352</v>
      </c>
    </row>
    <row r="859" spans="4:4" x14ac:dyDescent="0.15">
      <c r="D859" s="69" t="s">
        <v>352</v>
      </c>
    </row>
    <row r="860" spans="4:4" x14ac:dyDescent="0.15">
      <c r="D860" s="69" t="s">
        <v>352</v>
      </c>
    </row>
    <row r="861" spans="4:4" x14ac:dyDescent="0.15">
      <c r="D861" s="69" t="s">
        <v>352</v>
      </c>
    </row>
    <row r="862" spans="4:4" x14ac:dyDescent="0.15">
      <c r="D862" s="69" t="s">
        <v>352</v>
      </c>
    </row>
    <row r="863" spans="4:4" x14ac:dyDescent="0.15">
      <c r="D863" s="69" t="s">
        <v>352</v>
      </c>
    </row>
    <row r="864" spans="4:4" x14ac:dyDescent="0.15">
      <c r="D864" s="69" t="s">
        <v>352</v>
      </c>
    </row>
    <row r="865" spans="4:4" x14ac:dyDescent="0.15">
      <c r="D865" s="69" t="s">
        <v>352</v>
      </c>
    </row>
    <row r="866" spans="4:4" x14ac:dyDescent="0.15">
      <c r="D866" s="69" t="s">
        <v>352</v>
      </c>
    </row>
    <row r="867" spans="4:4" x14ac:dyDescent="0.15">
      <c r="D867" s="69" t="s">
        <v>352</v>
      </c>
    </row>
    <row r="868" spans="4:4" x14ac:dyDescent="0.15">
      <c r="D868" s="69" t="s">
        <v>352</v>
      </c>
    </row>
    <row r="869" spans="4:4" x14ac:dyDescent="0.15">
      <c r="D869" s="69" t="s">
        <v>352</v>
      </c>
    </row>
    <row r="870" spans="4:4" x14ac:dyDescent="0.15">
      <c r="D870" s="69" t="s">
        <v>352</v>
      </c>
    </row>
    <row r="871" spans="4:4" x14ac:dyDescent="0.15">
      <c r="D871" s="69" t="s">
        <v>352</v>
      </c>
    </row>
    <row r="872" spans="4:4" x14ac:dyDescent="0.15">
      <c r="D872" s="69" t="s">
        <v>352</v>
      </c>
    </row>
    <row r="873" spans="4:4" x14ac:dyDescent="0.15">
      <c r="D873" s="69" t="s">
        <v>352</v>
      </c>
    </row>
    <row r="874" spans="4:4" x14ac:dyDescent="0.15">
      <c r="D874" s="69" t="s">
        <v>352</v>
      </c>
    </row>
    <row r="875" spans="4:4" x14ac:dyDescent="0.15">
      <c r="D875" s="69" t="s">
        <v>352</v>
      </c>
    </row>
    <row r="876" spans="4:4" x14ac:dyDescent="0.15">
      <c r="D876" s="69" t="s">
        <v>352</v>
      </c>
    </row>
    <row r="877" spans="4:4" x14ac:dyDescent="0.15">
      <c r="D877" s="69" t="s">
        <v>352</v>
      </c>
    </row>
    <row r="878" spans="4:4" x14ac:dyDescent="0.15">
      <c r="D878" s="69" t="s">
        <v>352</v>
      </c>
    </row>
    <row r="879" spans="4:4" x14ac:dyDescent="0.15">
      <c r="D879" s="69" t="s">
        <v>352</v>
      </c>
    </row>
    <row r="880" spans="4:4" x14ac:dyDescent="0.15">
      <c r="D880" s="69" t="s">
        <v>352</v>
      </c>
    </row>
    <row r="881" spans="4:4" x14ac:dyDescent="0.15">
      <c r="D881" s="69" t="s">
        <v>352</v>
      </c>
    </row>
    <row r="882" spans="4:4" x14ac:dyDescent="0.15">
      <c r="D882" s="69" t="s">
        <v>352</v>
      </c>
    </row>
    <row r="883" spans="4:4" x14ac:dyDescent="0.15">
      <c r="D883" s="69" t="s">
        <v>352</v>
      </c>
    </row>
    <row r="884" spans="4:4" x14ac:dyDescent="0.15">
      <c r="D884" s="69" t="s">
        <v>352</v>
      </c>
    </row>
    <row r="885" spans="4:4" x14ac:dyDescent="0.15">
      <c r="D885" s="69" t="s">
        <v>352</v>
      </c>
    </row>
    <row r="886" spans="4:4" x14ac:dyDescent="0.15">
      <c r="D886" s="69" t="s">
        <v>352</v>
      </c>
    </row>
    <row r="887" spans="4:4" x14ac:dyDescent="0.15">
      <c r="D887" s="69" t="s">
        <v>352</v>
      </c>
    </row>
    <row r="888" spans="4:4" x14ac:dyDescent="0.15">
      <c r="D888" s="69" t="s">
        <v>352</v>
      </c>
    </row>
    <row r="889" spans="4:4" x14ac:dyDescent="0.15">
      <c r="D889" s="69" t="s">
        <v>352</v>
      </c>
    </row>
    <row r="890" spans="4:4" x14ac:dyDescent="0.15">
      <c r="D890" s="69" t="s">
        <v>352</v>
      </c>
    </row>
    <row r="891" spans="4:4" x14ac:dyDescent="0.15">
      <c r="D891" s="69" t="s">
        <v>352</v>
      </c>
    </row>
    <row r="892" spans="4:4" x14ac:dyDescent="0.15">
      <c r="D892" s="69" t="s">
        <v>352</v>
      </c>
    </row>
    <row r="893" spans="4:4" x14ac:dyDescent="0.15">
      <c r="D893" s="69" t="s">
        <v>352</v>
      </c>
    </row>
    <row r="894" spans="4:4" x14ac:dyDescent="0.15">
      <c r="D894" s="69" t="s">
        <v>352</v>
      </c>
    </row>
    <row r="895" spans="4:4" x14ac:dyDescent="0.15">
      <c r="D895" s="69" t="s">
        <v>352</v>
      </c>
    </row>
    <row r="896" spans="4:4" x14ac:dyDescent="0.15">
      <c r="D896" s="69" t="s">
        <v>352</v>
      </c>
    </row>
    <row r="897" spans="4:4" x14ac:dyDescent="0.15">
      <c r="D897" s="69" t="s">
        <v>352</v>
      </c>
    </row>
    <row r="898" spans="4:4" x14ac:dyDescent="0.15">
      <c r="D898" s="69" t="s">
        <v>352</v>
      </c>
    </row>
    <row r="899" spans="4:4" x14ac:dyDescent="0.15">
      <c r="D899" s="69" t="s">
        <v>352</v>
      </c>
    </row>
    <row r="900" spans="4:4" x14ac:dyDescent="0.15">
      <c r="D900" s="69" t="s">
        <v>352</v>
      </c>
    </row>
    <row r="901" spans="4:4" x14ac:dyDescent="0.15">
      <c r="D901" s="69" t="s">
        <v>352</v>
      </c>
    </row>
    <row r="902" spans="4:4" x14ac:dyDescent="0.15">
      <c r="D902" s="69" t="s">
        <v>352</v>
      </c>
    </row>
    <row r="903" spans="4:4" x14ac:dyDescent="0.15">
      <c r="D903" s="69" t="s">
        <v>352</v>
      </c>
    </row>
    <row r="904" spans="4:4" x14ac:dyDescent="0.15">
      <c r="D904" s="69" t="s">
        <v>352</v>
      </c>
    </row>
    <row r="905" spans="4:4" x14ac:dyDescent="0.15">
      <c r="D905" s="69" t="s">
        <v>352</v>
      </c>
    </row>
    <row r="906" spans="4:4" x14ac:dyDescent="0.15">
      <c r="D906" s="69" t="s">
        <v>352</v>
      </c>
    </row>
    <row r="907" spans="4:4" x14ac:dyDescent="0.15">
      <c r="D907" s="69" t="s">
        <v>352</v>
      </c>
    </row>
    <row r="908" spans="4:4" x14ac:dyDescent="0.15">
      <c r="D908" s="69" t="s">
        <v>352</v>
      </c>
    </row>
    <row r="909" spans="4:4" x14ac:dyDescent="0.15">
      <c r="D909" s="69" t="s">
        <v>352</v>
      </c>
    </row>
    <row r="910" spans="4:4" x14ac:dyDescent="0.15">
      <c r="D910" s="69" t="s">
        <v>352</v>
      </c>
    </row>
    <row r="911" spans="4:4" x14ac:dyDescent="0.15">
      <c r="D911" s="69" t="s">
        <v>352</v>
      </c>
    </row>
    <row r="912" spans="4:4" x14ac:dyDescent="0.15">
      <c r="D912" s="69" t="s">
        <v>352</v>
      </c>
    </row>
    <row r="913" spans="4:4" x14ac:dyDescent="0.15">
      <c r="D913" s="69" t="s">
        <v>352</v>
      </c>
    </row>
    <row r="914" spans="4:4" x14ac:dyDescent="0.15">
      <c r="D914" s="69" t="s">
        <v>352</v>
      </c>
    </row>
    <row r="915" spans="4:4" x14ac:dyDescent="0.15">
      <c r="D915" s="69" t="s">
        <v>352</v>
      </c>
    </row>
    <row r="916" spans="4:4" x14ac:dyDescent="0.15">
      <c r="D916" s="69" t="s">
        <v>352</v>
      </c>
    </row>
    <row r="917" spans="4:4" x14ac:dyDescent="0.15">
      <c r="D917" s="69" t="s">
        <v>352</v>
      </c>
    </row>
    <row r="918" spans="4:4" x14ac:dyDescent="0.15">
      <c r="D918" s="69" t="s">
        <v>352</v>
      </c>
    </row>
    <row r="919" spans="4:4" x14ac:dyDescent="0.15">
      <c r="D919" s="69" t="s">
        <v>352</v>
      </c>
    </row>
    <row r="920" spans="4:4" x14ac:dyDescent="0.15">
      <c r="D920" s="69" t="s">
        <v>352</v>
      </c>
    </row>
    <row r="921" spans="4:4" x14ac:dyDescent="0.15">
      <c r="D921" s="69" t="s">
        <v>352</v>
      </c>
    </row>
    <row r="922" spans="4:4" x14ac:dyDescent="0.15">
      <c r="D922" s="69" t="s">
        <v>352</v>
      </c>
    </row>
    <row r="923" spans="4:4" x14ac:dyDescent="0.15">
      <c r="D923" s="69" t="s">
        <v>352</v>
      </c>
    </row>
    <row r="924" spans="4:4" x14ac:dyDescent="0.15">
      <c r="D924" s="69" t="s">
        <v>352</v>
      </c>
    </row>
    <row r="925" spans="4:4" x14ac:dyDescent="0.15">
      <c r="D925" s="69" t="s">
        <v>352</v>
      </c>
    </row>
    <row r="926" spans="4:4" x14ac:dyDescent="0.15">
      <c r="D926" s="69" t="s">
        <v>352</v>
      </c>
    </row>
    <row r="927" spans="4:4" x14ac:dyDescent="0.15">
      <c r="D927" s="69" t="s">
        <v>352</v>
      </c>
    </row>
    <row r="928" spans="4:4" x14ac:dyDescent="0.15">
      <c r="D928" s="69" t="s">
        <v>352</v>
      </c>
    </row>
    <row r="929" spans="4:4" x14ac:dyDescent="0.15">
      <c r="D929" s="69" t="s">
        <v>352</v>
      </c>
    </row>
    <row r="930" spans="4:4" x14ac:dyDescent="0.15">
      <c r="D930" s="69" t="s">
        <v>352</v>
      </c>
    </row>
    <row r="931" spans="4:4" x14ac:dyDescent="0.15">
      <c r="D931" s="69" t="s">
        <v>352</v>
      </c>
    </row>
    <row r="932" spans="4:4" x14ac:dyDescent="0.15">
      <c r="D932" s="69" t="s">
        <v>352</v>
      </c>
    </row>
    <row r="933" spans="4:4" x14ac:dyDescent="0.15">
      <c r="D933" s="69" t="s">
        <v>352</v>
      </c>
    </row>
    <row r="934" spans="4:4" x14ac:dyDescent="0.15">
      <c r="D934" s="69" t="s">
        <v>352</v>
      </c>
    </row>
    <row r="935" spans="4:4" x14ac:dyDescent="0.15">
      <c r="D935" s="69" t="s">
        <v>352</v>
      </c>
    </row>
    <row r="936" spans="4:4" x14ac:dyDescent="0.15">
      <c r="D936" s="69" t="s">
        <v>352</v>
      </c>
    </row>
    <row r="937" spans="4:4" x14ac:dyDescent="0.15">
      <c r="D937" s="69" t="s">
        <v>352</v>
      </c>
    </row>
    <row r="938" spans="4:4" x14ac:dyDescent="0.15">
      <c r="D938" s="69" t="s">
        <v>352</v>
      </c>
    </row>
    <row r="939" spans="4:4" x14ac:dyDescent="0.15">
      <c r="D939" s="69" t="s">
        <v>352</v>
      </c>
    </row>
    <row r="940" spans="4:4" x14ac:dyDescent="0.15">
      <c r="D940" s="69" t="s">
        <v>352</v>
      </c>
    </row>
    <row r="941" spans="4:4" x14ac:dyDescent="0.15">
      <c r="D941" s="69" t="s">
        <v>352</v>
      </c>
    </row>
    <row r="942" spans="4:4" x14ac:dyDescent="0.15">
      <c r="D942" s="69" t="s">
        <v>352</v>
      </c>
    </row>
    <row r="943" spans="4:4" x14ac:dyDescent="0.15">
      <c r="D943" s="69" t="s">
        <v>352</v>
      </c>
    </row>
    <row r="944" spans="4:4" x14ac:dyDescent="0.15">
      <c r="D944" s="69" t="s">
        <v>352</v>
      </c>
    </row>
    <row r="945" spans="4:4" x14ac:dyDescent="0.15">
      <c r="D945" s="69" t="s">
        <v>352</v>
      </c>
    </row>
    <row r="946" spans="4:4" x14ac:dyDescent="0.15">
      <c r="D946" s="69" t="s">
        <v>352</v>
      </c>
    </row>
    <row r="947" spans="4:4" x14ac:dyDescent="0.15">
      <c r="D947" s="69" t="s">
        <v>352</v>
      </c>
    </row>
    <row r="948" spans="4:4" x14ac:dyDescent="0.15">
      <c r="D948" s="69" t="s">
        <v>352</v>
      </c>
    </row>
    <row r="949" spans="4:4" x14ac:dyDescent="0.15">
      <c r="D949" s="69" t="s">
        <v>352</v>
      </c>
    </row>
    <row r="950" spans="4:4" x14ac:dyDescent="0.15">
      <c r="D950" s="69" t="s">
        <v>352</v>
      </c>
    </row>
    <row r="951" spans="4:4" x14ac:dyDescent="0.15">
      <c r="D951" s="69" t="s">
        <v>352</v>
      </c>
    </row>
    <row r="952" spans="4:4" x14ac:dyDescent="0.15">
      <c r="D952" s="69" t="s">
        <v>352</v>
      </c>
    </row>
    <row r="953" spans="4:4" x14ac:dyDescent="0.15">
      <c r="D953" s="69" t="s">
        <v>352</v>
      </c>
    </row>
    <row r="954" spans="4:4" x14ac:dyDescent="0.15">
      <c r="D954" s="69" t="s">
        <v>352</v>
      </c>
    </row>
    <row r="955" spans="4:4" x14ac:dyDescent="0.15">
      <c r="D955" s="69" t="s">
        <v>352</v>
      </c>
    </row>
    <row r="956" spans="4:4" x14ac:dyDescent="0.15">
      <c r="D956" s="69" t="s">
        <v>352</v>
      </c>
    </row>
    <row r="957" spans="4:4" x14ac:dyDescent="0.15">
      <c r="D957" s="69" t="s">
        <v>352</v>
      </c>
    </row>
    <row r="958" spans="4:4" x14ac:dyDescent="0.15">
      <c r="D958" s="69" t="s">
        <v>352</v>
      </c>
    </row>
    <row r="959" spans="4:4" x14ac:dyDescent="0.15">
      <c r="D959" s="69" t="s">
        <v>352</v>
      </c>
    </row>
    <row r="960" spans="4:4" x14ac:dyDescent="0.15">
      <c r="D960" s="69" t="s">
        <v>352</v>
      </c>
    </row>
    <row r="961" spans="4:4" x14ac:dyDescent="0.15">
      <c r="D961" s="69" t="s">
        <v>352</v>
      </c>
    </row>
    <row r="962" spans="4:4" x14ac:dyDescent="0.15">
      <c r="D962" s="69" t="s">
        <v>352</v>
      </c>
    </row>
    <row r="963" spans="4:4" x14ac:dyDescent="0.15">
      <c r="D963" s="69" t="s">
        <v>352</v>
      </c>
    </row>
    <row r="964" spans="4:4" x14ac:dyDescent="0.15">
      <c r="D964" s="69" t="s">
        <v>352</v>
      </c>
    </row>
    <row r="965" spans="4:4" x14ac:dyDescent="0.15">
      <c r="D965" s="69" t="s">
        <v>352</v>
      </c>
    </row>
    <row r="966" spans="4:4" x14ac:dyDescent="0.15">
      <c r="D966" s="69" t="s">
        <v>352</v>
      </c>
    </row>
    <row r="967" spans="4:4" x14ac:dyDescent="0.15">
      <c r="D967" s="69" t="s">
        <v>352</v>
      </c>
    </row>
    <row r="968" spans="4:4" x14ac:dyDescent="0.15">
      <c r="D968" s="69" t="s">
        <v>352</v>
      </c>
    </row>
    <row r="969" spans="4:4" x14ac:dyDescent="0.15">
      <c r="D969" s="69" t="s">
        <v>352</v>
      </c>
    </row>
    <row r="970" spans="4:4" x14ac:dyDescent="0.15">
      <c r="D970" s="69" t="s">
        <v>352</v>
      </c>
    </row>
    <row r="971" spans="4:4" x14ac:dyDescent="0.15">
      <c r="D971" s="69" t="s">
        <v>352</v>
      </c>
    </row>
    <row r="972" spans="4:4" x14ac:dyDescent="0.15">
      <c r="D972" s="69" t="s">
        <v>352</v>
      </c>
    </row>
    <row r="973" spans="4:4" x14ac:dyDescent="0.15">
      <c r="D973" s="69" t="s">
        <v>352</v>
      </c>
    </row>
    <row r="974" spans="4:4" x14ac:dyDescent="0.15">
      <c r="D974" s="69" t="s">
        <v>352</v>
      </c>
    </row>
    <row r="975" spans="4:4" x14ac:dyDescent="0.15">
      <c r="D975" s="69" t="s">
        <v>352</v>
      </c>
    </row>
    <row r="976" spans="4:4" x14ac:dyDescent="0.15">
      <c r="D976" s="69" t="s">
        <v>352</v>
      </c>
    </row>
    <row r="977" spans="4:4" x14ac:dyDescent="0.15">
      <c r="D977" s="69" t="s">
        <v>352</v>
      </c>
    </row>
    <row r="978" spans="4:4" x14ac:dyDescent="0.15">
      <c r="D978" s="69" t="s">
        <v>352</v>
      </c>
    </row>
    <row r="979" spans="4:4" x14ac:dyDescent="0.15">
      <c r="D979" s="69" t="s">
        <v>352</v>
      </c>
    </row>
    <row r="980" spans="4:4" x14ac:dyDescent="0.15">
      <c r="D980" s="69" t="s">
        <v>352</v>
      </c>
    </row>
    <row r="981" spans="4:4" x14ac:dyDescent="0.15">
      <c r="D981" s="69" t="s">
        <v>352</v>
      </c>
    </row>
    <row r="982" spans="4:4" x14ac:dyDescent="0.15">
      <c r="D982" s="69" t="s">
        <v>352</v>
      </c>
    </row>
    <row r="983" spans="4:4" x14ac:dyDescent="0.15">
      <c r="D983" s="69" t="s">
        <v>352</v>
      </c>
    </row>
    <row r="984" spans="4:4" x14ac:dyDescent="0.15">
      <c r="D984" s="69" t="s">
        <v>352</v>
      </c>
    </row>
    <row r="985" spans="4:4" x14ac:dyDescent="0.15">
      <c r="D985" s="69" t="s">
        <v>352</v>
      </c>
    </row>
    <row r="986" spans="4:4" x14ac:dyDescent="0.15">
      <c r="D986" s="69" t="s">
        <v>352</v>
      </c>
    </row>
    <row r="987" spans="4:4" x14ac:dyDescent="0.15">
      <c r="D987" s="69" t="s">
        <v>352</v>
      </c>
    </row>
    <row r="988" spans="4:4" x14ac:dyDescent="0.15">
      <c r="D988" s="69" t="s">
        <v>352</v>
      </c>
    </row>
    <row r="989" spans="4:4" x14ac:dyDescent="0.15">
      <c r="D989" s="69" t="s">
        <v>352</v>
      </c>
    </row>
    <row r="990" spans="4:4" x14ac:dyDescent="0.15">
      <c r="D990" s="69" t="s">
        <v>352</v>
      </c>
    </row>
    <row r="991" spans="4:4" x14ac:dyDescent="0.15">
      <c r="D991" s="69" t="s">
        <v>352</v>
      </c>
    </row>
    <row r="992" spans="4:4" x14ac:dyDescent="0.15">
      <c r="D992" s="69" t="s">
        <v>352</v>
      </c>
    </row>
    <row r="993" spans="4:4" x14ac:dyDescent="0.15">
      <c r="D993" s="69" t="s">
        <v>352</v>
      </c>
    </row>
    <row r="994" spans="4:4" x14ac:dyDescent="0.15">
      <c r="D994" s="69" t="s">
        <v>352</v>
      </c>
    </row>
    <row r="995" spans="4:4" x14ac:dyDescent="0.15">
      <c r="D995" s="69" t="s">
        <v>352</v>
      </c>
    </row>
    <row r="996" spans="4:4" x14ac:dyDescent="0.15">
      <c r="D996" s="69" t="s">
        <v>352</v>
      </c>
    </row>
    <row r="997" spans="4:4" x14ac:dyDescent="0.15">
      <c r="D997" s="69" t="s">
        <v>352</v>
      </c>
    </row>
    <row r="998" spans="4:4" x14ac:dyDescent="0.15">
      <c r="D998" s="69" t="s">
        <v>352</v>
      </c>
    </row>
    <row r="999" spans="4:4" x14ac:dyDescent="0.15">
      <c r="D999" s="69" t="s">
        <v>352</v>
      </c>
    </row>
    <row r="1000" spans="4:4" x14ac:dyDescent="0.15">
      <c r="D1000" s="69" t="s">
        <v>352</v>
      </c>
    </row>
    <row r="1001" spans="4:4" x14ac:dyDescent="0.15">
      <c r="D1001" s="69" t="s">
        <v>352</v>
      </c>
    </row>
    <row r="1002" spans="4:4" x14ac:dyDescent="0.15">
      <c r="D1002" s="69" t="s">
        <v>352</v>
      </c>
    </row>
    <row r="1003" spans="4:4" x14ac:dyDescent="0.15">
      <c r="D1003" s="69" t="s">
        <v>352</v>
      </c>
    </row>
    <row r="1004" spans="4:4" x14ac:dyDescent="0.15">
      <c r="D1004" s="69" t="s">
        <v>352</v>
      </c>
    </row>
    <row r="1005" spans="4:4" x14ac:dyDescent="0.15">
      <c r="D1005" s="69" t="s">
        <v>352</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16" workbookViewId="0">
      <pane xSplit="3" topLeftCell="F16"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355</v>
      </c>
      <c r="C2" s="114" t="s">
        <v>23</v>
      </c>
      <c r="D2" s="114" t="s">
        <v>343</v>
      </c>
      <c r="E2" s="114" t="s">
        <v>331</v>
      </c>
      <c r="F2" s="114" t="s">
        <v>356</v>
      </c>
      <c r="G2" s="114" t="s">
        <v>357</v>
      </c>
      <c r="H2" s="114" t="s">
        <v>324</v>
      </c>
      <c r="I2" s="114" t="s">
        <v>358</v>
      </c>
      <c r="J2" s="115" t="s">
        <v>359</v>
      </c>
      <c r="K2" s="115" t="s">
        <v>360</v>
      </c>
      <c r="L2" s="116" t="s">
        <v>361</v>
      </c>
    </row>
    <row r="3" spans="2:12" x14ac:dyDescent="0.15">
      <c r="B3" s="114">
        <v>1</v>
      </c>
      <c r="C3" s="63" t="str">
        <f>IF(烤漆色號編碼!A2="","-",烤漆色號編碼!A2)</f>
        <v>DP-11485</v>
      </c>
      <c r="D3" s="27">
        <f>IFERROR(VLOOKUP($C3,當前庫存!$C:$I,5,FALSE),"-")</f>
        <v>1</v>
      </c>
      <c r="E3" s="27">
        <f>IFERROR(VLOOKUP($C3,當前庫存!$C:$I,4,FALSE),"-")</f>
        <v>38</v>
      </c>
      <c r="F3" s="27">
        <f>IFERROR(VLOOKUP($C3,烤漆色號編碼!$A:$D,4,FALSE)*表格3[[#This Row],[當前庫存]]+表格3[[#This Row],[欄1]],"-")</f>
        <v>63</v>
      </c>
      <c r="G3" s="63">
        <v>1</v>
      </c>
      <c r="H3" s="63">
        <f>5+23+10</f>
        <v>38</v>
      </c>
      <c r="I3" s="27">
        <f>IFERROR(VLOOKUP($C3,烤漆色號編碼!$A:$D,4,FALSE)*表格3[[#This Row],[箱數]]+表格3[[#This Row],[散粉]],"-")</f>
        <v>63</v>
      </c>
      <c r="J3" s="117" t="str">
        <f>IF(I3&gt;表格3[[#This Row],[欄2]],"多粉",IF(I3&lt;表格3[[#This Row],[欄2]],"少粉","正確"))</f>
        <v>正確</v>
      </c>
      <c r="K3" s="117">
        <f>I3-表格3[[#This Row],[欄2]]</f>
        <v>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27</v>
      </c>
      <c r="F7" s="27">
        <f>IFERROR(VLOOKUP($C7,烤漆色號編碼!$A:$D,4,FALSE)*表格3[[#This Row],[當前庫存]]+表格3[[#This Row],[欄1]],"-")</f>
        <v>27</v>
      </c>
      <c r="G7" s="63">
        <v>0</v>
      </c>
      <c r="H7" s="63">
        <f>21+6</f>
        <v>27</v>
      </c>
      <c r="I7" s="27">
        <f>IFERROR(VLOOKUP($C7,烤漆色號編碼!$A:$D,4,FALSE)*表格3[[#This Row],[箱數]]+表格3[[#This Row],[散粉]],"-")</f>
        <v>27</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12</v>
      </c>
      <c r="F8" s="27">
        <f>IFERROR(VLOOKUP($C8,烤漆色號編碼!$A:$D,4,FALSE)*表格3[[#This Row],[當前庫存]]+表格3[[#This Row],[欄1]],"-")</f>
        <v>87</v>
      </c>
      <c r="G8" s="63">
        <v>3</v>
      </c>
      <c r="H8" s="63">
        <v>12</v>
      </c>
      <c r="I8" s="27">
        <f>IFERROR(VLOOKUP($C8,烤漆色號編碼!$A:$D,4,FALSE)*表格3[[#This Row],[箱數]]+表格3[[#This Row],[散粉]],"-")</f>
        <v>87</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5</v>
      </c>
      <c r="E10" s="27">
        <f>IFERROR(VLOOKUP($C10,當前庫存!$C:$I,4,FALSE),"-")</f>
        <v>5</v>
      </c>
      <c r="F10" s="27">
        <f>IFERROR(VLOOKUP($C10,烤漆色號編碼!$A:$D,4,FALSE)*表格3[[#This Row],[當前庫存]]+表格3[[#This Row],[欄1]],"-")</f>
        <v>130</v>
      </c>
      <c r="G10" s="63">
        <v>5</v>
      </c>
      <c r="H10" s="63">
        <v>5</v>
      </c>
      <c r="I10" s="27">
        <f>IFERROR(VLOOKUP($C10,烤漆色號編碼!$A:$D,4,FALSE)*表格3[[#This Row],[箱數]]+表格3[[#This Row],[散粉]],"-")</f>
        <v>130</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4</v>
      </c>
      <c r="E11" s="27">
        <f>IFERROR(VLOOKUP($C11,當前庫存!$C:$I,4,FALSE),"-")</f>
        <v>11</v>
      </c>
      <c r="F11" s="27">
        <f>IFERROR(VLOOKUP($C11,烤漆色號編碼!$A:$D,4,FALSE)*表格3[[#This Row],[當前庫存]]+表格3[[#This Row],[欄1]],"-")</f>
        <v>111</v>
      </c>
      <c r="G11" s="63">
        <v>4</v>
      </c>
      <c r="H11" s="63">
        <v>11</v>
      </c>
      <c r="I11" s="27">
        <f>IFERROR(VLOOKUP($C11,烤漆色號編碼!$A:$D,4,FALSE)*表格3[[#This Row],[箱數]]+表格3[[#This Row],[散粉]],"-")</f>
        <v>111</v>
      </c>
      <c r="J11" s="117" t="str">
        <f>IF(I11&gt;表格3[[#This Row],[欄2]],"多粉",IF(I11&lt;表格3[[#This Row],[欄2]],"少粉","正確"))</f>
        <v>正確</v>
      </c>
      <c r="K11" s="117">
        <f>I11-表格3[[#This Row],[欄2]]</f>
        <v>0</v>
      </c>
      <c r="L11" s="111"/>
    </row>
    <row r="12" spans="2:12" x14ac:dyDescent="0.15">
      <c r="B12" s="114">
        <v>10</v>
      </c>
      <c r="C12" s="63" t="str">
        <f>IF(烤漆色號編碼!A11="","-",烤漆色號編碼!A11)</f>
        <v>EN-402T</v>
      </c>
      <c r="D12" s="27">
        <f>IFERROR(VLOOKUP($C12,當前庫存!$C:$I,5,FALSE),"-")</f>
        <v>0</v>
      </c>
      <c r="E12" s="27">
        <f>IFERROR(VLOOKUP($C12,當前庫存!$C:$I,4,FALSE),"-")</f>
        <v>36</v>
      </c>
      <c r="F12" s="27">
        <f>IFERROR(VLOOKUP($C12,烤漆色號編碼!$A:$D,4,FALSE)*表格3[[#This Row],[當前庫存]]+表格3[[#This Row],[欄1]],"-")</f>
        <v>36</v>
      </c>
      <c r="G12" s="63">
        <v>0</v>
      </c>
      <c r="H12" s="63">
        <f>20+16</f>
        <v>36</v>
      </c>
      <c r="I12" s="27">
        <f>IFERROR(VLOOKUP($C12,烤漆色號編碼!$A:$D,4,FALSE)*表格3[[#This Row],[箱數]]+表格3[[#This Row],[散粉]],"-")</f>
        <v>36</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17</v>
      </c>
      <c r="E13" s="27">
        <f>IFERROR(VLOOKUP($C13,當前庫存!$C:$I,4,FALSE),"-")</f>
        <v>3</v>
      </c>
      <c r="F13" s="27">
        <f>IFERROR(VLOOKUP($C13,烤漆色號編碼!$A:$D,4,FALSE)*表格3[[#This Row],[當前庫存]]+表格3[[#This Row],[欄1]],"-")</f>
        <v>428</v>
      </c>
      <c r="G13" s="63">
        <v>17</v>
      </c>
      <c r="H13" s="63">
        <v>8</v>
      </c>
      <c r="I13" s="27">
        <f>IFERROR(VLOOKUP($C13,烤漆色號編碼!$A:$D,4,FALSE)*表格3[[#This Row],[箱數]]+表格3[[#This Row],[散粉]],"-")</f>
        <v>433</v>
      </c>
      <c r="J13" s="117" t="str">
        <f>IF(I13&gt;表格3[[#This Row],[欄2]],"多粉",IF(I13&lt;表格3[[#This Row],[欄2]],"少粉","正確"))</f>
        <v>多粉</v>
      </c>
      <c r="K13" s="117">
        <f>I13-表格3[[#This Row],[欄2]]</f>
        <v>5</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3</v>
      </c>
      <c r="E15" s="27">
        <f>IFERROR(VLOOKUP($C15,當前庫存!$C:$I,4,FALSE),"-")</f>
        <v>26</v>
      </c>
      <c r="F15" s="27">
        <f>IFERROR(VLOOKUP($C15,烤漆色號編碼!$A:$D,4,FALSE)*表格3[[#This Row],[當前庫存]]+表格3[[#This Row],[欄1]],"-")</f>
        <v>101</v>
      </c>
      <c r="G15" s="63">
        <v>3</v>
      </c>
      <c r="H15" s="63">
        <v>26</v>
      </c>
      <c r="I15" s="27">
        <f>IFERROR(VLOOKUP($C15,烤漆色號編碼!$A:$D,4,FALSE)*表格3[[#This Row],[箱數]]+表格3[[#This Row],[散粉]],"-")</f>
        <v>101</v>
      </c>
      <c r="J15" s="117" t="str">
        <f>IF(I15&gt;表格3[[#This Row],[欄2]],"多粉",IF(I15&lt;表格3[[#This Row],[欄2]],"少粉","正確"))</f>
        <v>正確</v>
      </c>
      <c r="K15" s="117">
        <f>I15-表格3[[#This Row],[欄2]]</f>
        <v>0</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2</v>
      </c>
      <c r="E18" s="27">
        <f>IFERROR(VLOOKUP($C18,當前庫存!$C:$I,4,FALSE),"-")</f>
        <v>22</v>
      </c>
      <c r="F18" s="27">
        <f>IFERROR(VLOOKUP($C18,烤漆色號編碼!$A:$D,4,FALSE)*表格3[[#This Row],[當前庫存]]+表格3[[#This Row],[欄1]],"-")</f>
        <v>72</v>
      </c>
      <c r="G18" s="63">
        <v>2</v>
      </c>
      <c r="H18" s="63">
        <v>14</v>
      </c>
      <c r="I18" s="27">
        <f>IFERROR(VLOOKUP($C18,烤漆色號編碼!$A:$D,4,FALSE)*表格3[[#This Row],[箱數]]+表格3[[#This Row],[散粉]],"-")</f>
        <v>64</v>
      </c>
      <c r="J18" s="117" t="str">
        <f>IF(I18&gt;表格3[[#This Row],[欄2]],"多粉",IF(I18&lt;表格3[[#This Row],[欄2]],"少粉","正確"))</f>
        <v>少粉</v>
      </c>
      <c r="K18" s="117">
        <f>I18-表格3[[#This Row],[欄2]]</f>
        <v>-8</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20</v>
      </c>
      <c r="F23" s="27">
        <f>IFERROR(VLOOKUP($C23,烤漆色號編碼!$A:$D,4,FALSE)*表格3[[#This Row],[當前庫存]]+表格3[[#This Row],[欄1]],"-")</f>
        <v>95</v>
      </c>
      <c r="G23" s="63">
        <v>3</v>
      </c>
      <c r="H23" s="63">
        <v>21</v>
      </c>
      <c r="I23" s="27">
        <f>IFERROR(VLOOKUP($C23,烤漆色號編碼!$A:$D,4,FALSE)*表格3[[#This Row],[箱數]]+表格3[[#This Row],[散粉]],"-")</f>
        <v>96</v>
      </c>
      <c r="J23" s="117" t="str">
        <f>IF(I23&gt;表格3[[#This Row],[欄2]],"多粉",IF(I23&lt;表格3[[#This Row],[欄2]],"少粉","正確"))</f>
        <v>多粉</v>
      </c>
      <c r="K23" s="117">
        <f>I23-表格3[[#This Row],[欄2]]</f>
        <v>1</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12</v>
      </c>
      <c r="I25" s="27">
        <f>IFERROR(VLOOKUP($C25,烤漆色號編碼!$A:$D,4,FALSE)*表格3[[#This Row],[箱數]]+表格3[[#This Row],[散粉]],"-")</f>
        <v>62</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26+24+21</f>
        <v>71</v>
      </c>
      <c r="I26" s="27">
        <f>IFERROR(VLOOKUP($C26,烤漆色號編碼!$A:$D,4,FALSE)*表格3[[#This Row],[箱數]]+表格3[[#This Row],[散粉]],"-")</f>
        <v>96</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12</v>
      </c>
      <c r="F27" s="27">
        <f>IFERROR(VLOOKUP($C27,烤漆色號編碼!$A:$D,4,FALSE)*表格3[[#This Row],[當前庫存]]+表格3[[#This Row],[欄1]],"-")</f>
        <v>12</v>
      </c>
      <c r="G27" s="63">
        <v>0</v>
      </c>
      <c r="H27" s="63">
        <v>12</v>
      </c>
      <c r="I27" s="27">
        <f>IFERROR(VLOOKUP($C27,烤漆色號編碼!$A:$D,4,FALSE)*表格3[[#This Row],[箱數]]+表格3[[#This Row],[散粉]],"-")</f>
        <v>12</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2</v>
      </c>
      <c r="E29" s="27">
        <f>IFERROR(VLOOKUP($C29,當前庫存!$C:$I,4,FALSE),"-")</f>
        <v>4</v>
      </c>
      <c r="F29" s="27">
        <f>IFERROR(VLOOKUP($C29,烤漆色號編碼!$A:$D,4,FALSE)*表格3[[#This Row],[當前庫存]]+表格3[[#This Row],[欄1]],"-")</f>
        <v>54</v>
      </c>
      <c r="G29" s="63">
        <v>2</v>
      </c>
      <c r="H29" s="63">
        <v>4</v>
      </c>
      <c r="I29" s="27">
        <f>IFERROR(VLOOKUP($C29,烤漆色號編碼!$A:$D,4,FALSE)*表格3[[#This Row],[箱數]]+表格3[[#This Row],[散粉]],"-")</f>
        <v>54</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12</v>
      </c>
      <c r="E35" s="27">
        <f>IFERROR(VLOOKUP($C35,當前庫存!$C:$I,4,FALSE),"-")</f>
        <v>5</v>
      </c>
      <c r="F35" s="27">
        <f>IFERROR(VLOOKUP($C35,烤漆色號編碼!$A:$D,4,FALSE)*表格3[[#This Row],[當前庫存]]+表格3[[#This Row],[欄1]],"-")</f>
        <v>305</v>
      </c>
      <c r="G35" s="63">
        <v>13</v>
      </c>
      <c r="H35" s="63">
        <f>5</f>
        <v>5</v>
      </c>
      <c r="I35" s="27">
        <f>IFERROR(VLOOKUP($C35,烤漆色號編碼!$A:$D,4,FALSE)*表格3[[#This Row],[箱數]]+表格3[[#This Row],[散粉]],"-")</f>
        <v>330</v>
      </c>
      <c r="J35" s="117" t="str">
        <f>IF(I35&gt;表格3[[#This Row],[欄2]],"多粉",IF(I35&lt;表格3[[#This Row],[欄2]],"少粉","正確"))</f>
        <v>多粉</v>
      </c>
      <c r="K35" s="117">
        <f>I35-表格3[[#This Row],[欄2]]</f>
        <v>25</v>
      </c>
    </row>
    <row r="36" spans="2:11" x14ac:dyDescent="0.15">
      <c r="B36" s="114">
        <v>34</v>
      </c>
      <c r="C36" s="63" t="str">
        <f>IF(烤漆色號編碼!A35="","-",烤漆色號編碼!A35)</f>
        <v>008/1H174</v>
      </c>
      <c r="D36" s="27">
        <f>IFERROR(VLOOKUP($C36,當前庫存!$C:$I,5,FALSE),"-")</f>
        <v>26</v>
      </c>
      <c r="E36" s="27">
        <f>IFERROR(VLOOKUP($C36,當前庫存!$C:$I,4,FALSE),"-")</f>
        <v>14</v>
      </c>
      <c r="F36" s="27">
        <f>IFERROR(VLOOKUP($C36,烤漆色號編碼!$A:$D,4,FALSE)*表格3[[#This Row],[當前庫存]]+表格3[[#This Row],[欄1]],"-")</f>
        <v>664</v>
      </c>
      <c r="G36" s="63">
        <v>27</v>
      </c>
      <c r="H36" s="63">
        <v>6</v>
      </c>
      <c r="I36" s="27">
        <f>IFERROR(VLOOKUP($C36,烤漆色號編碼!$A:$D,4,FALSE)*表格3[[#This Row],[箱數]]+表格3[[#This Row],[散粉]],"-")</f>
        <v>681</v>
      </c>
      <c r="J36" s="117" t="str">
        <f>IF(I36&gt;表格3[[#This Row],[欄2]],"多粉",IF(I36&lt;表格3[[#This Row],[欄2]],"少粉","正確"))</f>
        <v>多粉</v>
      </c>
      <c r="K36" s="117">
        <f>I36-表格3[[#This Row],[欄2]]</f>
        <v>17</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8+3+1</f>
        <v>12</v>
      </c>
      <c r="I37" s="27">
        <f>IFERROR(VLOOKUP($C37,烤漆色號編碼!$A:$D,4,FALSE)*表格3[[#This Row],[箱數]]+表格3[[#This Row],[散粉]],"-")</f>
        <v>12</v>
      </c>
      <c r="J37" s="117" t="str">
        <f>IF(I37&gt;表格3[[#This Row],[欄2]],"多粉",IF(I37&lt;表格3[[#This Row],[欄2]],"少粉","正確"))</f>
        <v>正確</v>
      </c>
      <c r="K37" s="117">
        <f>I37-表格3[[#This Row],[欄2]]</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0</v>
      </c>
      <c r="H39" s="63">
        <v>20</v>
      </c>
      <c r="I39" s="27">
        <f>IFERROR(VLOOKUP($C39,烤漆色號編碼!$A:$D,4,FALSE)*表格3[[#This Row],[箱數]]+表格3[[#This Row],[散粉]],"-")</f>
        <v>20</v>
      </c>
      <c r="J39" s="117" t="str">
        <f>IF(I39&gt;表格3[[#This Row],[欄2]],"多粉",IF(I39&lt;表格3[[#This Row],[欄2]],"少粉","正確"))</f>
        <v>正確</v>
      </c>
      <c r="K39" s="117">
        <f>I39-表格3[[#This Row],[欄2]]</f>
        <v>0</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0</v>
      </c>
      <c r="H40" s="63">
        <v>0</v>
      </c>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tr">
        <f>IF(烤漆色號編碼!A40="","-",烤漆色號編碼!A40)</f>
        <v>07146D</v>
      </c>
      <c r="D41" s="27">
        <f>IFERROR(VLOOKUP($C41,當前庫存!$C:$I,5,FALSE),"-")</f>
        <v>5</v>
      </c>
      <c r="E41" s="27">
        <f>IFERROR(VLOOKUP($C41,當前庫存!$C:$I,4,FALSE),"-")</f>
        <v>36</v>
      </c>
      <c r="F41" s="27">
        <f>IFERROR(VLOOKUP($C41,烤漆色號編碼!$A:$D,4,FALSE)*表格3[[#This Row],[當前庫存]]+表格3[[#This Row],[欄1]],"-")</f>
        <v>161</v>
      </c>
      <c r="G41" s="63">
        <v>5</v>
      </c>
      <c r="H41" s="63">
        <f>20+16</f>
        <v>36</v>
      </c>
      <c r="I41" s="27">
        <f>IFERROR(VLOOKUP($C41,烤漆色號編碼!$A:$D,4,FALSE)*表格3[[#This Row],[箱數]]+表格3[[#This Row],[散粉]],"-")</f>
        <v>161</v>
      </c>
      <c r="J41" s="117" t="str">
        <f>IF(I41&gt;表格3[[#This Row],[欄2]],"多粉",IF(I41&lt;表格3[[#This Row],[欄2]],"少粉","正確"))</f>
        <v>正確</v>
      </c>
      <c r="K41" s="117">
        <f>I41-表格3[[#This Row],[欄2]]</f>
        <v>0</v>
      </c>
    </row>
    <row r="42" spans="2:11" x14ac:dyDescent="0.15">
      <c r="B42" s="114">
        <v>40</v>
      </c>
      <c r="C42" s="63" t="s">
        <v>352</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352</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352</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352</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352</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352</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352</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352</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352</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352</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352</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352</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352</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352</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352</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352</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352</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352</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352</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352</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352</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352</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352</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352</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352</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352</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352</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352</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352</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352</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352</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352</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352</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352</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352</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352</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352</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352</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352</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352</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352</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352</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352</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352</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352</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352</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352</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352</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352</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352</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352</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352</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352</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352</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352</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352</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352</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352</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352</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1">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8" zoomScale="94" workbookViewId="0">
      <selection activeCell="F36" sqref="F36"/>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342</v>
      </c>
      <c r="E2" s="52" t="s">
        <v>343</v>
      </c>
      <c r="F2" s="52" t="s">
        <v>345</v>
      </c>
      <c r="G2" s="53" t="s">
        <v>344</v>
      </c>
      <c r="H2" s="83"/>
    </row>
    <row r="3" spans="1:17" x14ac:dyDescent="0.15">
      <c r="B3" s="128" t="s">
        <v>346</v>
      </c>
      <c r="C3" s="60" t="s">
        <v>23</v>
      </c>
      <c r="D3" s="60" t="s">
        <v>347</v>
      </c>
      <c r="E3" s="60" t="s">
        <v>17</v>
      </c>
      <c r="F3" s="84" t="s">
        <v>348</v>
      </c>
      <c r="G3" s="60" t="s">
        <v>362</v>
      </c>
      <c r="H3" s="84" t="s">
        <v>363</v>
      </c>
      <c r="I3" s="85" t="s">
        <v>364</v>
      </c>
      <c r="K3" s="128" t="s">
        <v>346</v>
      </c>
      <c r="L3" s="128" t="s">
        <v>23</v>
      </c>
      <c r="M3" s="128" t="s">
        <v>347</v>
      </c>
      <c r="N3" s="128" t="s">
        <v>17</v>
      </c>
      <c r="O3" s="128" t="s">
        <v>348</v>
      </c>
      <c r="P3" s="86" t="s">
        <v>365</v>
      </c>
      <c r="Q3" s="86" t="s">
        <v>363</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f>5+23+10</f>
        <v>38</v>
      </c>
      <c r="G4" s="63">
        <v>1</v>
      </c>
      <c r="H4" s="64">
        <f>IFERROR((G4*25)+F4,"-")</f>
        <v>63</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21+6</f>
        <v>27</v>
      </c>
      <c r="G8" s="63">
        <v>0</v>
      </c>
      <c r="H8" s="64">
        <f t="shared" si="1"/>
        <v>27</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12</v>
      </c>
      <c r="G9" s="63">
        <v>3</v>
      </c>
      <c r="H9" s="64">
        <f t="shared" si="1"/>
        <v>87</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5</v>
      </c>
      <c r="G11" s="63">
        <v>5</v>
      </c>
      <c r="H11" s="64">
        <f t="shared" si="1"/>
        <v>130</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16</f>
        <v>16</v>
      </c>
      <c r="G12" s="63">
        <v>6</v>
      </c>
      <c r="H12" s="64">
        <f t="shared" si="1"/>
        <v>166</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f>23</f>
        <v>23</v>
      </c>
      <c r="G13" s="63">
        <v>0</v>
      </c>
      <c r="H13" s="64">
        <f t="shared" si="1"/>
        <v>23</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f>21+4</f>
        <v>25</v>
      </c>
      <c r="G14" s="63">
        <v>28</v>
      </c>
      <c r="H14" s="64">
        <f t="shared" si="1"/>
        <v>725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f>12</f>
        <v>12</v>
      </c>
      <c r="G16" s="63">
        <v>4</v>
      </c>
      <c r="H16" s="64">
        <f t="shared" si="1"/>
        <v>112</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24</v>
      </c>
      <c r="G19" s="63">
        <v>7</v>
      </c>
      <c r="H19" s="64">
        <f t="shared" si="1"/>
        <v>199</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12</v>
      </c>
      <c r="G28" s="63">
        <v>0</v>
      </c>
      <c r="H28" s="64">
        <f t="shared" si="1"/>
        <v>12</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4</v>
      </c>
      <c r="G30" s="63">
        <v>2</v>
      </c>
      <c r="H30" s="64">
        <f t="shared" si="1"/>
        <v>54</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f>21+5</f>
        <v>26</v>
      </c>
      <c r="G36" s="63">
        <v>1</v>
      </c>
      <c r="H36" s="64">
        <f t="shared" si="1"/>
        <v>51</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008/1H174</v>
      </c>
      <c r="D37" s="64" t="str">
        <f>IF(烤漆色號編碼!C35="","-",烤漆色號編碼!C35)</f>
        <v>白亮光</v>
      </c>
      <c r="E37" s="64" t="str">
        <f>IF(烤漆色號編碼!B35="","-",烤漆色號編碼!B35)</f>
        <v>WE2</v>
      </c>
      <c r="F37" s="63">
        <v>6</v>
      </c>
      <c r="G37" s="63">
        <v>6</v>
      </c>
      <c r="H37" s="64">
        <f t="shared" si="1"/>
        <v>156</v>
      </c>
      <c r="K37" s="86">
        <v>32</v>
      </c>
      <c r="L37" s="90" t="s">
        <v>352</v>
      </c>
      <c r="M37" s="90" t="s">
        <v>353</v>
      </c>
      <c r="N37" s="90" t="s">
        <v>352</v>
      </c>
      <c r="O37" s="90" t="s">
        <v>352</v>
      </c>
      <c r="P37" s="90">
        <f t="shared" ref="P37: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352</v>
      </c>
      <c r="M38" s="89" t="s">
        <v>353</v>
      </c>
      <c r="N38" s="89" t="s">
        <v>352</v>
      </c>
      <c r="O38" s="89" t="s">
        <v>352</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352</v>
      </c>
      <c r="M39" s="89" t="s">
        <v>353</v>
      </c>
      <c r="N39" s="89" t="s">
        <v>352</v>
      </c>
      <c r="O39" s="89" t="s">
        <v>352</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352</v>
      </c>
      <c r="M40" s="89" t="s">
        <v>353</v>
      </c>
      <c r="N40" s="89" t="s">
        <v>352</v>
      </c>
      <c r="O40" s="89" t="s">
        <v>352</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352</v>
      </c>
      <c r="M41" s="89" t="s">
        <v>353</v>
      </c>
      <c r="N41" s="89" t="s">
        <v>352</v>
      </c>
      <c r="O41" s="89" t="s">
        <v>352</v>
      </c>
      <c r="P41" s="89">
        <f t="shared" si="4"/>
        <v>0</v>
      </c>
      <c r="Q41" s="89"/>
    </row>
    <row r="42" spans="2:17" x14ac:dyDescent="0.15">
      <c r="B42" s="87">
        <v>37</v>
      </c>
      <c r="C42" s="64" t="str">
        <f>IF(烤漆色號編碼!A40="","-",烤漆色號編碼!A40)</f>
        <v>07146D</v>
      </c>
      <c r="D42" s="64" t="str">
        <f>IF(烤漆色號編碼!C40="","-",烤漆色號編碼!C40)</f>
        <v>白色</v>
      </c>
      <c r="E42" s="64" t="str">
        <f>IF(烤漆色號編碼!B40="","-",烤漆色號編碼!B40)</f>
        <v>WE</v>
      </c>
      <c r="F42" s="63">
        <f>20+16</f>
        <v>36</v>
      </c>
      <c r="G42" s="63">
        <v>5</v>
      </c>
      <c r="H42" s="64">
        <f t="shared" ref="H42" si="5">IFERROR((G42*25)+F42,"-")</f>
        <v>161</v>
      </c>
      <c r="K42" s="86">
        <v>37</v>
      </c>
      <c r="L42" s="89" t="s">
        <v>352</v>
      </c>
      <c r="M42" s="89" t="s">
        <v>353</v>
      </c>
      <c r="N42" s="89" t="s">
        <v>352</v>
      </c>
      <c r="O42" s="89" t="s">
        <v>352</v>
      </c>
      <c r="P42" s="89">
        <f t="shared" ref="P42" si="6">Q42/25</f>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352</v>
      </c>
      <c r="M43" s="90" t="s">
        <v>353</v>
      </c>
      <c r="N43" s="90" t="s">
        <v>352</v>
      </c>
      <c r="O43" s="90" t="s">
        <v>352</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352</v>
      </c>
      <c r="M44" s="89" t="s">
        <v>353</v>
      </c>
      <c r="N44" s="89" t="s">
        <v>352</v>
      </c>
      <c r="O44" s="89" t="s">
        <v>352</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352</v>
      </c>
      <c r="M45" s="90" t="s">
        <v>353</v>
      </c>
      <c r="N45" s="90" t="s">
        <v>352</v>
      </c>
      <c r="O45" s="90" t="s">
        <v>352</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352</v>
      </c>
      <c r="M46" s="89" t="s">
        <v>353</v>
      </c>
      <c r="N46" s="89" t="s">
        <v>352</v>
      </c>
      <c r="O46" s="89" t="s">
        <v>352</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352</v>
      </c>
      <c r="M47" s="90" t="s">
        <v>353</v>
      </c>
      <c r="N47" s="90" t="s">
        <v>352</v>
      </c>
      <c r="O47" s="90" t="s">
        <v>352</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352</v>
      </c>
      <c r="M48" s="89" t="s">
        <v>353</v>
      </c>
      <c r="N48" s="89" t="s">
        <v>352</v>
      </c>
      <c r="O48" s="89" t="s">
        <v>352</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352</v>
      </c>
      <c r="M49" s="90" t="s">
        <v>353</v>
      </c>
      <c r="N49" s="90" t="s">
        <v>352</v>
      </c>
      <c r="O49" s="90" t="s">
        <v>352</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352</v>
      </c>
      <c r="M50" s="89" t="s">
        <v>353</v>
      </c>
      <c r="N50" s="89" t="s">
        <v>352</v>
      </c>
      <c r="O50" s="89" t="s">
        <v>352</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352</v>
      </c>
      <c r="M51" s="90" t="s">
        <v>353</v>
      </c>
      <c r="N51" s="90" t="s">
        <v>352</v>
      </c>
      <c r="O51" s="90" t="s">
        <v>352</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352</v>
      </c>
      <c r="M52" s="89" t="s">
        <v>353</v>
      </c>
      <c r="N52" s="89" t="s">
        <v>352</v>
      </c>
      <c r="O52" s="89" t="s">
        <v>352</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352</v>
      </c>
      <c r="M53" s="90" t="s">
        <v>353</v>
      </c>
      <c r="N53" s="90" t="s">
        <v>352</v>
      </c>
      <c r="O53" s="90" t="s">
        <v>352</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352</v>
      </c>
      <c r="M54" s="89" t="s">
        <v>353</v>
      </c>
      <c r="N54" s="89" t="s">
        <v>352</v>
      </c>
      <c r="O54" s="89" t="s">
        <v>352</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352</v>
      </c>
      <c r="M55" s="90" t="s">
        <v>353</v>
      </c>
      <c r="N55" s="90" t="s">
        <v>352</v>
      </c>
      <c r="O55" s="90" t="s">
        <v>352</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352</v>
      </c>
      <c r="M56" s="89" t="s">
        <v>352</v>
      </c>
      <c r="N56" s="89" t="s">
        <v>352</v>
      </c>
      <c r="O56" s="89" t="s">
        <v>352</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352</v>
      </c>
      <c r="M57" s="90" t="s">
        <v>352</v>
      </c>
      <c r="N57" s="90" t="s">
        <v>352</v>
      </c>
      <c r="O57" s="90" t="s">
        <v>352</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352</v>
      </c>
      <c r="M58" s="89" t="s">
        <v>352</v>
      </c>
      <c r="N58" s="89" t="s">
        <v>352</v>
      </c>
      <c r="O58" s="89" t="s">
        <v>352</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352</v>
      </c>
      <c r="M59" s="90" t="s">
        <v>352</v>
      </c>
      <c r="N59" s="90" t="s">
        <v>352</v>
      </c>
      <c r="O59" s="90" t="s">
        <v>352</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352</v>
      </c>
      <c r="M60" s="89" t="s">
        <v>352</v>
      </c>
      <c r="N60" s="89" t="s">
        <v>352</v>
      </c>
      <c r="O60" s="89" t="s">
        <v>352</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352</v>
      </c>
      <c r="M61" s="90" t="s">
        <v>352</v>
      </c>
      <c r="N61" s="90" t="s">
        <v>352</v>
      </c>
      <c r="O61" s="90" t="s">
        <v>352</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352</v>
      </c>
      <c r="M62" s="89" t="s">
        <v>352</v>
      </c>
      <c r="N62" s="89" t="s">
        <v>352</v>
      </c>
      <c r="O62" s="89" t="s">
        <v>352</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352</v>
      </c>
      <c r="M63" s="90" t="s">
        <v>352</v>
      </c>
      <c r="N63" s="90" t="s">
        <v>352</v>
      </c>
      <c r="O63" s="90" t="s">
        <v>352</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352</v>
      </c>
      <c r="M64" s="89" t="s">
        <v>352</v>
      </c>
      <c r="N64" s="89" t="s">
        <v>352</v>
      </c>
      <c r="O64" s="89" t="s">
        <v>352</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352</v>
      </c>
      <c r="M65" s="90" t="s">
        <v>352</v>
      </c>
      <c r="N65" s="90" t="s">
        <v>352</v>
      </c>
      <c r="O65" s="90" t="s">
        <v>352</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352</v>
      </c>
      <c r="M66" s="89" t="s">
        <v>352</v>
      </c>
      <c r="N66" s="89" t="s">
        <v>352</v>
      </c>
      <c r="O66" s="89" t="s">
        <v>352</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352</v>
      </c>
      <c r="M67" s="90" t="s">
        <v>352</v>
      </c>
      <c r="N67" s="90" t="s">
        <v>352</v>
      </c>
      <c r="O67" s="90" t="s">
        <v>352</v>
      </c>
      <c r="P67" s="90">
        <f t="shared" ref="P67:P83" si="7">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352</v>
      </c>
      <c r="M68" s="89" t="s">
        <v>352</v>
      </c>
      <c r="N68" s="89" t="s">
        <v>352</v>
      </c>
      <c r="O68" s="89" t="s">
        <v>352</v>
      </c>
      <c r="P68" s="89">
        <f t="shared" si="7"/>
        <v>0</v>
      </c>
      <c r="Q68" s="89"/>
    </row>
    <row r="69" spans="2:17" x14ac:dyDescent="0.15">
      <c r="B69" s="87">
        <v>64</v>
      </c>
      <c r="C69" s="64"/>
      <c r="D69" s="64" t="str">
        <f>IF(烤漆色號編碼!C75="","-",烤漆色號編碼!C75)</f>
        <v>-</v>
      </c>
      <c r="E69" s="64" t="str">
        <f>IF(烤漆色號編碼!B75="","-",烤漆色號編碼!B75)</f>
        <v>-</v>
      </c>
      <c r="F69" s="64"/>
      <c r="G69" s="64"/>
      <c r="H69" s="64">
        <f t="shared" ref="H69:H87" si="8">IFERROR((G69*25)+F69,"-")</f>
        <v>0</v>
      </c>
      <c r="K69" s="86">
        <v>64</v>
      </c>
      <c r="L69" s="90" t="s">
        <v>352</v>
      </c>
      <c r="M69" s="90" t="s">
        <v>352</v>
      </c>
      <c r="N69" s="90" t="s">
        <v>352</v>
      </c>
      <c r="O69" s="90" t="s">
        <v>352</v>
      </c>
      <c r="P69" s="90">
        <f t="shared" si="7"/>
        <v>0</v>
      </c>
      <c r="Q69" s="90"/>
    </row>
    <row r="70" spans="2:17" x14ac:dyDescent="0.15">
      <c r="B70" s="87">
        <v>65</v>
      </c>
      <c r="C70" s="64"/>
      <c r="D70" s="64" t="str">
        <f>IF(烤漆色號編碼!C76="","-",烤漆色號編碼!C76)</f>
        <v>-</v>
      </c>
      <c r="E70" s="64" t="str">
        <f>IF(烤漆色號編碼!B76="","-",烤漆色號編碼!B76)</f>
        <v>-</v>
      </c>
      <c r="F70" s="64"/>
      <c r="G70" s="64"/>
      <c r="H70" s="64">
        <f t="shared" si="8"/>
        <v>0</v>
      </c>
      <c r="K70" s="86">
        <v>65</v>
      </c>
      <c r="L70" s="89" t="s">
        <v>352</v>
      </c>
      <c r="M70" s="89" t="s">
        <v>352</v>
      </c>
      <c r="N70" s="89" t="s">
        <v>352</v>
      </c>
      <c r="O70" s="89" t="s">
        <v>352</v>
      </c>
      <c r="P70" s="89">
        <f t="shared" si="7"/>
        <v>0</v>
      </c>
      <c r="Q70" s="89"/>
    </row>
    <row r="71" spans="2:17" x14ac:dyDescent="0.15">
      <c r="B71" s="87">
        <v>66</v>
      </c>
      <c r="C71" s="64"/>
      <c r="D71" s="64" t="str">
        <f>IF(烤漆色號編碼!C77="","-",烤漆色號編碼!C77)</f>
        <v>-</v>
      </c>
      <c r="E71" s="64" t="str">
        <f>IF(烤漆色號編碼!B77="","-",烤漆色號編碼!B77)</f>
        <v>-</v>
      </c>
      <c r="F71" s="64"/>
      <c r="G71" s="64"/>
      <c r="H71" s="64">
        <f t="shared" si="8"/>
        <v>0</v>
      </c>
      <c r="K71" s="86">
        <v>66</v>
      </c>
      <c r="L71" s="90" t="s">
        <v>352</v>
      </c>
      <c r="M71" s="90" t="s">
        <v>352</v>
      </c>
      <c r="N71" s="90" t="s">
        <v>352</v>
      </c>
      <c r="O71" s="90" t="s">
        <v>352</v>
      </c>
      <c r="P71" s="90">
        <f t="shared" si="7"/>
        <v>0</v>
      </c>
      <c r="Q71" s="90"/>
    </row>
    <row r="72" spans="2:17" x14ac:dyDescent="0.15">
      <c r="B72" s="87">
        <v>67</v>
      </c>
      <c r="C72" s="64"/>
      <c r="D72" s="64" t="str">
        <f>IF(烤漆色號編碼!C78="","-",烤漆色號編碼!C78)</f>
        <v>-</v>
      </c>
      <c r="E72" s="64" t="str">
        <f>IF(烤漆色號編碼!B78="","-",烤漆色號編碼!B78)</f>
        <v>-</v>
      </c>
      <c r="F72" s="64"/>
      <c r="G72" s="64"/>
      <c r="H72" s="64">
        <f t="shared" si="8"/>
        <v>0</v>
      </c>
      <c r="K72" s="86">
        <v>67</v>
      </c>
      <c r="L72" s="89" t="s">
        <v>352</v>
      </c>
      <c r="M72" s="89" t="s">
        <v>352</v>
      </c>
      <c r="N72" s="89" t="s">
        <v>352</v>
      </c>
      <c r="O72" s="89" t="s">
        <v>352</v>
      </c>
      <c r="P72" s="89">
        <f t="shared" si="7"/>
        <v>0</v>
      </c>
      <c r="Q72" s="89"/>
    </row>
    <row r="73" spans="2:17" x14ac:dyDescent="0.15">
      <c r="B73" s="87">
        <v>68</v>
      </c>
      <c r="C73" s="64"/>
      <c r="D73" s="64" t="str">
        <f>IF(烤漆色號編碼!C79="","-",烤漆色號編碼!C79)</f>
        <v>-</v>
      </c>
      <c r="E73" s="64" t="str">
        <f>IF(烤漆色號編碼!B79="","-",烤漆色號編碼!B79)</f>
        <v>-</v>
      </c>
      <c r="F73" s="64"/>
      <c r="G73" s="64"/>
      <c r="H73" s="64">
        <f t="shared" si="8"/>
        <v>0</v>
      </c>
      <c r="K73" s="86">
        <v>68</v>
      </c>
      <c r="L73" s="90" t="s">
        <v>352</v>
      </c>
      <c r="M73" s="90" t="s">
        <v>352</v>
      </c>
      <c r="N73" s="90" t="s">
        <v>352</v>
      </c>
      <c r="O73" s="90" t="s">
        <v>352</v>
      </c>
      <c r="P73" s="90">
        <f t="shared" si="7"/>
        <v>0</v>
      </c>
      <c r="Q73" s="90"/>
    </row>
    <row r="74" spans="2:17" x14ac:dyDescent="0.15">
      <c r="B74" s="87">
        <v>69</v>
      </c>
      <c r="C74" s="64"/>
      <c r="D74" s="64" t="str">
        <f>IF(烤漆色號編碼!C80="","-",烤漆色號編碼!C80)</f>
        <v>-</v>
      </c>
      <c r="E74" s="64" t="str">
        <f>IF(烤漆色號編碼!B80="","-",烤漆色號編碼!B80)</f>
        <v>-</v>
      </c>
      <c r="F74" s="64"/>
      <c r="G74" s="64"/>
      <c r="H74" s="64">
        <f t="shared" si="8"/>
        <v>0</v>
      </c>
      <c r="K74" s="86">
        <v>69</v>
      </c>
      <c r="L74" s="89" t="s">
        <v>352</v>
      </c>
      <c r="M74" s="89" t="s">
        <v>352</v>
      </c>
      <c r="N74" s="89" t="s">
        <v>352</v>
      </c>
      <c r="O74" s="89" t="s">
        <v>352</v>
      </c>
      <c r="P74" s="89">
        <f t="shared" si="7"/>
        <v>0</v>
      </c>
      <c r="Q74" s="89"/>
    </row>
    <row r="75" spans="2:17" x14ac:dyDescent="0.15">
      <c r="B75" s="87">
        <v>70</v>
      </c>
      <c r="C75" s="64"/>
      <c r="D75" s="64" t="str">
        <f>IF(烤漆色號編碼!C81="","-",烤漆色號編碼!C81)</f>
        <v>-</v>
      </c>
      <c r="E75" s="64" t="str">
        <f>IF(烤漆色號編碼!B81="","-",烤漆色號編碼!B81)</f>
        <v>-</v>
      </c>
      <c r="F75" s="64"/>
      <c r="G75" s="64"/>
      <c r="H75" s="64">
        <f t="shared" si="8"/>
        <v>0</v>
      </c>
      <c r="K75" s="86">
        <v>70</v>
      </c>
      <c r="L75" s="90" t="s">
        <v>352</v>
      </c>
      <c r="M75" s="90" t="s">
        <v>352</v>
      </c>
      <c r="N75" s="90" t="s">
        <v>352</v>
      </c>
      <c r="O75" s="90" t="s">
        <v>352</v>
      </c>
      <c r="P75" s="90">
        <f t="shared" si="7"/>
        <v>0</v>
      </c>
      <c r="Q75" s="90"/>
    </row>
    <row r="76" spans="2:17" x14ac:dyDescent="0.15">
      <c r="B76" s="87">
        <v>71</v>
      </c>
      <c r="C76" s="64"/>
      <c r="D76" s="64" t="str">
        <f>IF(烤漆色號編碼!C82="","-",烤漆色號編碼!C82)</f>
        <v>-</v>
      </c>
      <c r="E76" s="64" t="str">
        <f>IF(烤漆色號編碼!B82="","-",烤漆色號編碼!B82)</f>
        <v>-</v>
      </c>
      <c r="F76" s="64"/>
      <c r="G76" s="64"/>
      <c r="H76" s="64">
        <f t="shared" si="8"/>
        <v>0</v>
      </c>
      <c r="K76" s="86">
        <v>71</v>
      </c>
      <c r="L76" s="89" t="s">
        <v>352</v>
      </c>
      <c r="M76" s="89" t="s">
        <v>352</v>
      </c>
      <c r="N76" s="89" t="s">
        <v>352</v>
      </c>
      <c r="O76" s="89" t="s">
        <v>352</v>
      </c>
      <c r="P76" s="89">
        <f t="shared" si="7"/>
        <v>0</v>
      </c>
      <c r="Q76" s="89"/>
    </row>
    <row r="77" spans="2:17" x14ac:dyDescent="0.15">
      <c r="B77" s="87">
        <v>72</v>
      </c>
      <c r="C77" s="64"/>
      <c r="D77" s="64" t="str">
        <f>IF(烤漆色號編碼!C83="","-",烤漆色號編碼!C83)</f>
        <v>-</v>
      </c>
      <c r="E77" s="64" t="str">
        <f>IF(烤漆色號編碼!B83="","-",烤漆色號編碼!B83)</f>
        <v>-</v>
      </c>
      <c r="F77" s="64"/>
      <c r="G77" s="64"/>
      <c r="H77" s="64">
        <f t="shared" si="8"/>
        <v>0</v>
      </c>
      <c r="K77" s="86">
        <v>72</v>
      </c>
      <c r="L77" s="90" t="s">
        <v>352</v>
      </c>
      <c r="M77" s="90" t="s">
        <v>352</v>
      </c>
      <c r="N77" s="90" t="s">
        <v>352</v>
      </c>
      <c r="O77" s="90" t="s">
        <v>352</v>
      </c>
      <c r="P77" s="90">
        <f t="shared" si="7"/>
        <v>0</v>
      </c>
      <c r="Q77" s="90"/>
    </row>
    <row r="78" spans="2:17" x14ac:dyDescent="0.15">
      <c r="B78" s="87">
        <v>73</v>
      </c>
      <c r="C78" s="64"/>
      <c r="D78" s="64" t="str">
        <f>IF(烤漆色號編碼!C84="","-",烤漆色號編碼!C84)</f>
        <v>-</v>
      </c>
      <c r="E78" s="64" t="str">
        <f>IF(烤漆色號編碼!B84="","-",烤漆色號編碼!B84)</f>
        <v>-</v>
      </c>
      <c r="F78" s="64"/>
      <c r="G78" s="64"/>
      <c r="H78" s="64">
        <f t="shared" si="8"/>
        <v>0</v>
      </c>
      <c r="K78" s="86">
        <v>73</v>
      </c>
      <c r="L78" s="89" t="s">
        <v>352</v>
      </c>
      <c r="M78" s="89" t="s">
        <v>352</v>
      </c>
      <c r="N78" s="89" t="s">
        <v>352</v>
      </c>
      <c r="O78" s="89" t="s">
        <v>352</v>
      </c>
      <c r="P78" s="89">
        <f t="shared" si="7"/>
        <v>0</v>
      </c>
      <c r="Q78" s="89"/>
    </row>
    <row r="79" spans="2:17" x14ac:dyDescent="0.15">
      <c r="B79" s="87">
        <v>74</v>
      </c>
      <c r="C79" s="64"/>
      <c r="D79" s="64" t="str">
        <f>IF(烤漆色號編碼!C85="","-",烤漆色號編碼!C85)</f>
        <v>-</v>
      </c>
      <c r="E79" s="64" t="str">
        <f>IF(烤漆色號編碼!B85="","-",烤漆色號編碼!B85)</f>
        <v>-</v>
      </c>
      <c r="F79" s="64"/>
      <c r="G79" s="64"/>
      <c r="H79" s="64">
        <f t="shared" si="8"/>
        <v>0</v>
      </c>
      <c r="K79" s="86">
        <v>74</v>
      </c>
      <c r="L79" s="90" t="s">
        <v>352</v>
      </c>
      <c r="M79" s="90" t="s">
        <v>352</v>
      </c>
      <c r="N79" s="90" t="s">
        <v>352</v>
      </c>
      <c r="O79" s="90" t="s">
        <v>352</v>
      </c>
      <c r="P79" s="90">
        <f t="shared" si="7"/>
        <v>0</v>
      </c>
      <c r="Q79" s="90"/>
    </row>
    <row r="80" spans="2:17" x14ac:dyDescent="0.15">
      <c r="B80" s="87">
        <v>75</v>
      </c>
      <c r="C80" s="64"/>
      <c r="D80" s="64" t="str">
        <f>IF(烤漆色號編碼!C86="","-",烤漆色號編碼!C86)</f>
        <v>-</v>
      </c>
      <c r="E80" s="64" t="str">
        <f>IF(烤漆色號編碼!B86="","-",烤漆色號編碼!B86)</f>
        <v>-</v>
      </c>
      <c r="F80" s="64"/>
      <c r="G80" s="64"/>
      <c r="H80" s="64">
        <f t="shared" si="8"/>
        <v>0</v>
      </c>
      <c r="K80" s="86">
        <v>75</v>
      </c>
      <c r="L80" s="89" t="s">
        <v>352</v>
      </c>
      <c r="M80" s="89" t="s">
        <v>352</v>
      </c>
      <c r="N80" s="89" t="s">
        <v>352</v>
      </c>
      <c r="O80" s="89" t="s">
        <v>352</v>
      </c>
      <c r="P80" s="89">
        <f t="shared" si="7"/>
        <v>0</v>
      </c>
      <c r="Q80" s="89"/>
    </row>
    <row r="81" spans="2:17" x14ac:dyDescent="0.15">
      <c r="B81" s="87">
        <v>76</v>
      </c>
      <c r="C81" s="64"/>
      <c r="D81" s="64" t="str">
        <f>IF(烤漆色號編碼!C87="","-",烤漆色號編碼!C87)</f>
        <v>-</v>
      </c>
      <c r="E81" s="64" t="str">
        <f>IF(烤漆色號編碼!B87="","-",烤漆色號編碼!B87)</f>
        <v>-</v>
      </c>
      <c r="F81" s="64"/>
      <c r="G81" s="64"/>
      <c r="H81" s="64">
        <f t="shared" si="8"/>
        <v>0</v>
      </c>
      <c r="K81" s="86">
        <v>76</v>
      </c>
      <c r="L81" s="90" t="s">
        <v>352</v>
      </c>
      <c r="M81" s="90" t="s">
        <v>352</v>
      </c>
      <c r="N81" s="90" t="s">
        <v>352</v>
      </c>
      <c r="O81" s="90" t="s">
        <v>352</v>
      </c>
      <c r="P81" s="90">
        <f t="shared" si="7"/>
        <v>0</v>
      </c>
      <c r="Q81" s="90"/>
    </row>
    <row r="82" spans="2:17" x14ac:dyDescent="0.15">
      <c r="B82" s="87">
        <v>77</v>
      </c>
      <c r="C82" s="64"/>
      <c r="D82" s="64" t="str">
        <f>IF(烤漆色號編碼!C88="","-",烤漆色號編碼!C88)</f>
        <v>-</v>
      </c>
      <c r="E82" s="64" t="str">
        <f>IF(烤漆色號編碼!B88="","-",烤漆色號編碼!B88)</f>
        <v>-</v>
      </c>
      <c r="F82" s="64"/>
      <c r="G82" s="64"/>
      <c r="H82" s="64">
        <f t="shared" si="8"/>
        <v>0</v>
      </c>
      <c r="K82" s="86">
        <v>77</v>
      </c>
      <c r="L82" s="89" t="s">
        <v>352</v>
      </c>
      <c r="M82" s="89" t="s">
        <v>352</v>
      </c>
      <c r="N82" s="89" t="s">
        <v>352</v>
      </c>
      <c r="O82" s="89" t="s">
        <v>352</v>
      </c>
      <c r="P82" s="89">
        <f t="shared" si="7"/>
        <v>0</v>
      </c>
      <c r="Q82" s="89"/>
    </row>
    <row r="83" spans="2:17" x14ac:dyDescent="0.15">
      <c r="B83" s="87">
        <v>78</v>
      </c>
      <c r="C83" s="64"/>
      <c r="D83" s="64" t="str">
        <f>IF(烤漆色號編碼!C89="","-",烤漆色號編碼!C89)</f>
        <v>-</v>
      </c>
      <c r="E83" s="64" t="str">
        <f>IF(烤漆色號編碼!B89="","-",烤漆色號編碼!B89)</f>
        <v>-</v>
      </c>
      <c r="F83" s="64"/>
      <c r="G83" s="64"/>
      <c r="H83" s="64">
        <f t="shared" si="8"/>
        <v>0</v>
      </c>
      <c r="K83" s="86">
        <v>78</v>
      </c>
      <c r="L83" s="90" t="s">
        <v>352</v>
      </c>
      <c r="M83" s="90" t="s">
        <v>352</v>
      </c>
      <c r="N83" s="90" t="s">
        <v>352</v>
      </c>
      <c r="O83" s="90" t="s">
        <v>352</v>
      </c>
      <c r="P83" s="90">
        <f t="shared" si="7"/>
        <v>0</v>
      </c>
      <c r="Q83" s="90"/>
    </row>
    <row r="84" spans="2:17" x14ac:dyDescent="0.15">
      <c r="B84" s="87">
        <v>79</v>
      </c>
      <c r="C84" s="64"/>
      <c r="D84" s="64" t="str">
        <f>IF(烤漆色號編碼!C90="","-",烤漆色號編碼!C90)</f>
        <v>-</v>
      </c>
      <c r="E84" s="64" t="str">
        <f>IF(烤漆色號編碼!B90="","-",烤漆色號編碼!B90)</f>
        <v>-</v>
      </c>
      <c r="F84" s="64"/>
      <c r="G84" s="64"/>
      <c r="H84" s="64">
        <f t="shared" si="8"/>
        <v>0</v>
      </c>
      <c r="K84" s="86">
        <v>79</v>
      </c>
      <c r="L84" s="89" t="s">
        <v>352</v>
      </c>
      <c r="M84" s="89" t="s">
        <v>352</v>
      </c>
      <c r="N84" s="89" t="s">
        <v>352</v>
      </c>
      <c r="O84" s="89" t="s">
        <v>352</v>
      </c>
      <c r="P84" s="89"/>
      <c r="Q84" s="89"/>
    </row>
    <row r="85" spans="2:17" x14ac:dyDescent="0.15">
      <c r="B85" s="87">
        <v>80</v>
      </c>
      <c r="C85" s="64"/>
      <c r="D85" s="64" t="str">
        <f>IF(烤漆色號編碼!C91="","-",烤漆色號編碼!C91)</f>
        <v>-</v>
      </c>
      <c r="E85" s="64" t="str">
        <f>IF(烤漆色號編碼!B91="","-",烤漆色號編碼!B91)</f>
        <v>-</v>
      </c>
      <c r="F85" s="64"/>
      <c r="G85" s="64"/>
      <c r="H85" s="64">
        <f t="shared" si="8"/>
        <v>0</v>
      </c>
    </row>
    <row r="86" spans="2:17" x14ac:dyDescent="0.15">
      <c r="B86" s="87">
        <v>81</v>
      </c>
      <c r="C86" s="64"/>
      <c r="D86" s="64" t="str">
        <f>IF(烤漆色號編碼!C92="","-",烤漆色號編碼!C92)</f>
        <v>-</v>
      </c>
      <c r="E86" s="64" t="str">
        <f>IF(烤漆色號編碼!B92="","-",烤漆色號編碼!B92)</f>
        <v>-</v>
      </c>
      <c r="F86" s="64"/>
      <c r="G86" s="64"/>
      <c r="H86" s="64">
        <f t="shared" si="8"/>
        <v>0</v>
      </c>
    </row>
    <row r="87" spans="2:17" x14ac:dyDescent="0.15">
      <c r="B87" s="87">
        <v>82</v>
      </c>
      <c r="C87" s="64"/>
      <c r="D87" s="64" t="str">
        <f>IF(烤漆色號編碼!C93="","-",烤漆色號編碼!C93)</f>
        <v>-</v>
      </c>
      <c r="E87" s="64" t="str">
        <f>IF(烤漆色號編碼!B93="","-",烤漆色號編碼!B93)</f>
        <v>-</v>
      </c>
      <c r="F87" s="64"/>
      <c r="G87" s="64"/>
      <c r="H87" s="64">
        <f t="shared" si="8"/>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352</v>
      </c>
      <c r="E206" s="81"/>
      <c r="F206" s="81"/>
      <c r="G206" s="81"/>
      <c r="H206" s="81"/>
    </row>
    <row r="207" spans="2:8" x14ac:dyDescent="0.15">
      <c r="D207" s="91" t="s">
        <v>352</v>
      </c>
    </row>
    <row r="208" spans="2:8" x14ac:dyDescent="0.15">
      <c r="D208" s="91" t="s">
        <v>352</v>
      </c>
    </row>
    <row r="209" spans="4:4" x14ac:dyDescent="0.15">
      <c r="D209" s="91" t="s">
        <v>352</v>
      </c>
    </row>
    <row r="210" spans="4:4" x14ac:dyDescent="0.15">
      <c r="D210" s="91" t="s">
        <v>352</v>
      </c>
    </row>
    <row r="211" spans="4:4" x14ac:dyDescent="0.15">
      <c r="D211" s="91" t="s">
        <v>352</v>
      </c>
    </row>
    <row r="212" spans="4:4" x14ac:dyDescent="0.15">
      <c r="D212" s="91" t="s">
        <v>352</v>
      </c>
    </row>
    <row r="213" spans="4:4" x14ac:dyDescent="0.15">
      <c r="D213" s="91" t="s">
        <v>352</v>
      </c>
    </row>
    <row r="214" spans="4:4" x14ac:dyDescent="0.15">
      <c r="D214" s="91" t="s">
        <v>352</v>
      </c>
    </row>
    <row r="215" spans="4:4" x14ac:dyDescent="0.15">
      <c r="D215" s="91" t="s">
        <v>352</v>
      </c>
    </row>
    <row r="216" spans="4:4" x14ac:dyDescent="0.15">
      <c r="D216" s="91" t="s">
        <v>352</v>
      </c>
    </row>
    <row r="217" spans="4:4" x14ac:dyDescent="0.15">
      <c r="D217" s="91" t="s">
        <v>352</v>
      </c>
    </row>
    <row r="218" spans="4:4" x14ac:dyDescent="0.15">
      <c r="D218" s="91" t="s">
        <v>352</v>
      </c>
    </row>
    <row r="219" spans="4:4" x14ac:dyDescent="0.15">
      <c r="D219" s="91" t="s">
        <v>352</v>
      </c>
    </row>
    <row r="220" spans="4:4" x14ac:dyDescent="0.15">
      <c r="D220" s="91" t="s">
        <v>352</v>
      </c>
    </row>
    <row r="221" spans="4:4" x14ac:dyDescent="0.15">
      <c r="D221" s="91" t="s">
        <v>352</v>
      </c>
    </row>
    <row r="222" spans="4:4" x14ac:dyDescent="0.15">
      <c r="D222" s="91" t="s">
        <v>352</v>
      </c>
    </row>
    <row r="223" spans="4:4" x14ac:dyDescent="0.15">
      <c r="D223" s="91" t="s">
        <v>352</v>
      </c>
    </row>
    <row r="224" spans="4:4" x14ac:dyDescent="0.15">
      <c r="D224" s="91" t="s">
        <v>352</v>
      </c>
    </row>
    <row r="225" spans="4:4" x14ac:dyDescent="0.15">
      <c r="D225" s="91" t="s">
        <v>352</v>
      </c>
    </row>
    <row r="226" spans="4:4" x14ac:dyDescent="0.15">
      <c r="D226" s="91" t="s">
        <v>352</v>
      </c>
    </row>
    <row r="227" spans="4:4" x14ac:dyDescent="0.15">
      <c r="D227" s="91" t="s">
        <v>352</v>
      </c>
    </row>
    <row r="228" spans="4:4" x14ac:dyDescent="0.15">
      <c r="D228" s="91" t="s">
        <v>352</v>
      </c>
    </row>
    <row r="229" spans="4:4" x14ac:dyDescent="0.15">
      <c r="D229" s="91" t="s">
        <v>352</v>
      </c>
    </row>
    <row r="230" spans="4:4" x14ac:dyDescent="0.15">
      <c r="D230" s="91" t="s">
        <v>352</v>
      </c>
    </row>
    <row r="231" spans="4:4" x14ac:dyDescent="0.15">
      <c r="D231" s="91" t="s">
        <v>352</v>
      </c>
    </row>
    <row r="232" spans="4:4" x14ac:dyDescent="0.15">
      <c r="D232" s="91" t="s">
        <v>352</v>
      </c>
    </row>
    <row r="233" spans="4:4" x14ac:dyDescent="0.15">
      <c r="D233" s="91" t="s">
        <v>352</v>
      </c>
    </row>
    <row r="234" spans="4:4" x14ac:dyDescent="0.15">
      <c r="D234" s="91" t="s">
        <v>352</v>
      </c>
    </row>
    <row r="235" spans="4:4" x14ac:dyDescent="0.15">
      <c r="D235" s="91" t="s">
        <v>352</v>
      </c>
    </row>
    <row r="236" spans="4:4" x14ac:dyDescent="0.15">
      <c r="D236" s="91" t="s">
        <v>352</v>
      </c>
    </row>
    <row r="237" spans="4:4" x14ac:dyDescent="0.15">
      <c r="D237" s="91" t="s">
        <v>352</v>
      </c>
    </row>
    <row r="238" spans="4:4" x14ac:dyDescent="0.15">
      <c r="D238" s="91" t="s">
        <v>352</v>
      </c>
    </row>
    <row r="239" spans="4:4" x14ac:dyDescent="0.15">
      <c r="D239" s="91" t="s">
        <v>352</v>
      </c>
    </row>
    <row r="240" spans="4:4" x14ac:dyDescent="0.15">
      <c r="D240" s="91" t="s">
        <v>352</v>
      </c>
    </row>
    <row r="241" spans="4:4" x14ac:dyDescent="0.15">
      <c r="D241" s="91" t="s">
        <v>352</v>
      </c>
    </row>
    <row r="242" spans="4:4" x14ac:dyDescent="0.15">
      <c r="D242" s="91" t="s">
        <v>352</v>
      </c>
    </row>
    <row r="243" spans="4:4" x14ac:dyDescent="0.15">
      <c r="D243" s="91" t="s">
        <v>352</v>
      </c>
    </row>
    <row r="244" spans="4:4" x14ac:dyDescent="0.15">
      <c r="D244" s="91" t="s">
        <v>352</v>
      </c>
    </row>
    <row r="245" spans="4:4" x14ac:dyDescent="0.15">
      <c r="D245" s="91" t="s">
        <v>352</v>
      </c>
    </row>
    <row r="246" spans="4:4" x14ac:dyDescent="0.15">
      <c r="D246" s="91" t="s">
        <v>352</v>
      </c>
    </row>
    <row r="247" spans="4:4" x14ac:dyDescent="0.15">
      <c r="D247" s="91" t="s">
        <v>352</v>
      </c>
    </row>
    <row r="248" spans="4:4" x14ac:dyDescent="0.15">
      <c r="D248" s="91" t="s">
        <v>352</v>
      </c>
    </row>
    <row r="249" spans="4:4" x14ac:dyDescent="0.15">
      <c r="D249" s="91" t="s">
        <v>352</v>
      </c>
    </row>
    <row r="250" spans="4:4" x14ac:dyDescent="0.15">
      <c r="D250" s="91" t="s">
        <v>352</v>
      </c>
    </row>
    <row r="251" spans="4:4" x14ac:dyDescent="0.15">
      <c r="D251" s="91" t="s">
        <v>352</v>
      </c>
    </row>
    <row r="252" spans="4:4" x14ac:dyDescent="0.15">
      <c r="D252" s="91" t="s">
        <v>352</v>
      </c>
    </row>
    <row r="253" spans="4:4" x14ac:dyDescent="0.15">
      <c r="D253" s="91" t="s">
        <v>352</v>
      </c>
    </row>
    <row r="254" spans="4:4" x14ac:dyDescent="0.15">
      <c r="D254" s="91" t="s">
        <v>352</v>
      </c>
    </row>
    <row r="255" spans="4:4" x14ac:dyDescent="0.15">
      <c r="D255" s="91" t="s">
        <v>352</v>
      </c>
    </row>
    <row r="256" spans="4:4" x14ac:dyDescent="0.15">
      <c r="D256" s="91" t="s">
        <v>352</v>
      </c>
    </row>
    <row r="257" spans="4:4" x14ac:dyDescent="0.15">
      <c r="D257" s="91" t="s">
        <v>352</v>
      </c>
    </row>
    <row r="258" spans="4:4" x14ac:dyDescent="0.15">
      <c r="D258" s="91" t="s">
        <v>352</v>
      </c>
    </row>
    <row r="259" spans="4:4" x14ac:dyDescent="0.15">
      <c r="D259" s="91" t="s">
        <v>352</v>
      </c>
    </row>
    <row r="260" spans="4:4" x14ac:dyDescent="0.15">
      <c r="D260" s="91" t="s">
        <v>352</v>
      </c>
    </row>
    <row r="261" spans="4:4" x14ac:dyDescent="0.15">
      <c r="D261" s="91" t="s">
        <v>352</v>
      </c>
    </row>
    <row r="262" spans="4:4" x14ac:dyDescent="0.15">
      <c r="D262" s="91" t="s">
        <v>352</v>
      </c>
    </row>
    <row r="263" spans="4:4" x14ac:dyDescent="0.15">
      <c r="D263" s="91" t="s">
        <v>352</v>
      </c>
    </row>
    <row r="264" spans="4:4" x14ac:dyDescent="0.15">
      <c r="D264" s="91" t="s">
        <v>352</v>
      </c>
    </row>
    <row r="265" spans="4:4" x14ac:dyDescent="0.15">
      <c r="D265" s="91" t="s">
        <v>352</v>
      </c>
    </row>
    <row r="266" spans="4:4" x14ac:dyDescent="0.15">
      <c r="D266" s="91" t="s">
        <v>352</v>
      </c>
    </row>
    <row r="267" spans="4:4" x14ac:dyDescent="0.15">
      <c r="D267" s="91" t="s">
        <v>352</v>
      </c>
    </row>
    <row r="268" spans="4:4" x14ac:dyDescent="0.15">
      <c r="D268" s="91" t="s">
        <v>352</v>
      </c>
    </row>
    <row r="269" spans="4:4" x14ac:dyDescent="0.15">
      <c r="D269" s="91" t="s">
        <v>352</v>
      </c>
    </row>
    <row r="270" spans="4:4" x14ac:dyDescent="0.15">
      <c r="D270" s="91" t="s">
        <v>352</v>
      </c>
    </row>
    <row r="271" spans="4:4" x14ac:dyDescent="0.15">
      <c r="D271" s="91" t="s">
        <v>352</v>
      </c>
    </row>
    <row r="272" spans="4:4" x14ac:dyDescent="0.15">
      <c r="D272" s="91" t="s">
        <v>352</v>
      </c>
    </row>
    <row r="273" spans="4:4" x14ac:dyDescent="0.15">
      <c r="D273" s="91" t="s">
        <v>352</v>
      </c>
    </row>
    <row r="274" spans="4:4" x14ac:dyDescent="0.15">
      <c r="D274" s="91" t="s">
        <v>352</v>
      </c>
    </row>
    <row r="275" spans="4:4" x14ac:dyDescent="0.15">
      <c r="D275" s="91" t="s">
        <v>352</v>
      </c>
    </row>
    <row r="276" spans="4:4" x14ac:dyDescent="0.15">
      <c r="D276" s="91" t="s">
        <v>352</v>
      </c>
    </row>
    <row r="277" spans="4:4" x14ac:dyDescent="0.15">
      <c r="D277" s="91" t="s">
        <v>352</v>
      </c>
    </row>
    <row r="278" spans="4:4" x14ac:dyDescent="0.15">
      <c r="D278" s="91" t="s">
        <v>352</v>
      </c>
    </row>
    <row r="279" spans="4:4" x14ac:dyDescent="0.15">
      <c r="D279" s="91" t="s">
        <v>352</v>
      </c>
    </row>
    <row r="280" spans="4:4" x14ac:dyDescent="0.15">
      <c r="D280" s="91" t="s">
        <v>352</v>
      </c>
    </row>
    <row r="281" spans="4:4" x14ac:dyDescent="0.15">
      <c r="D281" s="91" t="s">
        <v>352</v>
      </c>
    </row>
    <row r="282" spans="4:4" x14ac:dyDescent="0.15">
      <c r="D282" s="91" t="s">
        <v>352</v>
      </c>
    </row>
    <row r="283" spans="4:4" x14ac:dyDescent="0.15">
      <c r="D283" s="91" t="s">
        <v>352</v>
      </c>
    </row>
    <row r="284" spans="4:4" x14ac:dyDescent="0.15">
      <c r="D284" s="91" t="s">
        <v>352</v>
      </c>
    </row>
    <row r="285" spans="4:4" x14ac:dyDescent="0.15">
      <c r="D285" s="91" t="s">
        <v>352</v>
      </c>
    </row>
    <row r="286" spans="4:4" x14ac:dyDescent="0.15">
      <c r="D286" s="91" t="s">
        <v>352</v>
      </c>
    </row>
    <row r="287" spans="4:4" x14ac:dyDescent="0.15">
      <c r="D287" s="91" t="s">
        <v>352</v>
      </c>
    </row>
    <row r="288" spans="4:4" x14ac:dyDescent="0.15">
      <c r="D288" s="91" t="s">
        <v>352</v>
      </c>
    </row>
    <row r="289" spans="4:4" x14ac:dyDescent="0.15">
      <c r="D289" s="91" t="s">
        <v>352</v>
      </c>
    </row>
    <row r="290" spans="4:4" x14ac:dyDescent="0.15">
      <c r="D290" s="91" t="s">
        <v>352</v>
      </c>
    </row>
    <row r="291" spans="4:4" x14ac:dyDescent="0.15">
      <c r="D291" s="91" t="s">
        <v>352</v>
      </c>
    </row>
    <row r="292" spans="4:4" x14ac:dyDescent="0.15">
      <c r="D292" s="91" t="s">
        <v>352</v>
      </c>
    </row>
    <row r="293" spans="4:4" x14ac:dyDescent="0.15">
      <c r="D293" s="91" t="s">
        <v>352</v>
      </c>
    </row>
    <row r="294" spans="4:4" x14ac:dyDescent="0.15">
      <c r="D294" s="91" t="s">
        <v>352</v>
      </c>
    </row>
    <row r="295" spans="4:4" x14ac:dyDescent="0.15">
      <c r="D295" s="91" t="s">
        <v>352</v>
      </c>
    </row>
    <row r="296" spans="4:4" x14ac:dyDescent="0.15">
      <c r="D296" s="91" t="s">
        <v>352</v>
      </c>
    </row>
    <row r="297" spans="4:4" x14ac:dyDescent="0.15">
      <c r="D297" s="91" t="s">
        <v>352</v>
      </c>
    </row>
    <row r="298" spans="4:4" x14ac:dyDescent="0.15">
      <c r="D298" s="91" t="s">
        <v>352</v>
      </c>
    </row>
    <row r="299" spans="4:4" x14ac:dyDescent="0.15">
      <c r="D299" s="91" t="s">
        <v>352</v>
      </c>
    </row>
    <row r="300" spans="4:4" x14ac:dyDescent="0.15">
      <c r="D300" s="91" t="s">
        <v>352</v>
      </c>
    </row>
    <row r="301" spans="4:4" x14ac:dyDescent="0.15">
      <c r="D301" s="91" t="s">
        <v>352</v>
      </c>
    </row>
    <row r="302" spans="4:4" x14ac:dyDescent="0.15">
      <c r="D302" s="91" t="s">
        <v>352</v>
      </c>
    </row>
    <row r="303" spans="4:4" x14ac:dyDescent="0.15">
      <c r="D303" s="91" t="s">
        <v>352</v>
      </c>
    </row>
    <row r="304" spans="4:4" x14ac:dyDescent="0.15">
      <c r="D304" s="91" t="s">
        <v>352</v>
      </c>
    </row>
    <row r="305" spans="4:4" x14ac:dyDescent="0.15">
      <c r="D305" s="91" t="s">
        <v>352</v>
      </c>
    </row>
    <row r="306" spans="4:4" x14ac:dyDescent="0.15">
      <c r="D306" s="91" t="s">
        <v>352</v>
      </c>
    </row>
    <row r="307" spans="4:4" x14ac:dyDescent="0.15">
      <c r="D307" s="91" t="s">
        <v>352</v>
      </c>
    </row>
    <row r="308" spans="4:4" x14ac:dyDescent="0.15">
      <c r="D308" s="91" t="s">
        <v>352</v>
      </c>
    </row>
    <row r="309" spans="4:4" x14ac:dyDescent="0.15">
      <c r="D309" s="91" t="s">
        <v>352</v>
      </c>
    </row>
    <row r="310" spans="4:4" x14ac:dyDescent="0.15">
      <c r="D310" s="91" t="s">
        <v>352</v>
      </c>
    </row>
    <row r="311" spans="4:4" x14ac:dyDescent="0.15">
      <c r="D311" s="91" t="s">
        <v>352</v>
      </c>
    </row>
    <row r="312" spans="4:4" x14ac:dyDescent="0.15">
      <c r="D312" s="91" t="s">
        <v>352</v>
      </c>
    </row>
    <row r="313" spans="4:4" x14ac:dyDescent="0.15">
      <c r="D313" s="91" t="s">
        <v>352</v>
      </c>
    </row>
    <row r="314" spans="4:4" x14ac:dyDescent="0.15">
      <c r="D314" s="91" t="s">
        <v>352</v>
      </c>
    </row>
    <row r="315" spans="4:4" x14ac:dyDescent="0.15">
      <c r="D315" s="91" t="s">
        <v>352</v>
      </c>
    </row>
    <row r="316" spans="4:4" x14ac:dyDescent="0.15">
      <c r="D316" s="91" t="s">
        <v>352</v>
      </c>
    </row>
    <row r="317" spans="4:4" x14ac:dyDescent="0.15">
      <c r="D317" s="91" t="s">
        <v>352</v>
      </c>
    </row>
    <row r="318" spans="4:4" x14ac:dyDescent="0.15">
      <c r="D318" s="91" t="s">
        <v>352</v>
      </c>
    </row>
    <row r="319" spans="4:4" x14ac:dyDescent="0.15">
      <c r="D319" s="91" t="s">
        <v>352</v>
      </c>
    </row>
    <row r="320" spans="4:4" x14ac:dyDescent="0.15">
      <c r="D320" s="91" t="s">
        <v>352</v>
      </c>
    </row>
    <row r="321" spans="4:4" x14ac:dyDescent="0.15">
      <c r="D321" s="91" t="s">
        <v>352</v>
      </c>
    </row>
    <row r="322" spans="4:4" x14ac:dyDescent="0.15">
      <c r="D322" s="91" t="s">
        <v>352</v>
      </c>
    </row>
    <row r="323" spans="4:4" x14ac:dyDescent="0.15">
      <c r="D323" s="91" t="s">
        <v>352</v>
      </c>
    </row>
    <row r="324" spans="4:4" x14ac:dyDescent="0.15">
      <c r="D324" s="91" t="s">
        <v>352</v>
      </c>
    </row>
    <row r="325" spans="4:4" x14ac:dyDescent="0.15">
      <c r="D325" s="91" t="s">
        <v>352</v>
      </c>
    </row>
    <row r="326" spans="4:4" x14ac:dyDescent="0.15">
      <c r="D326" s="91" t="s">
        <v>352</v>
      </c>
    </row>
    <row r="327" spans="4:4" x14ac:dyDescent="0.15">
      <c r="D327" s="91" t="s">
        <v>352</v>
      </c>
    </row>
    <row r="328" spans="4:4" x14ac:dyDescent="0.15">
      <c r="D328" s="91" t="s">
        <v>352</v>
      </c>
    </row>
    <row r="329" spans="4:4" x14ac:dyDescent="0.15">
      <c r="D329" s="91" t="s">
        <v>352</v>
      </c>
    </row>
    <row r="330" spans="4:4" x14ac:dyDescent="0.15">
      <c r="D330" s="91" t="s">
        <v>352</v>
      </c>
    </row>
    <row r="331" spans="4:4" x14ac:dyDescent="0.15">
      <c r="D331" s="91" t="s">
        <v>352</v>
      </c>
    </row>
    <row r="332" spans="4:4" x14ac:dyDescent="0.15">
      <c r="D332" s="91" t="s">
        <v>352</v>
      </c>
    </row>
    <row r="333" spans="4:4" x14ac:dyDescent="0.15">
      <c r="D333" s="91" t="s">
        <v>352</v>
      </c>
    </row>
    <row r="334" spans="4:4" x14ac:dyDescent="0.15">
      <c r="D334" s="91" t="s">
        <v>352</v>
      </c>
    </row>
    <row r="335" spans="4:4" x14ac:dyDescent="0.15">
      <c r="D335" s="91" t="s">
        <v>352</v>
      </c>
    </row>
    <row r="336" spans="4:4" x14ac:dyDescent="0.15">
      <c r="D336" s="91" t="s">
        <v>352</v>
      </c>
    </row>
    <row r="337" spans="4:4" x14ac:dyDescent="0.15">
      <c r="D337" s="91" t="s">
        <v>352</v>
      </c>
    </row>
    <row r="338" spans="4:4" x14ac:dyDescent="0.15">
      <c r="D338" s="91" t="s">
        <v>352</v>
      </c>
    </row>
    <row r="339" spans="4:4" x14ac:dyDescent="0.15">
      <c r="D339" s="91" t="s">
        <v>352</v>
      </c>
    </row>
    <row r="340" spans="4:4" x14ac:dyDescent="0.15">
      <c r="D340" s="91" t="s">
        <v>352</v>
      </c>
    </row>
    <row r="341" spans="4:4" x14ac:dyDescent="0.15">
      <c r="D341" s="91" t="s">
        <v>352</v>
      </c>
    </row>
    <row r="342" spans="4:4" x14ac:dyDescent="0.15">
      <c r="D342" s="91" t="s">
        <v>352</v>
      </c>
    </row>
    <row r="343" spans="4:4" x14ac:dyDescent="0.15">
      <c r="D343" s="91" t="s">
        <v>352</v>
      </c>
    </row>
    <row r="344" spans="4:4" x14ac:dyDescent="0.15">
      <c r="D344" s="91" t="s">
        <v>352</v>
      </c>
    </row>
    <row r="345" spans="4:4" x14ac:dyDescent="0.15">
      <c r="D345" s="91" t="s">
        <v>352</v>
      </c>
    </row>
    <row r="346" spans="4:4" x14ac:dyDescent="0.15">
      <c r="D346" s="91" t="s">
        <v>352</v>
      </c>
    </row>
    <row r="347" spans="4:4" x14ac:dyDescent="0.15">
      <c r="D347" s="91" t="s">
        <v>352</v>
      </c>
    </row>
    <row r="348" spans="4:4" x14ac:dyDescent="0.15">
      <c r="D348" s="91" t="s">
        <v>352</v>
      </c>
    </row>
    <row r="349" spans="4:4" x14ac:dyDescent="0.15">
      <c r="D349" s="91" t="s">
        <v>352</v>
      </c>
    </row>
    <row r="350" spans="4:4" x14ac:dyDescent="0.15">
      <c r="D350" s="91" t="s">
        <v>352</v>
      </c>
    </row>
    <row r="351" spans="4:4" x14ac:dyDescent="0.15">
      <c r="D351" s="91" t="s">
        <v>352</v>
      </c>
    </row>
    <row r="352" spans="4:4" x14ac:dyDescent="0.15">
      <c r="D352" s="91" t="s">
        <v>352</v>
      </c>
    </row>
    <row r="353" spans="4:4" x14ac:dyDescent="0.15">
      <c r="D353" s="91" t="s">
        <v>352</v>
      </c>
    </row>
    <row r="354" spans="4:4" x14ac:dyDescent="0.15">
      <c r="D354" s="91" t="s">
        <v>352</v>
      </c>
    </row>
    <row r="355" spans="4:4" x14ac:dyDescent="0.15">
      <c r="D355" s="91" t="s">
        <v>352</v>
      </c>
    </row>
    <row r="356" spans="4:4" x14ac:dyDescent="0.15">
      <c r="D356" s="91" t="s">
        <v>352</v>
      </c>
    </row>
    <row r="357" spans="4:4" x14ac:dyDescent="0.15">
      <c r="D357" s="91" t="s">
        <v>352</v>
      </c>
    </row>
    <row r="358" spans="4:4" x14ac:dyDescent="0.15">
      <c r="D358" s="91" t="s">
        <v>352</v>
      </c>
    </row>
    <row r="359" spans="4:4" x14ac:dyDescent="0.15">
      <c r="D359" s="91" t="s">
        <v>352</v>
      </c>
    </row>
    <row r="360" spans="4:4" x14ac:dyDescent="0.15">
      <c r="D360" s="91" t="s">
        <v>352</v>
      </c>
    </row>
    <row r="361" spans="4:4" x14ac:dyDescent="0.15">
      <c r="D361" s="91" t="s">
        <v>352</v>
      </c>
    </row>
    <row r="362" spans="4:4" x14ac:dyDescent="0.15">
      <c r="D362" s="91" t="s">
        <v>352</v>
      </c>
    </row>
    <row r="363" spans="4:4" x14ac:dyDescent="0.15">
      <c r="D363" s="91" t="s">
        <v>352</v>
      </c>
    </row>
    <row r="364" spans="4:4" x14ac:dyDescent="0.15">
      <c r="D364" s="91" t="s">
        <v>352</v>
      </c>
    </row>
    <row r="365" spans="4:4" x14ac:dyDescent="0.15">
      <c r="D365" s="91" t="s">
        <v>352</v>
      </c>
    </row>
    <row r="366" spans="4:4" x14ac:dyDescent="0.15">
      <c r="D366" s="91" t="s">
        <v>352</v>
      </c>
    </row>
    <row r="367" spans="4:4" x14ac:dyDescent="0.15">
      <c r="D367" s="91" t="s">
        <v>352</v>
      </c>
    </row>
    <row r="368" spans="4:4" x14ac:dyDescent="0.15">
      <c r="D368" s="91" t="s">
        <v>352</v>
      </c>
    </row>
    <row r="369" spans="4:4" x14ac:dyDescent="0.15">
      <c r="D369" s="91" t="s">
        <v>352</v>
      </c>
    </row>
    <row r="370" spans="4:4" x14ac:dyDescent="0.15">
      <c r="D370" s="91" t="s">
        <v>352</v>
      </c>
    </row>
    <row r="371" spans="4:4" x14ac:dyDescent="0.15">
      <c r="D371" s="91" t="s">
        <v>352</v>
      </c>
    </row>
    <row r="372" spans="4:4" x14ac:dyDescent="0.15">
      <c r="D372" s="91" t="s">
        <v>352</v>
      </c>
    </row>
    <row r="373" spans="4:4" x14ac:dyDescent="0.15">
      <c r="D373" s="91" t="s">
        <v>352</v>
      </c>
    </row>
    <row r="374" spans="4:4" x14ac:dyDescent="0.15">
      <c r="D374" s="91" t="s">
        <v>352</v>
      </c>
    </row>
    <row r="375" spans="4:4" x14ac:dyDescent="0.15">
      <c r="D375" s="91" t="s">
        <v>352</v>
      </c>
    </row>
    <row r="376" spans="4:4" x14ac:dyDescent="0.15">
      <c r="D376" s="91" t="s">
        <v>352</v>
      </c>
    </row>
    <row r="377" spans="4:4" x14ac:dyDescent="0.15">
      <c r="D377" s="91" t="s">
        <v>352</v>
      </c>
    </row>
    <row r="378" spans="4:4" x14ac:dyDescent="0.15">
      <c r="D378" s="91" t="s">
        <v>352</v>
      </c>
    </row>
    <row r="379" spans="4:4" x14ac:dyDescent="0.15">
      <c r="D379" s="91" t="s">
        <v>352</v>
      </c>
    </row>
    <row r="380" spans="4:4" x14ac:dyDescent="0.15">
      <c r="D380" s="91" t="s">
        <v>352</v>
      </c>
    </row>
    <row r="381" spans="4:4" x14ac:dyDescent="0.15">
      <c r="D381" s="91" t="s">
        <v>352</v>
      </c>
    </row>
    <row r="382" spans="4:4" x14ac:dyDescent="0.15">
      <c r="D382" s="91" t="s">
        <v>352</v>
      </c>
    </row>
    <row r="383" spans="4:4" x14ac:dyDescent="0.15">
      <c r="D383" s="91" t="s">
        <v>352</v>
      </c>
    </row>
    <row r="384" spans="4:4" x14ac:dyDescent="0.15">
      <c r="D384" s="91" t="s">
        <v>352</v>
      </c>
    </row>
    <row r="385" spans="4:4" x14ac:dyDescent="0.15">
      <c r="D385" s="91" t="s">
        <v>352</v>
      </c>
    </row>
    <row r="386" spans="4:4" x14ac:dyDescent="0.15">
      <c r="D386" s="91" t="s">
        <v>352</v>
      </c>
    </row>
    <row r="387" spans="4:4" x14ac:dyDescent="0.15">
      <c r="D387" s="91" t="s">
        <v>352</v>
      </c>
    </row>
    <row r="388" spans="4:4" x14ac:dyDescent="0.15">
      <c r="D388" s="91" t="s">
        <v>352</v>
      </c>
    </row>
    <row r="389" spans="4:4" x14ac:dyDescent="0.15">
      <c r="D389" s="91" t="s">
        <v>352</v>
      </c>
    </row>
    <row r="390" spans="4:4" x14ac:dyDescent="0.15">
      <c r="D390" s="91" t="s">
        <v>352</v>
      </c>
    </row>
    <row r="391" spans="4:4" x14ac:dyDescent="0.15">
      <c r="D391" s="91" t="s">
        <v>352</v>
      </c>
    </row>
    <row r="392" spans="4:4" x14ac:dyDescent="0.15">
      <c r="D392" s="91" t="s">
        <v>352</v>
      </c>
    </row>
    <row r="393" spans="4:4" x14ac:dyDescent="0.15">
      <c r="D393" s="91" t="s">
        <v>352</v>
      </c>
    </row>
    <row r="394" spans="4:4" x14ac:dyDescent="0.15">
      <c r="D394" s="91" t="s">
        <v>352</v>
      </c>
    </row>
    <row r="395" spans="4:4" x14ac:dyDescent="0.15">
      <c r="D395" s="91" t="s">
        <v>352</v>
      </c>
    </row>
    <row r="396" spans="4:4" x14ac:dyDescent="0.15">
      <c r="D396" s="91" t="s">
        <v>352</v>
      </c>
    </row>
    <row r="397" spans="4:4" x14ac:dyDescent="0.15">
      <c r="D397" s="91" t="s">
        <v>352</v>
      </c>
    </row>
    <row r="398" spans="4:4" x14ac:dyDescent="0.15">
      <c r="D398" s="91" t="s">
        <v>352</v>
      </c>
    </row>
    <row r="399" spans="4:4" x14ac:dyDescent="0.15">
      <c r="D399" s="91" t="s">
        <v>352</v>
      </c>
    </row>
    <row r="400" spans="4:4" x14ac:dyDescent="0.15">
      <c r="D400" s="91" t="s">
        <v>352</v>
      </c>
    </row>
    <row r="401" spans="4:4" x14ac:dyDescent="0.15">
      <c r="D401" s="91" t="s">
        <v>352</v>
      </c>
    </row>
    <row r="402" spans="4:4" x14ac:dyDescent="0.15">
      <c r="D402" s="91" t="s">
        <v>352</v>
      </c>
    </row>
    <row r="403" spans="4:4" x14ac:dyDescent="0.15">
      <c r="D403" s="91" t="s">
        <v>352</v>
      </c>
    </row>
    <row r="404" spans="4:4" x14ac:dyDescent="0.15">
      <c r="D404" s="91" t="s">
        <v>352</v>
      </c>
    </row>
    <row r="405" spans="4:4" x14ac:dyDescent="0.15">
      <c r="D405" s="91" t="s">
        <v>352</v>
      </c>
    </row>
    <row r="406" spans="4:4" x14ac:dyDescent="0.15">
      <c r="D406" s="91" t="s">
        <v>352</v>
      </c>
    </row>
    <row r="407" spans="4:4" x14ac:dyDescent="0.15">
      <c r="D407" s="91" t="s">
        <v>352</v>
      </c>
    </row>
    <row r="408" spans="4:4" x14ac:dyDescent="0.15">
      <c r="D408" s="91" t="s">
        <v>352</v>
      </c>
    </row>
    <row r="409" spans="4:4" x14ac:dyDescent="0.15">
      <c r="D409" s="91" t="s">
        <v>352</v>
      </c>
    </row>
    <row r="410" spans="4:4" x14ac:dyDescent="0.15">
      <c r="D410" s="91" t="s">
        <v>352</v>
      </c>
    </row>
    <row r="411" spans="4:4" x14ac:dyDescent="0.15">
      <c r="D411" s="91" t="s">
        <v>352</v>
      </c>
    </row>
    <row r="412" spans="4:4" x14ac:dyDescent="0.15">
      <c r="D412" s="91" t="s">
        <v>352</v>
      </c>
    </row>
    <row r="413" spans="4:4" x14ac:dyDescent="0.15">
      <c r="D413" s="91" t="s">
        <v>352</v>
      </c>
    </row>
    <row r="414" spans="4:4" x14ac:dyDescent="0.15">
      <c r="D414" s="91" t="s">
        <v>352</v>
      </c>
    </row>
    <row r="415" spans="4:4" x14ac:dyDescent="0.15">
      <c r="D415" s="91" t="s">
        <v>352</v>
      </c>
    </row>
    <row r="416" spans="4:4" x14ac:dyDescent="0.15">
      <c r="D416" s="91" t="s">
        <v>352</v>
      </c>
    </row>
    <row r="417" spans="4:4" x14ac:dyDescent="0.15">
      <c r="D417" s="91" t="s">
        <v>352</v>
      </c>
    </row>
    <row r="418" spans="4:4" x14ac:dyDescent="0.15">
      <c r="D418" s="91" t="s">
        <v>352</v>
      </c>
    </row>
    <row r="419" spans="4:4" x14ac:dyDescent="0.15">
      <c r="D419" s="91" t="s">
        <v>352</v>
      </c>
    </row>
    <row r="420" spans="4:4" x14ac:dyDescent="0.15">
      <c r="D420" s="91" t="s">
        <v>352</v>
      </c>
    </row>
    <row r="421" spans="4:4" x14ac:dyDescent="0.15">
      <c r="D421" s="91" t="s">
        <v>352</v>
      </c>
    </row>
    <row r="422" spans="4:4" x14ac:dyDescent="0.15">
      <c r="D422" s="91" t="s">
        <v>352</v>
      </c>
    </row>
    <row r="423" spans="4:4" x14ac:dyDescent="0.15">
      <c r="D423" s="91" t="s">
        <v>352</v>
      </c>
    </row>
    <row r="424" spans="4:4" x14ac:dyDescent="0.15">
      <c r="D424" s="91" t="s">
        <v>352</v>
      </c>
    </row>
    <row r="425" spans="4:4" x14ac:dyDescent="0.15">
      <c r="D425" s="91" t="s">
        <v>352</v>
      </c>
    </row>
    <row r="426" spans="4:4" x14ac:dyDescent="0.15">
      <c r="D426" s="91" t="s">
        <v>352</v>
      </c>
    </row>
    <row r="427" spans="4:4" x14ac:dyDescent="0.15">
      <c r="D427" s="91" t="s">
        <v>352</v>
      </c>
    </row>
    <row r="428" spans="4:4" x14ac:dyDescent="0.15">
      <c r="D428" s="91" t="s">
        <v>352</v>
      </c>
    </row>
    <row r="429" spans="4:4" x14ac:dyDescent="0.15">
      <c r="D429" s="91" t="s">
        <v>352</v>
      </c>
    </row>
    <row r="430" spans="4:4" x14ac:dyDescent="0.15">
      <c r="D430" s="91" t="s">
        <v>352</v>
      </c>
    </row>
    <row r="431" spans="4:4" x14ac:dyDescent="0.15">
      <c r="D431" s="91" t="s">
        <v>352</v>
      </c>
    </row>
    <row r="432" spans="4:4" x14ac:dyDescent="0.15">
      <c r="D432" s="91" t="s">
        <v>352</v>
      </c>
    </row>
    <row r="433" spans="4:4" x14ac:dyDescent="0.15">
      <c r="D433" s="91" t="s">
        <v>352</v>
      </c>
    </row>
    <row r="434" spans="4:4" x14ac:dyDescent="0.15">
      <c r="D434" s="91" t="s">
        <v>352</v>
      </c>
    </row>
    <row r="435" spans="4:4" x14ac:dyDescent="0.15">
      <c r="D435" s="91" t="s">
        <v>352</v>
      </c>
    </row>
    <row r="436" spans="4:4" x14ac:dyDescent="0.15">
      <c r="D436" s="91" t="s">
        <v>352</v>
      </c>
    </row>
    <row r="437" spans="4:4" x14ac:dyDescent="0.15">
      <c r="D437" s="91" t="s">
        <v>352</v>
      </c>
    </row>
    <row r="438" spans="4:4" x14ac:dyDescent="0.15">
      <c r="D438" s="91" t="s">
        <v>352</v>
      </c>
    </row>
    <row r="439" spans="4:4" x14ac:dyDescent="0.15">
      <c r="D439" s="91" t="s">
        <v>352</v>
      </c>
    </row>
    <row r="440" spans="4:4" x14ac:dyDescent="0.15">
      <c r="D440" s="91" t="s">
        <v>352</v>
      </c>
    </row>
    <row r="441" spans="4:4" x14ac:dyDescent="0.15">
      <c r="D441" s="91" t="s">
        <v>352</v>
      </c>
    </row>
    <row r="442" spans="4:4" x14ac:dyDescent="0.15">
      <c r="D442" s="91" t="s">
        <v>352</v>
      </c>
    </row>
    <row r="443" spans="4:4" x14ac:dyDescent="0.15">
      <c r="D443" s="91" t="s">
        <v>352</v>
      </c>
    </row>
    <row r="444" spans="4:4" x14ac:dyDescent="0.15">
      <c r="D444" s="91" t="s">
        <v>352</v>
      </c>
    </row>
    <row r="445" spans="4:4" x14ac:dyDescent="0.15">
      <c r="D445" s="91" t="s">
        <v>352</v>
      </c>
    </row>
    <row r="446" spans="4:4" x14ac:dyDescent="0.15">
      <c r="D446" s="91" t="s">
        <v>352</v>
      </c>
    </row>
    <row r="447" spans="4:4" x14ac:dyDescent="0.15">
      <c r="D447" s="91" t="s">
        <v>352</v>
      </c>
    </row>
    <row r="448" spans="4:4" x14ac:dyDescent="0.15">
      <c r="D448" s="91" t="s">
        <v>352</v>
      </c>
    </row>
    <row r="449" spans="4:4" x14ac:dyDescent="0.15">
      <c r="D449" s="91" t="s">
        <v>352</v>
      </c>
    </row>
    <row r="450" spans="4:4" x14ac:dyDescent="0.15">
      <c r="D450" s="91" t="s">
        <v>352</v>
      </c>
    </row>
    <row r="451" spans="4:4" x14ac:dyDescent="0.15">
      <c r="D451" s="91" t="s">
        <v>352</v>
      </c>
    </row>
    <row r="452" spans="4:4" x14ac:dyDescent="0.15">
      <c r="D452" s="91" t="s">
        <v>352</v>
      </c>
    </row>
    <row r="453" spans="4:4" x14ac:dyDescent="0.15">
      <c r="D453" s="91" t="s">
        <v>352</v>
      </c>
    </row>
    <row r="454" spans="4:4" x14ac:dyDescent="0.15">
      <c r="D454" s="91" t="s">
        <v>352</v>
      </c>
    </row>
    <row r="455" spans="4:4" x14ac:dyDescent="0.15">
      <c r="D455" s="91" t="s">
        <v>352</v>
      </c>
    </row>
    <row r="456" spans="4:4" x14ac:dyDescent="0.15">
      <c r="D456" s="91" t="s">
        <v>352</v>
      </c>
    </row>
    <row r="457" spans="4:4" x14ac:dyDescent="0.15">
      <c r="D457" s="91" t="s">
        <v>352</v>
      </c>
    </row>
    <row r="458" spans="4:4" x14ac:dyDescent="0.15">
      <c r="D458" s="91" t="s">
        <v>352</v>
      </c>
    </row>
    <row r="459" spans="4:4" x14ac:dyDescent="0.15">
      <c r="D459" s="91" t="s">
        <v>352</v>
      </c>
    </row>
    <row r="460" spans="4:4" x14ac:dyDescent="0.15">
      <c r="D460" s="91" t="s">
        <v>352</v>
      </c>
    </row>
    <row r="461" spans="4:4" x14ac:dyDescent="0.15">
      <c r="D461" s="91" t="s">
        <v>352</v>
      </c>
    </row>
    <row r="462" spans="4:4" x14ac:dyDescent="0.15">
      <c r="D462" s="91" t="s">
        <v>352</v>
      </c>
    </row>
    <row r="463" spans="4:4" x14ac:dyDescent="0.15">
      <c r="D463" s="91" t="s">
        <v>352</v>
      </c>
    </row>
    <row r="464" spans="4:4" x14ac:dyDescent="0.15">
      <c r="D464" s="91" t="s">
        <v>352</v>
      </c>
    </row>
    <row r="465" spans="4:4" x14ac:dyDescent="0.15">
      <c r="D465" s="91" t="s">
        <v>352</v>
      </c>
    </row>
    <row r="466" spans="4:4" x14ac:dyDescent="0.15">
      <c r="D466" s="91" t="s">
        <v>352</v>
      </c>
    </row>
    <row r="467" spans="4:4" x14ac:dyDescent="0.15">
      <c r="D467" s="91" t="s">
        <v>352</v>
      </c>
    </row>
    <row r="468" spans="4:4" x14ac:dyDescent="0.15">
      <c r="D468" s="91" t="s">
        <v>352</v>
      </c>
    </row>
    <row r="469" spans="4:4" x14ac:dyDescent="0.15">
      <c r="D469" s="91" t="s">
        <v>352</v>
      </c>
    </row>
    <row r="470" spans="4:4" x14ac:dyDescent="0.15">
      <c r="D470" s="91" t="s">
        <v>352</v>
      </c>
    </row>
    <row r="471" spans="4:4" x14ac:dyDescent="0.15">
      <c r="D471" s="91" t="s">
        <v>352</v>
      </c>
    </row>
    <row r="472" spans="4:4" x14ac:dyDescent="0.15">
      <c r="D472" s="91" t="s">
        <v>352</v>
      </c>
    </row>
    <row r="473" spans="4:4" x14ac:dyDescent="0.15">
      <c r="D473" s="91" t="s">
        <v>352</v>
      </c>
    </row>
    <row r="474" spans="4:4" x14ac:dyDescent="0.15">
      <c r="D474" s="91" t="s">
        <v>352</v>
      </c>
    </row>
    <row r="475" spans="4:4" x14ac:dyDescent="0.15">
      <c r="D475" s="91" t="s">
        <v>352</v>
      </c>
    </row>
    <row r="476" spans="4:4" x14ac:dyDescent="0.15">
      <c r="D476" s="91" t="s">
        <v>352</v>
      </c>
    </row>
    <row r="477" spans="4:4" x14ac:dyDescent="0.15">
      <c r="D477" s="91" t="s">
        <v>352</v>
      </c>
    </row>
    <row r="478" spans="4:4" x14ac:dyDescent="0.15">
      <c r="D478" s="91" t="s">
        <v>352</v>
      </c>
    </row>
    <row r="479" spans="4:4" x14ac:dyDescent="0.15">
      <c r="D479" s="91" t="s">
        <v>352</v>
      </c>
    </row>
    <row r="480" spans="4:4" x14ac:dyDescent="0.15">
      <c r="D480" s="91" t="s">
        <v>352</v>
      </c>
    </row>
    <row r="481" spans="4:4" x14ac:dyDescent="0.15">
      <c r="D481" s="91" t="s">
        <v>352</v>
      </c>
    </row>
    <row r="482" spans="4:4" x14ac:dyDescent="0.15">
      <c r="D482" s="91" t="s">
        <v>352</v>
      </c>
    </row>
    <row r="483" spans="4:4" x14ac:dyDescent="0.15">
      <c r="D483" s="91" t="s">
        <v>352</v>
      </c>
    </row>
    <row r="484" spans="4:4" x14ac:dyDescent="0.15">
      <c r="D484" s="91" t="s">
        <v>352</v>
      </c>
    </row>
    <row r="485" spans="4:4" x14ac:dyDescent="0.15">
      <c r="D485" s="91" t="s">
        <v>352</v>
      </c>
    </row>
    <row r="486" spans="4:4" x14ac:dyDescent="0.15">
      <c r="D486" s="91" t="s">
        <v>352</v>
      </c>
    </row>
    <row r="487" spans="4:4" x14ac:dyDescent="0.15">
      <c r="D487" s="91" t="s">
        <v>352</v>
      </c>
    </row>
    <row r="488" spans="4:4" x14ac:dyDescent="0.15">
      <c r="D488" s="91" t="s">
        <v>352</v>
      </c>
    </row>
    <row r="489" spans="4:4" x14ac:dyDescent="0.15">
      <c r="D489" s="91" t="s">
        <v>352</v>
      </c>
    </row>
    <row r="490" spans="4:4" x14ac:dyDescent="0.15">
      <c r="D490" s="91" t="s">
        <v>352</v>
      </c>
    </row>
    <row r="491" spans="4:4" x14ac:dyDescent="0.15">
      <c r="D491" s="91" t="s">
        <v>352</v>
      </c>
    </row>
    <row r="492" spans="4:4" x14ac:dyDescent="0.15">
      <c r="D492" s="91" t="s">
        <v>352</v>
      </c>
    </row>
    <row r="493" spans="4:4" x14ac:dyDescent="0.15">
      <c r="D493" s="91" t="s">
        <v>352</v>
      </c>
    </row>
    <row r="494" spans="4:4" x14ac:dyDescent="0.15">
      <c r="D494" s="91" t="s">
        <v>352</v>
      </c>
    </row>
    <row r="495" spans="4:4" x14ac:dyDescent="0.15">
      <c r="D495" s="91" t="s">
        <v>352</v>
      </c>
    </row>
    <row r="496" spans="4:4" x14ac:dyDescent="0.15">
      <c r="D496" s="91" t="s">
        <v>352</v>
      </c>
    </row>
    <row r="497" spans="4:4" x14ac:dyDescent="0.15">
      <c r="D497" s="91" t="s">
        <v>352</v>
      </c>
    </row>
    <row r="498" spans="4:4" x14ac:dyDescent="0.15">
      <c r="D498" s="91" t="s">
        <v>352</v>
      </c>
    </row>
    <row r="499" spans="4:4" x14ac:dyDescent="0.15">
      <c r="D499" s="91" t="s">
        <v>352</v>
      </c>
    </row>
    <row r="500" spans="4:4" x14ac:dyDescent="0.15">
      <c r="D500" s="91" t="s">
        <v>352</v>
      </c>
    </row>
    <row r="501" spans="4:4" x14ac:dyDescent="0.15">
      <c r="D501" s="91" t="s">
        <v>352</v>
      </c>
    </row>
    <row r="502" spans="4:4" x14ac:dyDescent="0.15">
      <c r="D502" s="91" t="s">
        <v>352</v>
      </c>
    </row>
    <row r="503" spans="4:4" x14ac:dyDescent="0.15">
      <c r="D503" s="91" t="s">
        <v>352</v>
      </c>
    </row>
    <row r="504" spans="4:4" x14ac:dyDescent="0.15">
      <c r="D504" s="91" t="s">
        <v>352</v>
      </c>
    </row>
    <row r="505" spans="4:4" x14ac:dyDescent="0.15">
      <c r="D505" s="91" t="s">
        <v>352</v>
      </c>
    </row>
    <row r="506" spans="4:4" x14ac:dyDescent="0.15">
      <c r="D506" s="91" t="s">
        <v>352</v>
      </c>
    </row>
    <row r="507" spans="4:4" x14ac:dyDescent="0.15">
      <c r="D507" s="91" t="s">
        <v>352</v>
      </c>
    </row>
    <row r="508" spans="4:4" x14ac:dyDescent="0.15">
      <c r="D508" s="91" t="s">
        <v>352</v>
      </c>
    </row>
    <row r="509" spans="4:4" x14ac:dyDescent="0.15">
      <c r="D509" s="91" t="s">
        <v>352</v>
      </c>
    </row>
    <row r="510" spans="4:4" x14ac:dyDescent="0.15">
      <c r="D510" s="91" t="s">
        <v>352</v>
      </c>
    </row>
    <row r="511" spans="4:4" x14ac:dyDescent="0.15">
      <c r="D511" s="91" t="s">
        <v>352</v>
      </c>
    </row>
    <row r="512" spans="4:4" x14ac:dyDescent="0.15">
      <c r="D512" s="91" t="s">
        <v>352</v>
      </c>
    </row>
    <row r="513" spans="4:4" x14ac:dyDescent="0.15">
      <c r="D513" s="91" t="s">
        <v>352</v>
      </c>
    </row>
    <row r="514" spans="4:4" x14ac:dyDescent="0.15">
      <c r="D514" s="91" t="s">
        <v>352</v>
      </c>
    </row>
    <row r="515" spans="4:4" x14ac:dyDescent="0.15">
      <c r="D515" s="91" t="s">
        <v>352</v>
      </c>
    </row>
    <row r="516" spans="4:4" x14ac:dyDescent="0.15">
      <c r="D516" s="91" t="s">
        <v>352</v>
      </c>
    </row>
    <row r="517" spans="4:4" x14ac:dyDescent="0.15">
      <c r="D517" s="91" t="s">
        <v>352</v>
      </c>
    </row>
    <row r="518" spans="4:4" x14ac:dyDescent="0.15">
      <c r="D518" s="91" t="s">
        <v>352</v>
      </c>
    </row>
    <row r="519" spans="4:4" x14ac:dyDescent="0.15">
      <c r="D519" s="91" t="s">
        <v>352</v>
      </c>
    </row>
    <row r="520" spans="4:4" x14ac:dyDescent="0.15">
      <c r="D520" s="91" t="s">
        <v>352</v>
      </c>
    </row>
    <row r="521" spans="4:4" x14ac:dyDescent="0.15">
      <c r="D521" s="91" t="s">
        <v>352</v>
      </c>
    </row>
    <row r="522" spans="4:4" x14ac:dyDescent="0.15">
      <c r="D522" s="91" t="s">
        <v>352</v>
      </c>
    </row>
    <row r="523" spans="4:4" x14ac:dyDescent="0.15">
      <c r="D523" s="91" t="s">
        <v>352</v>
      </c>
    </row>
    <row r="524" spans="4:4" x14ac:dyDescent="0.15">
      <c r="D524" s="91" t="s">
        <v>352</v>
      </c>
    </row>
    <row r="525" spans="4:4" x14ac:dyDescent="0.15">
      <c r="D525" s="91" t="s">
        <v>352</v>
      </c>
    </row>
    <row r="526" spans="4:4" x14ac:dyDescent="0.15">
      <c r="D526" s="91" t="s">
        <v>352</v>
      </c>
    </row>
    <row r="527" spans="4:4" x14ac:dyDescent="0.15">
      <c r="D527" s="91" t="s">
        <v>352</v>
      </c>
    </row>
    <row r="528" spans="4:4" x14ac:dyDescent="0.15">
      <c r="D528" s="91" t="s">
        <v>352</v>
      </c>
    </row>
    <row r="529" spans="4:4" x14ac:dyDescent="0.15">
      <c r="D529" s="91" t="s">
        <v>352</v>
      </c>
    </row>
    <row r="530" spans="4:4" x14ac:dyDescent="0.15">
      <c r="D530" s="91" t="s">
        <v>352</v>
      </c>
    </row>
    <row r="531" spans="4:4" x14ac:dyDescent="0.15">
      <c r="D531" s="91" t="s">
        <v>352</v>
      </c>
    </row>
    <row r="532" spans="4:4" x14ac:dyDescent="0.15">
      <c r="D532" s="91" t="s">
        <v>352</v>
      </c>
    </row>
    <row r="533" spans="4:4" x14ac:dyDescent="0.15">
      <c r="D533" s="91" t="s">
        <v>352</v>
      </c>
    </row>
    <row r="534" spans="4:4" x14ac:dyDescent="0.15">
      <c r="D534" s="91" t="s">
        <v>352</v>
      </c>
    </row>
    <row r="535" spans="4:4" x14ac:dyDescent="0.15">
      <c r="D535" s="91" t="s">
        <v>352</v>
      </c>
    </row>
    <row r="536" spans="4:4" x14ac:dyDescent="0.15">
      <c r="D536" s="91" t="s">
        <v>352</v>
      </c>
    </row>
    <row r="537" spans="4:4" x14ac:dyDescent="0.15">
      <c r="D537" s="91" t="s">
        <v>352</v>
      </c>
    </row>
    <row r="538" spans="4:4" x14ac:dyDescent="0.15">
      <c r="D538" s="91" t="s">
        <v>352</v>
      </c>
    </row>
    <row r="539" spans="4:4" x14ac:dyDescent="0.15">
      <c r="D539" s="91" t="s">
        <v>352</v>
      </c>
    </row>
    <row r="540" spans="4:4" x14ac:dyDescent="0.15">
      <c r="D540" s="91" t="s">
        <v>352</v>
      </c>
    </row>
    <row r="541" spans="4:4" x14ac:dyDescent="0.15">
      <c r="D541" s="91" t="s">
        <v>352</v>
      </c>
    </row>
    <row r="542" spans="4:4" x14ac:dyDescent="0.15">
      <c r="D542" s="91" t="s">
        <v>352</v>
      </c>
    </row>
    <row r="543" spans="4:4" x14ac:dyDescent="0.15">
      <c r="D543" s="91" t="s">
        <v>352</v>
      </c>
    </row>
    <row r="544" spans="4:4" x14ac:dyDescent="0.15">
      <c r="D544" s="91" t="s">
        <v>352</v>
      </c>
    </row>
    <row r="545" spans="4:4" x14ac:dyDescent="0.15">
      <c r="D545" s="91" t="s">
        <v>352</v>
      </c>
    </row>
    <row r="546" spans="4:4" x14ac:dyDescent="0.15">
      <c r="D546" s="91" t="s">
        <v>352</v>
      </c>
    </row>
    <row r="547" spans="4:4" x14ac:dyDescent="0.15">
      <c r="D547" s="91" t="s">
        <v>352</v>
      </c>
    </row>
    <row r="548" spans="4:4" x14ac:dyDescent="0.15">
      <c r="D548" s="91" t="s">
        <v>352</v>
      </c>
    </row>
    <row r="549" spans="4:4" x14ac:dyDescent="0.15">
      <c r="D549" s="91" t="s">
        <v>352</v>
      </c>
    </row>
    <row r="550" spans="4:4" x14ac:dyDescent="0.15">
      <c r="D550" s="91" t="s">
        <v>352</v>
      </c>
    </row>
    <row r="551" spans="4:4" x14ac:dyDescent="0.15">
      <c r="D551" s="91" t="s">
        <v>352</v>
      </c>
    </row>
    <row r="552" spans="4:4" x14ac:dyDescent="0.15">
      <c r="D552" s="91" t="s">
        <v>352</v>
      </c>
    </row>
    <row r="553" spans="4:4" x14ac:dyDescent="0.15">
      <c r="D553" s="91" t="s">
        <v>352</v>
      </c>
    </row>
    <row r="554" spans="4:4" x14ac:dyDescent="0.15">
      <c r="D554" s="91" t="s">
        <v>352</v>
      </c>
    </row>
    <row r="555" spans="4:4" x14ac:dyDescent="0.15">
      <c r="D555" s="91" t="s">
        <v>352</v>
      </c>
    </row>
    <row r="556" spans="4:4" x14ac:dyDescent="0.15">
      <c r="D556" s="91" t="s">
        <v>352</v>
      </c>
    </row>
    <row r="557" spans="4:4" x14ac:dyDescent="0.15">
      <c r="D557" s="91" t="s">
        <v>352</v>
      </c>
    </row>
    <row r="558" spans="4:4" x14ac:dyDescent="0.15">
      <c r="D558" s="91" t="s">
        <v>352</v>
      </c>
    </row>
    <row r="559" spans="4:4" x14ac:dyDescent="0.15">
      <c r="D559" s="91" t="s">
        <v>352</v>
      </c>
    </row>
    <row r="560" spans="4:4" x14ac:dyDescent="0.15">
      <c r="D560" s="91" t="s">
        <v>352</v>
      </c>
    </row>
    <row r="561" spans="4:4" x14ac:dyDescent="0.15">
      <c r="D561" s="91" t="s">
        <v>352</v>
      </c>
    </row>
    <row r="562" spans="4:4" x14ac:dyDescent="0.15">
      <c r="D562" s="91" t="s">
        <v>352</v>
      </c>
    </row>
    <row r="563" spans="4:4" x14ac:dyDescent="0.15">
      <c r="D563" s="91" t="s">
        <v>352</v>
      </c>
    </row>
    <row r="564" spans="4:4" x14ac:dyDescent="0.15">
      <c r="D564" s="91" t="s">
        <v>352</v>
      </c>
    </row>
    <row r="565" spans="4:4" x14ac:dyDescent="0.15">
      <c r="D565" s="91" t="s">
        <v>352</v>
      </c>
    </row>
    <row r="566" spans="4:4" x14ac:dyDescent="0.15">
      <c r="D566" s="91" t="s">
        <v>352</v>
      </c>
    </row>
    <row r="567" spans="4:4" x14ac:dyDescent="0.15">
      <c r="D567" s="91" t="s">
        <v>352</v>
      </c>
    </row>
    <row r="568" spans="4:4" x14ac:dyDescent="0.15">
      <c r="D568" s="91" t="s">
        <v>352</v>
      </c>
    </row>
    <row r="569" spans="4:4" x14ac:dyDescent="0.15">
      <c r="D569" s="91" t="s">
        <v>352</v>
      </c>
    </row>
    <row r="570" spans="4:4" x14ac:dyDescent="0.15">
      <c r="D570" s="91" t="s">
        <v>352</v>
      </c>
    </row>
    <row r="571" spans="4:4" x14ac:dyDescent="0.15">
      <c r="D571" s="91" t="s">
        <v>352</v>
      </c>
    </row>
    <row r="572" spans="4:4" x14ac:dyDescent="0.15">
      <c r="D572" s="91" t="s">
        <v>352</v>
      </c>
    </row>
    <row r="573" spans="4:4" x14ac:dyDescent="0.15">
      <c r="D573" s="91" t="s">
        <v>352</v>
      </c>
    </row>
    <row r="574" spans="4:4" x14ac:dyDescent="0.15">
      <c r="D574" s="91" t="s">
        <v>352</v>
      </c>
    </row>
    <row r="575" spans="4:4" x14ac:dyDescent="0.15">
      <c r="D575" s="91" t="s">
        <v>352</v>
      </c>
    </row>
    <row r="576" spans="4:4" x14ac:dyDescent="0.15">
      <c r="D576" s="91" t="s">
        <v>352</v>
      </c>
    </row>
    <row r="577" spans="4:4" x14ac:dyDescent="0.15">
      <c r="D577" s="91" t="s">
        <v>352</v>
      </c>
    </row>
    <row r="578" spans="4:4" x14ac:dyDescent="0.15">
      <c r="D578" s="91" t="s">
        <v>352</v>
      </c>
    </row>
    <row r="579" spans="4:4" x14ac:dyDescent="0.15">
      <c r="D579" s="91" t="s">
        <v>352</v>
      </c>
    </row>
    <row r="580" spans="4:4" x14ac:dyDescent="0.15">
      <c r="D580" s="91" t="s">
        <v>352</v>
      </c>
    </row>
    <row r="581" spans="4:4" x14ac:dyDescent="0.15">
      <c r="D581" s="91" t="s">
        <v>352</v>
      </c>
    </row>
    <row r="582" spans="4:4" x14ac:dyDescent="0.15">
      <c r="D582" s="91" t="s">
        <v>352</v>
      </c>
    </row>
    <row r="583" spans="4:4" x14ac:dyDescent="0.15">
      <c r="D583" s="91" t="s">
        <v>352</v>
      </c>
    </row>
    <row r="584" spans="4:4" x14ac:dyDescent="0.15">
      <c r="D584" s="91" t="s">
        <v>352</v>
      </c>
    </row>
    <row r="585" spans="4:4" x14ac:dyDescent="0.15">
      <c r="D585" s="91" t="s">
        <v>352</v>
      </c>
    </row>
    <row r="586" spans="4:4" x14ac:dyDescent="0.15">
      <c r="D586" s="91" t="s">
        <v>352</v>
      </c>
    </row>
    <row r="587" spans="4:4" x14ac:dyDescent="0.15">
      <c r="D587" s="91" t="s">
        <v>352</v>
      </c>
    </row>
    <row r="588" spans="4:4" x14ac:dyDescent="0.15">
      <c r="D588" s="91" t="s">
        <v>352</v>
      </c>
    </row>
    <row r="589" spans="4:4" x14ac:dyDescent="0.15">
      <c r="D589" s="91" t="s">
        <v>352</v>
      </c>
    </row>
    <row r="590" spans="4:4" x14ac:dyDescent="0.15">
      <c r="D590" s="91" t="s">
        <v>352</v>
      </c>
    </row>
    <row r="591" spans="4:4" x14ac:dyDescent="0.15">
      <c r="D591" s="91" t="s">
        <v>352</v>
      </c>
    </row>
    <row r="592" spans="4:4" x14ac:dyDescent="0.15">
      <c r="D592" s="91" t="s">
        <v>352</v>
      </c>
    </row>
    <row r="593" spans="4:4" x14ac:dyDescent="0.15">
      <c r="D593" s="91" t="s">
        <v>352</v>
      </c>
    </row>
    <row r="594" spans="4:4" x14ac:dyDescent="0.15">
      <c r="D594" s="91" t="s">
        <v>352</v>
      </c>
    </row>
    <row r="595" spans="4:4" x14ac:dyDescent="0.15">
      <c r="D595" s="91" t="s">
        <v>352</v>
      </c>
    </row>
    <row r="596" spans="4:4" x14ac:dyDescent="0.15">
      <c r="D596" s="91" t="s">
        <v>352</v>
      </c>
    </row>
    <row r="597" spans="4:4" x14ac:dyDescent="0.15">
      <c r="D597" s="91" t="s">
        <v>352</v>
      </c>
    </row>
    <row r="598" spans="4:4" x14ac:dyDescent="0.15">
      <c r="D598" s="91" t="s">
        <v>352</v>
      </c>
    </row>
    <row r="599" spans="4:4" x14ac:dyDescent="0.15">
      <c r="D599" s="91" t="s">
        <v>352</v>
      </c>
    </row>
    <row r="600" spans="4:4" x14ac:dyDescent="0.15">
      <c r="D600" s="91" t="s">
        <v>352</v>
      </c>
    </row>
    <row r="601" spans="4:4" x14ac:dyDescent="0.15">
      <c r="D601" s="91" t="s">
        <v>352</v>
      </c>
    </row>
    <row r="602" spans="4:4" x14ac:dyDescent="0.15">
      <c r="D602" s="91" t="s">
        <v>352</v>
      </c>
    </row>
    <row r="603" spans="4:4" x14ac:dyDescent="0.15">
      <c r="D603" s="91" t="s">
        <v>352</v>
      </c>
    </row>
    <row r="604" spans="4:4" x14ac:dyDescent="0.15">
      <c r="D604" s="91" t="s">
        <v>352</v>
      </c>
    </row>
    <row r="605" spans="4:4" x14ac:dyDescent="0.15">
      <c r="D605" s="91" t="s">
        <v>352</v>
      </c>
    </row>
    <row r="606" spans="4:4" x14ac:dyDescent="0.15">
      <c r="D606" s="91" t="s">
        <v>352</v>
      </c>
    </row>
    <row r="607" spans="4:4" x14ac:dyDescent="0.15">
      <c r="D607" s="91" t="s">
        <v>352</v>
      </c>
    </row>
    <row r="608" spans="4:4" x14ac:dyDescent="0.15">
      <c r="D608" s="91" t="s">
        <v>352</v>
      </c>
    </row>
    <row r="609" spans="4:4" x14ac:dyDescent="0.15">
      <c r="D609" s="91" t="s">
        <v>352</v>
      </c>
    </row>
    <row r="610" spans="4:4" x14ac:dyDescent="0.15">
      <c r="D610" s="91" t="s">
        <v>352</v>
      </c>
    </row>
    <row r="611" spans="4:4" x14ac:dyDescent="0.15">
      <c r="D611" s="91" t="s">
        <v>352</v>
      </c>
    </row>
    <row r="612" spans="4:4" x14ac:dyDescent="0.15">
      <c r="D612" s="91" t="s">
        <v>352</v>
      </c>
    </row>
    <row r="613" spans="4:4" x14ac:dyDescent="0.15">
      <c r="D613" s="91" t="s">
        <v>352</v>
      </c>
    </row>
    <row r="614" spans="4:4" x14ac:dyDescent="0.15">
      <c r="D614" s="91" t="s">
        <v>352</v>
      </c>
    </row>
    <row r="615" spans="4:4" x14ac:dyDescent="0.15">
      <c r="D615" s="91" t="s">
        <v>352</v>
      </c>
    </row>
    <row r="616" spans="4:4" x14ac:dyDescent="0.15">
      <c r="D616" s="91" t="s">
        <v>352</v>
      </c>
    </row>
    <row r="617" spans="4:4" x14ac:dyDescent="0.15">
      <c r="D617" s="91" t="s">
        <v>352</v>
      </c>
    </row>
    <row r="618" spans="4:4" x14ac:dyDescent="0.15">
      <c r="D618" s="91" t="s">
        <v>352</v>
      </c>
    </row>
    <row r="619" spans="4:4" x14ac:dyDescent="0.15">
      <c r="D619" s="91" t="s">
        <v>352</v>
      </c>
    </row>
    <row r="620" spans="4:4" x14ac:dyDescent="0.15">
      <c r="D620" s="91" t="s">
        <v>352</v>
      </c>
    </row>
    <row r="621" spans="4:4" x14ac:dyDescent="0.15">
      <c r="D621" s="91" t="s">
        <v>352</v>
      </c>
    </row>
    <row r="622" spans="4:4" x14ac:dyDescent="0.15">
      <c r="D622" s="91" t="s">
        <v>352</v>
      </c>
    </row>
    <row r="623" spans="4:4" x14ac:dyDescent="0.15">
      <c r="D623" s="91" t="s">
        <v>352</v>
      </c>
    </row>
    <row r="624" spans="4:4" x14ac:dyDescent="0.15">
      <c r="D624" s="91" t="s">
        <v>352</v>
      </c>
    </row>
    <row r="625" spans="4:4" x14ac:dyDescent="0.15">
      <c r="D625" s="91" t="s">
        <v>352</v>
      </c>
    </row>
    <row r="626" spans="4:4" x14ac:dyDescent="0.15">
      <c r="D626" s="91" t="s">
        <v>352</v>
      </c>
    </row>
    <row r="627" spans="4:4" x14ac:dyDescent="0.15">
      <c r="D627" s="91" t="s">
        <v>352</v>
      </c>
    </row>
    <row r="628" spans="4:4" x14ac:dyDescent="0.15">
      <c r="D628" s="91" t="s">
        <v>352</v>
      </c>
    </row>
    <row r="629" spans="4:4" x14ac:dyDescent="0.15">
      <c r="D629" s="91" t="s">
        <v>352</v>
      </c>
    </row>
    <row r="630" spans="4:4" x14ac:dyDescent="0.15">
      <c r="D630" s="91" t="s">
        <v>352</v>
      </c>
    </row>
    <row r="631" spans="4:4" x14ac:dyDescent="0.15">
      <c r="D631" s="91" t="s">
        <v>352</v>
      </c>
    </row>
    <row r="632" spans="4:4" x14ac:dyDescent="0.15">
      <c r="D632" s="91" t="s">
        <v>352</v>
      </c>
    </row>
    <row r="633" spans="4:4" x14ac:dyDescent="0.15">
      <c r="D633" s="91" t="s">
        <v>352</v>
      </c>
    </row>
    <row r="634" spans="4:4" x14ac:dyDescent="0.15">
      <c r="D634" s="91" t="s">
        <v>352</v>
      </c>
    </row>
    <row r="635" spans="4:4" x14ac:dyDescent="0.15">
      <c r="D635" s="91" t="s">
        <v>352</v>
      </c>
    </row>
    <row r="636" spans="4:4" x14ac:dyDescent="0.15">
      <c r="D636" s="91" t="s">
        <v>352</v>
      </c>
    </row>
    <row r="637" spans="4:4" x14ac:dyDescent="0.15">
      <c r="D637" s="91" t="s">
        <v>352</v>
      </c>
    </row>
    <row r="638" spans="4:4" x14ac:dyDescent="0.15">
      <c r="D638" s="91" t="s">
        <v>352</v>
      </c>
    </row>
    <row r="639" spans="4:4" x14ac:dyDescent="0.15">
      <c r="D639" s="91" t="s">
        <v>352</v>
      </c>
    </row>
    <row r="640" spans="4:4" x14ac:dyDescent="0.15">
      <c r="D640" s="91" t="s">
        <v>352</v>
      </c>
    </row>
    <row r="641" spans="4:4" x14ac:dyDescent="0.15">
      <c r="D641" s="91" t="s">
        <v>352</v>
      </c>
    </row>
    <row r="642" spans="4:4" x14ac:dyDescent="0.15">
      <c r="D642" s="91" t="s">
        <v>352</v>
      </c>
    </row>
    <row r="643" spans="4:4" x14ac:dyDescent="0.15">
      <c r="D643" s="91" t="s">
        <v>352</v>
      </c>
    </row>
    <row r="644" spans="4:4" x14ac:dyDescent="0.15">
      <c r="D644" s="91" t="s">
        <v>352</v>
      </c>
    </row>
    <row r="645" spans="4:4" x14ac:dyDescent="0.15">
      <c r="D645" s="91" t="s">
        <v>352</v>
      </c>
    </row>
    <row r="646" spans="4:4" x14ac:dyDescent="0.15">
      <c r="D646" s="91" t="s">
        <v>352</v>
      </c>
    </row>
    <row r="647" spans="4:4" x14ac:dyDescent="0.15">
      <c r="D647" s="91" t="s">
        <v>352</v>
      </c>
    </row>
    <row r="648" spans="4:4" x14ac:dyDescent="0.15">
      <c r="D648" s="91" t="s">
        <v>352</v>
      </c>
    </row>
    <row r="649" spans="4:4" x14ac:dyDescent="0.15">
      <c r="D649" s="91" t="s">
        <v>352</v>
      </c>
    </row>
    <row r="650" spans="4:4" x14ac:dyDescent="0.15">
      <c r="D650" s="91" t="s">
        <v>352</v>
      </c>
    </row>
    <row r="651" spans="4:4" x14ac:dyDescent="0.15">
      <c r="D651" s="91" t="s">
        <v>352</v>
      </c>
    </row>
    <row r="652" spans="4:4" x14ac:dyDescent="0.15">
      <c r="D652" s="91" t="s">
        <v>352</v>
      </c>
    </row>
    <row r="653" spans="4:4" x14ac:dyDescent="0.15">
      <c r="D653" s="91" t="s">
        <v>352</v>
      </c>
    </row>
    <row r="654" spans="4:4" x14ac:dyDescent="0.15">
      <c r="D654" s="91" t="s">
        <v>352</v>
      </c>
    </row>
    <row r="655" spans="4:4" x14ac:dyDescent="0.15">
      <c r="D655" s="91" t="s">
        <v>352</v>
      </c>
    </row>
    <row r="656" spans="4:4" x14ac:dyDescent="0.15">
      <c r="D656" s="91" t="s">
        <v>352</v>
      </c>
    </row>
    <row r="657" spans="4:4" x14ac:dyDescent="0.15">
      <c r="D657" s="91" t="s">
        <v>352</v>
      </c>
    </row>
    <row r="658" spans="4:4" x14ac:dyDescent="0.15">
      <c r="D658" s="91" t="s">
        <v>352</v>
      </c>
    </row>
    <row r="659" spans="4:4" x14ac:dyDescent="0.15">
      <c r="D659" s="91" t="s">
        <v>352</v>
      </c>
    </row>
    <row r="660" spans="4:4" x14ac:dyDescent="0.15">
      <c r="D660" s="91" t="s">
        <v>352</v>
      </c>
    </row>
    <row r="661" spans="4:4" x14ac:dyDescent="0.15">
      <c r="D661" s="91" t="s">
        <v>352</v>
      </c>
    </row>
    <row r="662" spans="4:4" x14ac:dyDescent="0.15">
      <c r="D662" s="91" t="s">
        <v>352</v>
      </c>
    </row>
    <row r="663" spans="4:4" x14ac:dyDescent="0.15">
      <c r="D663" s="91" t="s">
        <v>352</v>
      </c>
    </row>
    <row r="664" spans="4:4" x14ac:dyDescent="0.15">
      <c r="D664" s="91" t="s">
        <v>352</v>
      </c>
    </row>
    <row r="665" spans="4:4" x14ac:dyDescent="0.15">
      <c r="D665" s="91" t="s">
        <v>352</v>
      </c>
    </row>
    <row r="666" spans="4:4" x14ac:dyDescent="0.15">
      <c r="D666" s="91" t="s">
        <v>352</v>
      </c>
    </row>
    <row r="667" spans="4:4" x14ac:dyDescent="0.15">
      <c r="D667" s="91" t="s">
        <v>352</v>
      </c>
    </row>
    <row r="668" spans="4:4" x14ac:dyDescent="0.15">
      <c r="D668" s="91" t="s">
        <v>352</v>
      </c>
    </row>
    <row r="669" spans="4:4" x14ac:dyDescent="0.15">
      <c r="D669" s="91" t="s">
        <v>352</v>
      </c>
    </row>
    <row r="670" spans="4:4" x14ac:dyDescent="0.15">
      <c r="D670" s="91" t="s">
        <v>352</v>
      </c>
    </row>
    <row r="671" spans="4:4" x14ac:dyDescent="0.15">
      <c r="D671" s="91" t="s">
        <v>352</v>
      </c>
    </row>
    <row r="672" spans="4:4" x14ac:dyDescent="0.15">
      <c r="D672" s="91" t="s">
        <v>352</v>
      </c>
    </row>
    <row r="673" spans="4:4" x14ac:dyDescent="0.15">
      <c r="D673" s="91" t="s">
        <v>352</v>
      </c>
    </row>
    <row r="674" spans="4:4" x14ac:dyDescent="0.15">
      <c r="D674" s="91" t="s">
        <v>352</v>
      </c>
    </row>
    <row r="675" spans="4:4" x14ac:dyDescent="0.15">
      <c r="D675" s="91" t="s">
        <v>352</v>
      </c>
    </row>
    <row r="676" spans="4:4" x14ac:dyDescent="0.15">
      <c r="D676" s="91" t="s">
        <v>352</v>
      </c>
    </row>
    <row r="677" spans="4:4" x14ac:dyDescent="0.15">
      <c r="D677" s="91" t="s">
        <v>352</v>
      </c>
    </row>
    <row r="678" spans="4:4" x14ac:dyDescent="0.15">
      <c r="D678" s="91" t="s">
        <v>352</v>
      </c>
    </row>
    <row r="679" spans="4:4" x14ac:dyDescent="0.15">
      <c r="D679" s="91" t="s">
        <v>352</v>
      </c>
    </row>
    <row r="680" spans="4:4" x14ac:dyDescent="0.15">
      <c r="D680" s="91" t="s">
        <v>352</v>
      </c>
    </row>
    <row r="681" spans="4:4" x14ac:dyDescent="0.15">
      <c r="D681" s="91" t="s">
        <v>352</v>
      </c>
    </row>
    <row r="682" spans="4:4" x14ac:dyDescent="0.15">
      <c r="D682" s="91" t="s">
        <v>352</v>
      </c>
    </row>
    <row r="683" spans="4:4" x14ac:dyDescent="0.15">
      <c r="D683" s="91" t="s">
        <v>352</v>
      </c>
    </row>
    <row r="684" spans="4:4" x14ac:dyDescent="0.15">
      <c r="D684" s="91" t="s">
        <v>352</v>
      </c>
    </row>
    <row r="685" spans="4:4" x14ac:dyDescent="0.15">
      <c r="D685" s="91" t="s">
        <v>352</v>
      </c>
    </row>
    <row r="686" spans="4:4" x14ac:dyDescent="0.15">
      <c r="D686" s="91" t="s">
        <v>352</v>
      </c>
    </row>
    <row r="687" spans="4:4" x14ac:dyDescent="0.15">
      <c r="D687" s="91" t="s">
        <v>352</v>
      </c>
    </row>
    <row r="688" spans="4:4" x14ac:dyDescent="0.15">
      <c r="D688" s="91" t="s">
        <v>352</v>
      </c>
    </row>
    <row r="689" spans="4:4" x14ac:dyDescent="0.15">
      <c r="D689" s="91" t="s">
        <v>352</v>
      </c>
    </row>
    <row r="690" spans="4:4" x14ac:dyDescent="0.15">
      <c r="D690" s="91" t="s">
        <v>352</v>
      </c>
    </row>
    <row r="691" spans="4:4" x14ac:dyDescent="0.15">
      <c r="D691" s="91" t="s">
        <v>352</v>
      </c>
    </row>
    <row r="692" spans="4:4" x14ac:dyDescent="0.15">
      <c r="D692" s="91" t="s">
        <v>352</v>
      </c>
    </row>
    <row r="693" spans="4:4" x14ac:dyDescent="0.15">
      <c r="D693" s="91" t="s">
        <v>352</v>
      </c>
    </row>
    <row r="694" spans="4:4" x14ac:dyDescent="0.15">
      <c r="D694" s="91" t="s">
        <v>352</v>
      </c>
    </row>
    <row r="695" spans="4:4" x14ac:dyDescent="0.15">
      <c r="D695" s="91" t="s">
        <v>352</v>
      </c>
    </row>
    <row r="696" spans="4:4" x14ac:dyDescent="0.15">
      <c r="D696" s="91" t="s">
        <v>352</v>
      </c>
    </row>
    <row r="697" spans="4:4" x14ac:dyDescent="0.15">
      <c r="D697" s="91" t="s">
        <v>352</v>
      </c>
    </row>
    <row r="698" spans="4:4" x14ac:dyDescent="0.15">
      <c r="D698" s="91" t="s">
        <v>352</v>
      </c>
    </row>
    <row r="699" spans="4:4" x14ac:dyDescent="0.15">
      <c r="D699" s="91" t="s">
        <v>352</v>
      </c>
    </row>
    <row r="700" spans="4:4" x14ac:dyDescent="0.15">
      <c r="D700" s="91" t="s">
        <v>352</v>
      </c>
    </row>
    <row r="701" spans="4:4" x14ac:dyDescent="0.15">
      <c r="D701" s="91" t="s">
        <v>352</v>
      </c>
    </row>
    <row r="702" spans="4:4" x14ac:dyDescent="0.15">
      <c r="D702" s="91" t="s">
        <v>352</v>
      </c>
    </row>
    <row r="703" spans="4:4" x14ac:dyDescent="0.15">
      <c r="D703" s="91" t="s">
        <v>352</v>
      </c>
    </row>
    <row r="704" spans="4:4" x14ac:dyDescent="0.15">
      <c r="D704" s="91" t="s">
        <v>352</v>
      </c>
    </row>
    <row r="705" spans="4:4" x14ac:dyDescent="0.15">
      <c r="D705" s="91" t="s">
        <v>352</v>
      </c>
    </row>
    <row r="706" spans="4:4" x14ac:dyDescent="0.15">
      <c r="D706" s="91" t="s">
        <v>352</v>
      </c>
    </row>
    <row r="707" spans="4:4" x14ac:dyDescent="0.15">
      <c r="D707" s="91" t="s">
        <v>352</v>
      </c>
    </row>
    <row r="708" spans="4:4" x14ac:dyDescent="0.15">
      <c r="D708" s="91" t="s">
        <v>352</v>
      </c>
    </row>
    <row r="709" spans="4:4" x14ac:dyDescent="0.15">
      <c r="D709" s="91" t="s">
        <v>352</v>
      </c>
    </row>
    <row r="710" spans="4:4" x14ac:dyDescent="0.15">
      <c r="D710" s="91" t="s">
        <v>352</v>
      </c>
    </row>
    <row r="711" spans="4:4" x14ac:dyDescent="0.15">
      <c r="D711" s="91" t="s">
        <v>352</v>
      </c>
    </row>
    <row r="712" spans="4:4" x14ac:dyDescent="0.15">
      <c r="D712" s="91" t="s">
        <v>352</v>
      </c>
    </row>
    <row r="713" spans="4:4" x14ac:dyDescent="0.15">
      <c r="D713" s="91" t="s">
        <v>352</v>
      </c>
    </row>
    <row r="714" spans="4:4" x14ac:dyDescent="0.15">
      <c r="D714" s="91" t="s">
        <v>352</v>
      </c>
    </row>
    <row r="715" spans="4:4" x14ac:dyDescent="0.15">
      <c r="D715" s="91" t="s">
        <v>352</v>
      </c>
    </row>
    <row r="716" spans="4:4" x14ac:dyDescent="0.15">
      <c r="D716" s="91" t="s">
        <v>352</v>
      </c>
    </row>
    <row r="717" spans="4:4" x14ac:dyDescent="0.15">
      <c r="D717" s="91" t="s">
        <v>352</v>
      </c>
    </row>
    <row r="718" spans="4:4" x14ac:dyDescent="0.15">
      <c r="D718" s="91" t="s">
        <v>352</v>
      </c>
    </row>
    <row r="719" spans="4:4" x14ac:dyDescent="0.15">
      <c r="D719" s="91" t="s">
        <v>352</v>
      </c>
    </row>
    <row r="720" spans="4:4" x14ac:dyDescent="0.15">
      <c r="D720" s="91" t="s">
        <v>352</v>
      </c>
    </row>
    <row r="721" spans="4:4" x14ac:dyDescent="0.15">
      <c r="D721" s="91" t="s">
        <v>352</v>
      </c>
    </row>
    <row r="722" spans="4:4" x14ac:dyDescent="0.15">
      <c r="D722" s="91" t="s">
        <v>352</v>
      </c>
    </row>
    <row r="723" spans="4:4" x14ac:dyDescent="0.15">
      <c r="D723" s="91" t="s">
        <v>352</v>
      </c>
    </row>
    <row r="724" spans="4:4" x14ac:dyDescent="0.15">
      <c r="D724" s="91" t="s">
        <v>352</v>
      </c>
    </row>
    <row r="725" spans="4:4" x14ac:dyDescent="0.15">
      <c r="D725" s="91" t="s">
        <v>352</v>
      </c>
    </row>
    <row r="726" spans="4:4" x14ac:dyDescent="0.15">
      <c r="D726" s="91" t="s">
        <v>352</v>
      </c>
    </row>
    <row r="727" spans="4:4" x14ac:dyDescent="0.15">
      <c r="D727" s="91" t="s">
        <v>352</v>
      </c>
    </row>
    <row r="728" spans="4:4" x14ac:dyDescent="0.15">
      <c r="D728" s="91" t="s">
        <v>352</v>
      </c>
    </row>
    <row r="729" spans="4:4" x14ac:dyDescent="0.15">
      <c r="D729" s="91" t="s">
        <v>352</v>
      </c>
    </row>
    <row r="730" spans="4:4" x14ac:dyDescent="0.15">
      <c r="D730" s="91" t="s">
        <v>352</v>
      </c>
    </row>
    <row r="731" spans="4:4" x14ac:dyDescent="0.15">
      <c r="D731" s="91" t="s">
        <v>352</v>
      </c>
    </row>
    <row r="732" spans="4:4" x14ac:dyDescent="0.15">
      <c r="D732" s="91" t="s">
        <v>352</v>
      </c>
    </row>
    <row r="733" spans="4:4" x14ac:dyDescent="0.15">
      <c r="D733" s="91" t="s">
        <v>352</v>
      </c>
    </row>
    <row r="734" spans="4:4" x14ac:dyDescent="0.15">
      <c r="D734" s="91" t="s">
        <v>352</v>
      </c>
    </row>
    <row r="735" spans="4:4" x14ac:dyDescent="0.15">
      <c r="D735" s="91" t="s">
        <v>352</v>
      </c>
    </row>
    <row r="736" spans="4:4" x14ac:dyDescent="0.15">
      <c r="D736" s="91" t="s">
        <v>352</v>
      </c>
    </row>
    <row r="737" spans="4:4" x14ac:dyDescent="0.15">
      <c r="D737" s="91" t="s">
        <v>352</v>
      </c>
    </row>
    <row r="738" spans="4:4" x14ac:dyDescent="0.15">
      <c r="D738" s="91" t="s">
        <v>352</v>
      </c>
    </row>
    <row r="739" spans="4:4" x14ac:dyDescent="0.15">
      <c r="D739" s="91" t="s">
        <v>352</v>
      </c>
    </row>
    <row r="740" spans="4:4" x14ac:dyDescent="0.15">
      <c r="D740" s="91" t="s">
        <v>352</v>
      </c>
    </row>
    <row r="741" spans="4:4" x14ac:dyDescent="0.15">
      <c r="D741" s="91" t="s">
        <v>352</v>
      </c>
    </row>
    <row r="742" spans="4:4" x14ac:dyDescent="0.15">
      <c r="D742" s="91" t="s">
        <v>352</v>
      </c>
    </row>
    <row r="743" spans="4:4" x14ac:dyDescent="0.15">
      <c r="D743" s="91" t="s">
        <v>352</v>
      </c>
    </row>
    <row r="744" spans="4:4" x14ac:dyDescent="0.15">
      <c r="D744" s="91" t="s">
        <v>352</v>
      </c>
    </row>
    <row r="745" spans="4:4" x14ac:dyDescent="0.15">
      <c r="D745" s="91" t="s">
        <v>352</v>
      </c>
    </row>
    <row r="746" spans="4:4" x14ac:dyDescent="0.15">
      <c r="D746" s="91" t="s">
        <v>352</v>
      </c>
    </row>
    <row r="747" spans="4:4" x14ac:dyDescent="0.15">
      <c r="D747" s="91" t="s">
        <v>352</v>
      </c>
    </row>
    <row r="748" spans="4:4" x14ac:dyDescent="0.15">
      <c r="D748" s="91" t="s">
        <v>352</v>
      </c>
    </row>
    <row r="749" spans="4:4" x14ac:dyDescent="0.15">
      <c r="D749" s="91" t="s">
        <v>352</v>
      </c>
    </row>
    <row r="750" spans="4:4" x14ac:dyDescent="0.15">
      <c r="D750" s="91" t="s">
        <v>352</v>
      </c>
    </row>
    <row r="751" spans="4:4" x14ac:dyDescent="0.15">
      <c r="D751" s="91" t="s">
        <v>352</v>
      </c>
    </row>
    <row r="752" spans="4:4" x14ac:dyDescent="0.15">
      <c r="D752" s="91" t="s">
        <v>352</v>
      </c>
    </row>
    <row r="753" spans="4:4" x14ac:dyDescent="0.15">
      <c r="D753" s="91" t="s">
        <v>352</v>
      </c>
    </row>
    <row r="754" spans="4:4" x14ac:dyDescent="0.15">
      <c r="D754" s="91" t="s">
        <v>352</v>
      </c>
    </row>
    <row r="755" spans="4:4" x14ac:dyDescent="0.15">
      <c r="D755" s="91" t="s">
        <v>352</v>
      </c>
    </row>
    <row r="756" spans="4:4" x14ac:dyDescent="0.15">
      <c r="D756" s="91" t="s">
        <v>352</v>
      </c>
    </row>
    <row r="757" spans="4:4" x14ac:dyDescent="0.15">
      <c r="D757" s="91" t="s">
        <v>352</v>
      </c>
    </row>
    <row r="758" spans="4:4" x14ac:dyDescent="0.15">
      <c r="D758" s="91" t="s">
        <v>352</v>
      </c>
    </row>
    <row r="759" spans="4:4" x14ac:dyDescent="0.15">
      <c r="D759" s="91" t="s">
        <v>352</v>
      </c>
    </row>
    <row r="760" spans="4:4" x14ac:dyDescent="0.15">
      <c r="D760" s="91" t="s">
        <v>352</v>
      </c>
    </row>
    <row r="761" spans="4:4" x14ac:dyDescent="0.15">
      <c r="D761" s="91" t="s">
        <v>352</v>
      </c>
    </row>
    <row r="762" spans="4:4" x14ac:dyDescent="0.15">
      <c r="D762" s="91" t="s">
        <v>352</v>
      </c>
    </row>
    <row r="763" spans="4:4" x14ac:dyDescent="0.15">
      <c r="D763" s="91" t="s">
        <v>352</v>
      </c>
    </row>
    <row r="764" spans="4:4" x14ac:dyDescent="0.15">
      <c r="D764" s="91" t="s">
        <v>352</v>
      </c>
    </row>
    <row r="765" spans="4:4" x14ac:dyDescent="0.15">
      <c r="D765" s="91" t="s">
        <v>352</v>
      </c>
    </row>
    <row r="766" spans="4:4" x14ac:dyDescent="0.15">
      <c r="D766" s="91" t="s">
        <v>352</v>
      </c>
    </row>
    <row r="767" spans="4:4" x14ac:dyDescent="0.15">
      <c r="D767" s="91" t="s">
        <v>352</v>
      </c>
    </row>
    <row r="768" spans="4:4" x14ac:dyDescent="0.15">
      <c r="D768" s="91" t="s">
        <v>352</v>
      </c>
    </row>
    <row r="769" spans="4:4" x14ac:dyDescent="0.15">
      <c r="D769" s="91" t="s">
        <v>352</v>
      </c>
    </row>
    <row r="770" spans="4:4" x14ac:dyDescent="0.15">
      <c r="D770" s="91" t="s">
        <v>352</v>
      </c>
    </row>
    <row r="771" spans="4:4" x14ac:dyDescent="0.15">
      <c r="D771" s="91" t="s">
        <v>352</v>
      </c>
    </row>
    <row r="772" spans="4:4" x14ac:dyDescent="0.15">
      <c r="D772" s="91" t="s">
        <v>352</v>
      </c>
    </row>
    <row r="773" spans="4:4" x14ac:dyDescent="0.15">
      <c r="D773" s="91" t="s">
        <v>352</v>
      </c>
    </row>
    <row r="774" spans="4:4" x14ac:dyDescent="0.15">
      <c r="D774" s="91" t="s">
        <v>352</v>
      </c>
    </row>
    <row r="775" spans="4:4" x14ac:dyDescent="0.15">
      <c r="D775" s="91" t="s">
        <v>352</v>
      </c>
    </row>
    <row r="776" spans="4:4" x14ac:dyDescent="0.15">
      <c r="D776" s="91" t="s">
        <v>352</v>
      </c>
    </row>
    <row r="777" spans="4:4" x14ac:dyDescent="0.15">
      <c r="D777" s="91" t="s">
        <v>352</v>
      </c>
    </row>
    <row r="778" spans="4:4" x14ac:dyDescent="0.15">
      <c r="D778" s="91" t="s">
        <v>352</v>
      </c>
    </row>
    <row r="779" spans="4:4" x14ac:dyDescent="0.15">
      <c r="D779" s="91" t="s">
        <v>352</v>
      </c>
    </row>
    <row r="780" spans="4:4" x14ac:dyDescent="0.15">
      <c r="D780" s="91" t="s">
        <v>352</v>
      </c>
    </row>
    <row r="781" spans="4:4" x14ac:dyDescent="0.15">
      <c r="D781" s="91" t="s">
        <v>352</v>
      </c>
    </row>
    <row r="782" spans="4:4" x14ac:dyDescent="0.15">
      <c r="D782" s="91" t="s">
        <v>352</v>
      </c>
    </row>
    <row r="783" spans="4:4" x14ac:dyDescent="0.15">
      <c r="D783" s="91" t="s">
        <v>352</v>
      </c>
    </row>
    <row r="784" spans="4:4" x14ac:dyDescent="0.15">
      <c r="D784" s="91" t="s">
        <v>352</v>
      </c>
    </row>
    <row r="785" spans="4:4" x14ac:dyDescent="0.15">
      <c r="D785" s="91" t="s">
        <v>352</v>
      </c>
    </row>
    <row r="786" spans="4:4" x14ac:dyDescent="0.15">
      <c r="D786" s="91" t="s">
        <v>352</v>
      </c>
    </row>
    <row r="787" spans="4:4" x14ac:dyDescent="0.15">
      <c r="D787" s="91" t="s">
        <v>352</v>
      </c>
    </row>
    <row r="788" spans="4:4" x14ac:dyDescent="0.15">
      <c r="D788" s="91" t="s">
        <v>352</v>
      </c>
    </row>
    <row r="789" spans="4:4" x14ac:dyDescent="0.15">
      <c r="D789" s="91" t="s">
        <v>352</v>
      </c>
    </row>
    <row r="790" spans="4:4" x14ac:dyDescent="0.15">
      <c r="D790" s="91" t="s">
        <v>352</v>
      </c>
    </row>
    <row r="791" spans="4:4" x14ac:dyDescent="0.15">
      <c r="D791" s="91" t="s">
        <v>352</v>
      </c>
    </row>
    <row r="792" spans="4:4" x14ac:dyDescent="0.15">
      <c r="D792" s="91" t="s">
        <v>352</v>
      </c>
    </row>
    <row r="793" spans="4:4" x14ac:dyDescent="0.15">
      <c r="D793" s="91" t="s">
        <v>352</v>
      </c>
    </row>
    <row r="794" spans="4:4" x14ac:dyDescent="0.15">
      <c r="D794" s="91" t="s">
        <v>352</v>
      </c>
    </row>
    <row r="795" spans="4:4" x14ac:dyDescent="0.15">
      <c r="D795" s="91" t="s">
        <v>352</v>
      </c>
    </row>
    <row r="796" spans="4:4" x14ac:dyDescent="0.15">
      <c r="D796" s="91" t="s">
        <v>352</v>
      </c>
    </row>
    <row r="797" spans="4:4" x14ac:dyDescent="0.15">
      <c r="D797" s="91" t="s">
        <v>352</v>
      </c>
    </row>
    <row r="798" spans="4:4" x14ac:dyDescent="0.15">
      <c r="D798" s="91" t="s">
        <v>352</v>
      </c>
    </row>
    <row r="799" spans="4:4" x14ac:dyDescent="0.15">
      <c r="D799" s="91" t="s">
        <v>352</v>
      </c>
    </row>
    <row r="800" spans="4:4" x14ac:dyDescent="0.15">
      <c r="D800" s="91" t="s">
        <v>352</v>
      </c>
    </row>
    <row r="801" spans="4:4" x14ac:dyDescent="0.15">
      <c r="D801" s="91" t="s">
        <v>352</v>
      </c>
    </row>
    <row r="802" spans="4:4" x14ac:dyDescent="0.15">
      <c r="D802" s="91" t="s">
        <v>352</v>
      </c>
    </row>
    <row r="803" spans="4:4" x14ac:dyDescent="0.15">
      <c r="D803" s="91" t="s">
        <v>352</v>
      </c>
    </row>
    <row r="804" spans="4:4" x14ac:dyDescent="0.15">
      <c r="D804" s="91" t="s">
        <v>352</v>
      </c>
    </row>
    <row r="805" spans="4:4" x14ac:dyDescent="0.15">
      <c r="D805" s="91" t="s">
        <v>352</v>
      </c>
    </row>
    <row r="806" spans="4:4" x14ac:dyDescent="0.15">
      <c r="D806" s="91" t="s">
        <v>352</v>
      </c>
    </row>
    <row r="807" spans="4:4" x14ac:dyDescent="0.15">
      <c r="D807" s="91" t="s">
        <v>352</v>
      </c>
    </row>
    <row r="808" spans="4:4" x14ac:dyDescent="0.15">
      <c r="D808" s="91" t="s">
        <v>352</v>
      </c>
    </row>
    <row r="809" spans="4:4" x14ac:dyDescent="0.15">
      <c r="D809" s="91" t="s">
        <v>352</v>
      </c>
    </row>
    <row r="810" spans="4:4" x14ac:dyDescent="0.15">
      <c r="D810" s="91" t="s">
        <v>352</v>
      </c>
    </row>
    <row r="811" spans="4:4" x14ac:dyDescent="0.15">
      <c r="D811" s="91" t="s">
        <v>352</v>
      </c>
    </row>
    <row r="812" spans="4:4" x14ac:dyDescent="0.15">
      <c r="D812" s="91" t="s">
        <v>352</v>
      </c>
    </row>
    <row r="813" spans="4:4" x14ac:dyDescent="0.15">
      <c r="D813" s="91" t="s">
        <v>352</v>
      </c>
    </row>
    <row r="814" spans="4:4" x14ac:dyDescent="0.15">
      <c r="D814" s="91" t="s">
        <v>352</v>
      </c>
    </row>
    <row r="815" spans="4:4" x14ac:dyDescent="0.15">
      <c r="D815" s="91" t="s">
        <v>352</v>
      </c>
    </row>
    <row r="816" spans="4:4" x14ac:dyDescent="0.15">
      <c r="D816" s="91" t="s">
        <v>352</v>
      </c>
    </row>
    <row r="817" spans="4:4" x14ac:dyDescent="0.15">
      <c r="D817" s="91" t="s">
        <v>352</v>
      </c>
    </row>
    <row r="818" spans="4:4" x14ac:dyDescent="0.15">
      <c r="D818" s="91" t="s">
        <v>352</v>
      </c>
    </row>
    <row r="819" spans="4:4" x14ac:dyDescent="0.15">
      <c r="D819" s="91" t="s">
        <v>352</v>
      </c>
    </row>
    <row r="820" spans="4:4" x14ac:dyDescent="0.15">
      <c r="D820" s="91" t="s">
        <v>352</v>
      </c>
    </row>
    <row r="821" spans="4:4" x14ac:dyDescent="0.15">
      <c r="D821" s="91" t="s">
        <v>352</v>
      </c>
    </row>
    <row r="822" spans="4:4" x14ac:dyDescent="0.15">
      <c r="D822" s="91" t="s">
        <v>352</v>
      </c>
    </row>
    <row r="823" spans="4:4" x14ac:dyDescent="0.15">
      <c r="D823" s="91" t="s">
        <v>352</v>
      </c>
    </row>
    <row r="824" spans="4:4" x14ac:dyDescent="0.15">
      <c r="D824" s="91" t="s">
        <v>352</v>
      </c>
    </row>
    <row r="825" spans="4:4" x14ac:dyDescent="0.15">
      <c r="D825" s="91" t="s">
        <v>352</v>
      </c>
    </row>
    <row r="826" spans="4:4" x14ac:dyDescent="0.15">
      <c r="D826" s="91" t="s">
        <v>352</v>
      </c>
    </row>
    <row r="827" spans="4:4" x14ac:dyDescent="0.15">
      <c r="D827" s="91" t="s">
        <v>352</v>
      </c>
    </row>
    <row r="828" spans="4:4" x14ac:dyDescent="0.15">
      <c r="D828" s="91" t="s">
        <v>352</v>
      </c>
    </row>
    <row r="829" spans="4:4" x14ac:dyDescent="0.15">
      <c r="D829" s="91" t="s">
        <v>352</v>
      </c>
    </row>
    <row r="830" spans="4:4" x14ac:dyDescent="0.15">
      <c r="D830" s="91" t="s">
        <v>352</v>
      </c>
    </row>
    <row r="831" spans="4:4" x14ac:dyDescent="0.15">
      <c r="D831" s="91" t="s">
        <v>352</v>
      </c>
    </row>
    <row r="832" spans="4:4" x14ac:dyDescent="0.15">
      <c r="D832" s="91" t="s">
        <v>352</v>
      </c>
    </row>
    <row r="833" spans="4:4" x14ac:dyDescent="0.15">
      <c r="D833" s="91" t="s">
        <v>352</v>
      </c>
    </row>
    <row r="834" spans="4:4" x14ac:dyDescent="0.15">
      <c r="D834" s="91" t="s">
        <v>352</v>
      </c>
    </row>
    <row r="835" spans="4:4" x14ac:dyDescent="0.15">
      <c r="D835" s="91" t="s">
        <v>352</v>
      </c>
    </row>
    <row r="836" spans="4:4" x14ac:dyDescent="0.15">
      <c r="D836" s="91" t="s">
        <v>352</v>
      </c>
    </row>
    <row r="837" spans="4:4" x14ac:dyDescent="0.15">
      <c r="D837" s="91" t="s">
        <v>352</v>
      </c>
    </row>
    <row r="838" spans="4:4" x14ac:dyDescent="0.15">
      <c r="D838" s="91" t="s">
        <v>352</v>
      </c>
    </row>
    <row r="839" spans="4:4" x14ac:dyDescent="0.15">
      <c r="D839" s="91" t="s">
        <v>352</v>
      </c>
    </row>
    <row r="840" spans="4:4" x14ac:dyDescent="0.15">
      <c r="D840" s="91" t="s">
        <v>352</v>
      </c>
    </row>
    <row r="841" spans="4:4" x14ac:dyDescent="0.15">
      <c r="D841" s="91" t="s">
        <v>352</v>
      </c>
    </row>
    <row r="842" spans="4:4" x14ac:dyDescent="0.15">
      <c r="D842" s="91" t="s">
        <v>352</v>
      </c>
    </row>
    <row r="843" spans="4:4" x14ac:dyDescent="0.15">
      <c r="D843" s="91" t="s">
        <v>352</v>
      </c>
    </row>
    <row r="844" spans="4:4" x14ac:dyDescent="0.15">
      <c r="D844" s="91" t="s">
        <v>352</v>
      </c>
    </row>
    <row r="845" spans="4:4" x14ac:dyDescent="0.15">
      <c r="D845" s="91" t="s">
        <v>352</v>
      </c>
    </row>
    <row r="846" spans="4:4" x14ac:dyDescent="0.15">
      <c r="D846" s="91" t="s">
        <v>352</v>
      </c>
    </row>
    <row r="847" spans="4:4" x14ac:dyDescent="0.15">
      <c r="D847" s="91" t="s">
        <v>352</v>
      </c>
    </row>
    <row r="848" spans="4:4" x14ac:dyDescent="0.15">
      <c r="D848" s="91" t="s">
        <v>352</v>
      </c>
    </row>
    <row r="849" spans="4:4" x14ac:dyDescent="0.15">
      <c r="D849" s="91" t="s">
        <v>352</v>
      </c>
    </row>
    <row r="850" spans="4:4" x14ac:dyDescent="0.15">
      <c r="D850" s="91" t="s">
        <v>352</v>
      </c>
    </row>
    <row r="851" spans="4:4" x14ac:dyDescent="0.15">
      <c r="D851" s="91" t="s">
        <v>352</v>
      </c>
    </row>
    <row r="852" spans="4:4" x14ac:dyDescent="0.15">
      <c r="D852" s="91" t="s">
        <v>352</v>
      </c>
    </row>
    <row r="853" spans="4:4" x14ac:dyDescent="0.15">
      <c r="D853" s="91" t="s">
        <v>352</v>
      </c>
    </row>
    <row r="854" spans="4:4" x14ac:dyDescent="0.15">
      <c r="D854" s="91" t="s">
        <v>352</v>
      </c>
    </row>
    <row r="855" spans="4:4" x14ac:dyDescent="0.15">
      <c r="D855" s="91" t="s">
        <v>352</v>
      </c>
    </row>
    <row r="856" spans="4:4" x14ac:dyDescent="0.15">
      <c r="D856" s="91" t="s">
        <v>352</v>
      </c>
    </row>
    <row r="857" spans="4:4" x14ac:dyDescent="0.15">
      <c r="D857" s="91" t="s">
        <v>352</v>
      </c>
    </row>
    <row r="858" spans="4:4" x14ac:dyDescent="0.15">
      <c r="D858" s="91" t="s">
        <v>352</v>
      </c>
    </row>
    <row r="859" spans="4:4" x14ac:dyDescent="0.15">
      <c r="D859" s="91" t="s">
        <v>352</v>
      </c>
    </row>
    <row r="860" spans="4:4" x14ac:dyDescent="0.15">
      <c r="D860" s="91" t="s">
        <v>352</v>
      </c>
    </row>
    <row r="861" spans="4:4" x14ac:dyDescent="0.15">
      <c r="D861" s="91" t="s">
        <v>352</v>
      </c>
    </row>
    <row r="862" spans="4:4" x14ac:dyDescent="0.15">
      <c r="D862" s="91" t="s">
        <v>352</v>
      </c>
    </row>
    <row r="863" spans="4:4" x14ac:dyDescent="0.15">
      <c r="D863" s="91" t="s">
        <v>352</v>
      </c>
    </row>
    <row r="864" spans="4:4" x14ac:dyDescent="0.15">
      <c r="D864" s="91" t="s">
        <v>352</v>
      </c>
    </row>
    <row r="865" spans="4:4" x14ac:dyDescent="0.15">
      <c r="D865" s="91" t="s">
        <v>352</v>
      </c>
    </row>
    <row r="866" spans="4:4" x14ac:dyDescent="0.15">
      <c r="D866" s="91" t="s">
        <v>352</v>
      </c>
    </row>
    <row r="867" spans="4:4" x14ac:dyDescent="0.15">
      <c r="D867" s="91" t="s">
        <v>352</v>
      </c>
    </row>
    <row r="868" spans="4:4" x14ac:dyDescent="0.15">
      <c r="D868" s="91" t="s">
        <v>352</v>
      </c>
    </row>
    <row r="869" spans="4:4" x14ac:dyDescent="0.15">
      <c r="D869" s="91" t="s">
        <v>352</v>
      </c>
    </row>
    <row r="870" spans="4:4" x14ac:dyDescent="0.15">
      <c r="D870" s="91" t="s">
        <v>352</v>
      </c>
    </row>
    <row r="871" spans="4:4" x14ac:dyDescent="0.15">
      <c r="D871" s="91" t="s">
        <v>352</v>
      </c>
    </row>
    <row r="872" spans="4:4" x14ac:dyDescent="0.15">
      <c r="D872" s="91" t="s">
        <v>352</v>
      </c>
    </row>
    <row r="873" spans="4:4" x14ac:dyDescent="0.15">
      <c r="D873" s="91" t="s">
        <v>352</v>
      </c>
    </row>
    <row r="874" spans="4:4" x14ac:dyDescent="0.15">
      <c r="D874" s="91" t="s">
        <v>352</v>
      </c>
    </row>
    <row r="875" spans="4:4" x14ac:dyDescent="0.15">
      <c r="D875" s="91" t="s">
        <v>352</v>
      </c>
    </row>
    <row r="876" spans="4:4" x14ac:dyDescent="0.15">
      <c r="D876" s="91" t="s">
        <v>352</v>
      </c>
    </row>
    <row r="877" spans="4:4" x14ac:dyDescent="0.15">
      <c r="D877" s="91" t="s">
        <v>352</v>
      </c>
    </row>
    <row r="878" spans="4:4" x14ac:dyDescent="0.15">
      <c r="D878" s="91" t="s">
        <v>352</v>
      </c>
    </row>
    <row r="879" spans="4:4" x14ac:dyDescent="0.15">
      <c r="D879" s="91" t="s">
        <v>352</v>
      </c>
    </row>
    <row r="880" spans="4:4" x14ac:dyDescent="0.15">
      <c r="D880" s="91" t="s">
        <v>352</v>
      </c>
    </row>
    <row r="881" spans="4:4" x14ac:dyDescent="0.15">
      <c r="D881" s="91" t="s">
        <v>352</v>
      </c>
    </row>
    <row r="882" spans="4:4" x14ac:dyDescent="0.15">
      <c r="D882" s="91" t="s">
        <v>352</v>
      </c>
    </row>
    <row r="883" spans="4:4" x14ac:dyDescent="0.15">
      <c r="D883" s="91" t="s">
        <v>352</v>
      </c>
    </row>
    <row r="884" spans="4:4" x14ac:dyDescent="0.15">
      <c r="D884" s="91" t="s">
        <v>352</v>
      </c>
    </row>
    <row r="885" spans="4:4" x14ac:dyDescent="0.15">
      <c r="D885" s="91" t="s">
        <v>352</v>
      </c>
    </row>
    <row r="886" spans="4:4" x14ac:dyDescent="0.15">
      <c r="D886" s="91" t="s">
        <v>352</v>
      </c>
    </row>
    <row r="887" spans="4:4" x14ac:dyDescent="0.15">
      <c r="D887" s="91" t="s">
        <v>352</v>
      </c>
    </row>
    <row r="888" spans="4:4" x14ac:dyDescent="0.15">
      <c r="D888" s="91" t="s">
        <v>352</v>
      </c>
    </row>
    <row r="889" spans="4:4" x14ac:dyDescent="0.15">
      <c r="D889" s="91" t="s">
        <v>352</v>
      </c>
    </row>
    <row r="890" spans="4:4" x14ac:dyDescent="0.15">
      <c r="D890" s="91" t="s">
        <v>352</v>
      </c>
    </row>
    <row r="891" spans="4:4" x14ac:dyDescent="0.15">
      <c r="D891" s="91" t="s">
        <v>352</v>
      </c>
    </row>
    <row r="892" spans="4:4" x14ac:dyDescent="0.15">
      <c r="D892" s="91" t="s">
        <v>352</v>
      </c>
    </row>
    <row r="893" spans="4:4" x14ac:dyDescent="0.15">
      <c r="D893" s="91" t="s">
        <v>352</v>
      </c>
    </row>
    <row r="894" spans="4:4" x14ac:dyDescent="0.15">
      <c r="D894" s="91" t="s">
        <v>352</v>
      </c>
    </row>
    <row r="895" spans="4:4" x14ac:dyDescent="0.15">
      <c r="D895" s="91" t="s">
        <v>352</v>
      </c>
    </row>
    <row r="896" spans="4:4" x14ac:dyDescent="0.15">
      <c r="D896" s="91" t="s">
        <v>352</v>
      </c>
    </row>
    <row r="897" spans="4:4" x14ac:dyDescent="0.15">
      <c r="D897" s="91" t="s">
        <v>352</v>
      </c>
    </row>
    <row r="898" spans="4:4" x14ac:dyDescent="0.15">
      <c r="D898" s="91" t="s">
        <v>352</v>
      </c>
    </row>
    <row r="899" spans="4:4" x14ac:dyDescent="0.15">
      <c r="D899" s="91" t="s">
        <v>352</v>
      </c>
    </row>
    <row r="900" spans="4:4" x14ac:dyDescent="0.15">
      <c r="D900" s="91" t="s">
        <v>352</v>
      </c>
    </row>
    <row r="901" spans="4:4" x14ac:dyDescent="0.15">
      <c r="D901" s="91" t="s">
        <v>352</v>
      </c>
    </row>
    <row r="902" spans="4:4" x14ac:dyDescent="0.15">
      <c r="D902" s="91" t="s">
        <v>352</v>
      </c>
    </row>
    <row r="903" spans="4:4" x14ac:dyDescent="0.15">
      <c r="D903" s="91" t="s">
        <v>352</v>
      </c>
    </row>
    <row r="904" spans="4:4" x14ac:dyDescent="0.15">
      <c r="D904" s="91" t="s">
        <v>352</v>
      </c>
    </row>
    <row r="905" spans="4:4" x14ac:dyDescent="0.15">
      <c r="D905" s="91" t="s">
        <v>352</v>
      </c>
    </row>
    <row r="906" spans="4:4" x14ac:dyDescent="0.15">
      <c r="D906" s="91" t="s">
        <v>352</v>
      </c>
    </row>
    <row r="907" spans="4:4" x14ac:dyDescent="0.15">
      <c r="D907" s="91" t="s">
        <v>352</v>
      </c>
    </row>
    <row r="908" spans="4:4" x14ac:dyDescent="0.15">
      <c r="D908" s="91" t="s">
        <v>352</v>
      </c>
    </row>
    <row r="909" spans="4:4" x14ac:dyDescent="0.15">
      <c r="D909" s="91" t="s">
        <v>352</v>
      </c>
    </row>
    <row r="910" spans="4:4" x14ac:dyDescent="0.15">
      <c r="D910" s="91" t="s">
        <v>352</v>
      </c>
    </row>
    <row r="911" spans="4:4" x14ac:dyDescent="0.15">
      <c r="D911" s="91" t="s">
        <v>352</v>
      </c>
    </row>
    <row r="912" spans="4:4" x14ac:dyDescent="0.15">
      <c r="D912" s="91" t="s">
        <v>352</v>
      </c>
    </row>
    <row r="913" spans="4:4" x14ac:dyDescent="0.15">
      <c r="D913" s="91" t="s">
        <v>352</v>
      </c>
    </row>
    <row r="914" spans="4:4" x14ac:dyDescent="0.15">
      <c r="D914" s="91" t="s">
        <v>352</v>
      </c>
    </row>
    <row r="915" spans="4:4" x14ac:dyDescent="0.15">
      <c r="D915" s="91" t="s">
        <v>352</v>
      </c>
    </row>
    <row r="916" spans="4:4" x14ac:dyDescent="0.15">
      <c r="D916" s="91" t="s">
        <v>352</v>
      </c>
    </row>
    <row r="917" spans="4:4" x14ac:dyDescent="0.15">
      <c r="D917" s="91" t="s">
        <v>352</v>
      </c>
    </row>
    <row r="918" spans="4:4" x14ac:dyDescent="0.15">
      <c r="D918" s="91" t="s">
        <v>352</v>
      </c>
    </row>
    <row r="919" spans="4:4" x14ac:dyDescent="0.15">
      <c r="D919" s="91" t="s">
        <v>352</v>
      </c>
    </row>
    <row r="920" spans="4:4" x14ac:dyDescent="0.15">
      <c r="D920" s="91" t="s">
        <v>352</v>
      </c>
    </row>
    <row r="921" spans="4:4" x14ac:dyDescent="0.15">
      <c r="D921" s="91" t="s">
        <v>352</v>
      </c>
    </row>
    <row r="922" spans="4:4" x14ac:dyDescent="0.15">
      <c r="D922" s="91" t="s">
        <v>352</v>
      </c>
    </row>
    <row r="923" spans="4:4" x14ac:dyDescent="0.15">
      <c r="D923" s="91" t="s">
        <v>352</v>
      </c>
    </row>
    <row r="924" spans="4:4" x14ac:dyDescent="0.15">
      <c r="D924" s="91" t="s">
        <v>352</v>
      </c>
    </row>
    <row r="925" spans="4:4" x14ac:dyDescent="0.15">
      <c r="D925" s="91" t="s">
        <v>352</v>
      </c>
    </row>
    <row r="926" spans="4:4" x14ac:dyDescent="0.15">
      <c r="D926" s="91" t="s">
        <v>352</v>
      </c>
    </row>
    <row r="927" spans="4:4" x14ac:dyDescent="0.15">
      <c r="D927" s="91" t="s">
        <v>352</v>
      </c>
    </row>
    <row r="928" spans="4:4" x14ac:dyDescent="0.15">
      <c r="D928" s="91" t="s">
        <v>352</v>
      </c>
    </row>
    <row r="929" spans="4:4" x14ac:dyDescent="0.15">
      <c r="D929" s="91" t="s">
        <v>352</v>
      </c>
    </row>
    <row r="930" spans="4:4" x14ac:dyDescent="0.15">
      <c r="D930" s="91" t="s">
        <v>352</v>
      </c>
    </row>
    <row r="931" spans="4:4" x14ac:dyDescent="0.15">
      <c r="D931" s="91" t="s">
        <v>352</v>
      </c>
    </row>
    <row r="932" spans="4:4" x14ac:dyDescent="0.15">
      <c r="D932" s="91" t="s">
        <v>352</v>
      </c>
    </row>
    <row r="933" spans="4:4" x14ac:dyDescent="0.15">
      <c r="D933" s="91" t="s">
        <v>352</v>
      </c>
    </row>
    <row r="934" spans="4:4" x14ac:dyDescent="0.15">
      <c r="D934" s="91" t="s">
        <v>352</v>
      </c>
    </row>
    <row r="935" spans="4:4" x14ac:dyDescent="0.15">
      <c r="D935" s="91" t="s">
        <v>352</v>
      </c>
    </row>
    <row r="936" spans="4:4" x14ac:dyDescent="0.15">
      <c r="D936" s="91" t="s">
        <v>352</v>
      </c>
    </row>
    <row r="937" spans="4:4" x14ac:dyDescent="0.15">
      <c r="D937" s="91" t="s">
        <v>352</v>
      </c>
    </row>
    <row r="938" spans="4:4" x14ac:dyDescent="0.15">
      <c r="D938" s="91" t="s">
        <v>352</v>
      </c>
    </row>
    <row r="939" spans="4:4" x14ac:dyDescent="0.15">
      <c r="D939" s="91" t="s">
        <v>352</v>
      </c>
    </row>
    <row r="940" spans="4:4" x14ac:dyDescent="0.15">
      <c r="D940" s="91" t="s">
        <v>352</v>
      </c>
    </row>
    <row r="941" spans="4:4" x14ac:dyDescent="0.15">
      <c r="D941" s="91" t="s">
        <v>352</v>
      </c>
    </row>
    <row r="942" spans="4:4" x14ac:dyDescent="0.15">
      <c r="D942" s="91" t="s">
        <v>352</v>
      </c>
    </row>
    <row r="943" spans="4:4" x14ac:dyDescent="0.15">
      <c r="D943" s="91" t="s">
        <v>352</v>
      </c>
    </row>
    <row r="944" spans="4:4" x14ac:dyDescent="0.15">
      <c r="D944" s="91" t="s">
        <v>352</v>
      </c>
    </row>
    <row r="945" spans="4:4" x14ac:dyDescent="0.15">
      <c r="D945" s="91" t="s">
        <v>352</v>
      </c>
    </row>
    <row r="946" spans="4:4" x14ac:dyDescent="0.15">
      <c r="D946" s="91" t="s">
        <v>352</v>
      </c>
    </row>
    <row r="947" spans="4:4" x14ac:dyDescent="0.15">
      <c r="D947" s="91" t="s">
        <v>352</v>
      </c>
    </row>
    <row r="948" spans="4:4" x14ac:dyDescent="0.15">
      <c r="D948" s="91" t="s">
        <v>352</v>
      </c>
    </row>
    <row r="949" spans="4:4" x14ac:dyDescent="0.15">
      <c r="D949" s="91" t="s">
        <v>352</v>
      </c>
    </row>
    <row r="950" spans="4:4" x14ac:dyDescent="0.15">
      <c r="D950" s="91" t="s">
        <v>352</v>
      </c>
    </row>
    <row r="951" spans="4:4" x14ac:dyDescent="0.15">
      <c r="D951" s="91" t="s">
        <v>352</v>
      </c>
    </row>
    <row r="952" spans="4:4" x14ac:dyDescent="0.15">
      <c r="D952" s="91" t="s">
        <v>352</v>
      </c>
    </row>
    <row r="953" spans="4:4" x14ac:dyDescent="0.15">
      <c r="D953" s="91" t="s">
        <v>352</v>
      </c>
    </row>
    <row r="954" spans="4:4" x14ac:dyDescent="0.15">
      <c r="D954" s="91" t="s">
        <v>352</v>
      </c>
    </row>
    <row r="955" spans="4:4" x14ac:dyDescent="0.15">
      <c r="D955" s="91" t="s">
        <v>352</v>
      </c>
    </row>
    <row r="956" spans="4:4" x14ac:dyDescent="0.15">
      <c r="D956" s="91" t="s">
        <v>352</v>
      </c>
    </row>
    <row r="957" spans="4:4" x14ac:dyDescent="0.15">
      <c r="D957" s="91" t="s">
        <v>352</v>
      </c>
    </row>
    <row r="958" spans="4:4" x14ac:dyDescent="0.15">
      <c r="D958" s="91" t="s">
        <v>352</v>
      </c>
    </row>
    <row r="959" spans="4:4" x14ac:dyDescent="0.15">
      <c r="D959" s="91" t="s">
        <v>352</v>
      </c>
    </row>
    <row r="960" spans="4:4" x14ac:dyDescent="0.15">
      <c r="D960" s="91" t="s">
        <v>352</v>
      </c>
    </row>
    <row r="961" spans="4:4" x14ac:dyDescent="0.15">
      <c r="D961" s="91" t="s">
        <v>352</v>
      </c>
    </row>
    <row r="962" spans="4:4" x14ac:dyDescent="0.15">
      <c r="D962" s="91" t="s">
        <v>352</v>
      </c>
    </row>
    <row r="963" spans="4:4" x14ac:dyDescent="0.15">
      <c r="D963" s="91" t="s">
        <v>352</v>
      </c>
    </row>
    <row r="964" spans="4:4" x14ac:dyDescent="0.15">
      <c r="D964" s="91" t="s">
        <v>352</v>
      </c>
    </row>
    <row r="965" spans="4:4" x14ac:dyDescent="0.15">
      <c r="D965" s="91" t="s">
        <v>352</v>
      </c>
    </row>
    <row r="966" spans="4:4" x14ac:dyDescent="0.15">
      <c r="D966" s="91" t="s">
        <v>352</v>
      </c>
    </row>
    <row r="967" spans="4:4" x14ac:dyDescent="0.15">
      <c r="D967" s="91" t="s">
        <v>352</v>
      </c>
    </row>
    <row r="968" spans="4:4" x14ac:dyDescent="0.15">
      <c r="D968" s="91" t="s">
        <v>352</v>
      </c>
    </row>
    <row r="969" spans="4:4" x14ac:dyDescent="0.15">
      <c r="D969" s="91" t="s">
        <v>352</v>
      </c>
    </row>
    <row r="970" spans="4:4" x14ac:dyDescent="0.15">
      <c r="D970" s="91" t="s">
        <v>352</v>
      </c>
    </row>
    <row r="971" spans="4:4" x14ac:dyDescent="0.15">
      <c r="D971" s="91" t="s">
        <v>352</v>
      </c>
    </row>
    <row r="972" spans="4:4" x14ac:dyDescent="0.15">
      <c r="D972" s="91" t="s">
        <v>352</v>
      </c>
    </row>
    <row r="973" spans="4:4" x14ac:dyDescent="0.15">
      <c r="D973" s="91" t="s">
        <v>352</v>
      </c>
    </row>
    <row r="974" spans="4:4" x14ac:dyDescent="0.15">
      <c r="D974" s="91" t="s">
        <v>352</v>
      </c>
    </row>
    <row r="975" spans="4:4" x14ac:dyDescent="0.15">
      <c r="D975" s="91" t="s">
        <v>352</v>
      </c>
    </row>
    <row r="976" spans="4:4" x14ac:dyDescent="0.15">
      <c r="D976" s="91" t="s">
        <v>352</v>
      </c>
    </row>
    <row r="977" spans="4:4" x14ac:dyDescent="0.15">
      <c r="D977" s="91" t="s">
        <v>352</v>
      </c>
    </row>
    <row r="978" spans="4:4" x14ac:dyDescent="0.15">
      <c r="D978" s="91" t="s">
        <v>352</v>
      </c>
    </row>
    <row r="979" spans="4:4" x14ac:dyDescent="0.15">
      <c r="D979" s="91" t="s">
        <v>352</v>
      </c>
    </row>
    <row r="980" spans="4:4" x14ac:dyDescent="0.15">
      <c r="D980" s="91" t="s">
        <v>352</v>
      </c>
    </row>
    <row r="981" spans="4:4" x14ac:dyDescent="0.15">
      <c r="D981" s="91" t="s">
        <v>352</v>
      </c>
    </row>
    <row r="982" spans="4:4" x14ac:dyDescent="0.15">
      <c r="D982" s="91" t="s">
        <v>352</v>
      </c>
    </row>
    <row r="983" spans="4:4" x14ac:dyDescent="0.15">
      <c r="D983" s="91" t="s">
        <v>352</v>
      </c>
    </row>
    <row r="984" spans="4:4" x14ac:dyDescent="0.15">
      <c r="D984" s="91" t="s">
        <v>352</v>
      </c>
    </row>
    <row r="985" spans="4:4" x14ac:dyDescent="0.15">
      <c r="D985" s="91" t="s">
        <v>352</v>
      </c>
    </row>
    <row r="986" spans="4:4" x14ac:dyDescent="0.15">
      <c r="D986" s="91" t="s">
        <v>352</v>
      </c>
    </row>
    <row r="987" spans="4:4" x14ac:dyDescent="0.15">
      <c r="D987" s="91" t="s">
        <v>352</v>
      </c>
    </row>
    <row r="988" spans="4:4" x14ac:dyDescent="0.15">
      <c r="D988" s="91" t="s">
        <v>352</v>
      </c>
    </row>
    <row r="989" spans="4:4" x14ac:dyDescent="0.15">
      <c r="D989" s="91" t="s">
        <v>352</v>
      </c>
    </row>
    <row r="990" spans="4:4" x14ac:dyDescent="0.15">
      <c r="D990" s="91" t="s">
        <v>352</v>
      </c>
    </row>
    <row r="991" spans="4:4" x14ac:dyDescent="0.15">
      <c r="D991" s="91" t="s">
        <v>352</v>
      </c>
    </row>
    <row r="992" spans="4:4" x14ac:dyDescent="0.15">
      <c r="D992" s="91" t="s">
        <v>352</v>
      </c>
    </row>
    <row r="993" spans="4:4" x14ac:dyDescent="0.15">
      <c r="D993" s="91" t="s">
        <v>352</v>
      </c>
    </row>
    <row r="994" spans="4:4" x14ac:dyDescent="0.15">
      <c r="D994" s="91" t="s">
        <v>352</v>
      </c>
    </row>
    <row r="995" spans="4:4" x14ac:dyDescent="0.15">
      <c r="D995" s="91" t="s">
        <v>352</v>
      </c>
    </row>
    <row r="996" spans="4:4" x14ac:dyDescent="0.15">
      <c r="D996" s="91" t="s">
        <v>352</v>
      </c>
    </row>
    <row r="997" spans="4:4" x14ac:dyDescent="0.15">
      <c r="D997" s="91" t="s">
        <v>352</v>
      </c>
    </row>
    <row r="998" spans="4:4" x14ac:dyDescent="0.15">
      <c r="D998" s="91" t="s">
        <v>352</v>
      </c>
    </row>
    <row r="999" spans="4:4" x14ac:dyDescent="0.15">
      <c r="D999" s="91" t="s">
        <v>352</v>
      </c>
    </row>
    <row r="1000" spans="4:4" x14ac:dyDescent="0.15">
      <c r="D1000" s="91" t="s">
        <v>352</v>
      </c>
    </row>
    <row r="1001" spans="4:4" x14ac:dyDescent="0.15">
      <c r="D1001" s="91" t="s">
        <v>352</v>
      </c>
    </row>
    <row r="1002" spans="4:4" x14ac:dyDescent="0.15">
      <c r="D1002" s="91" t="s">
        <v>352</v>
      </c>
    </row>
    <row r="1003" spans="4:4" x14ac:dyDescent="0.15">
      <c r="D1003" s="91" t="s">
        <v>352</v>
      </c>
    </row>
    <row r="1004" spans="4:4" x14ac:dyDescent="0.15">
      <c r="D1004" s="91" t="s">
        <v>352</v>
      </c>
    </row>
    <row r="1005" spans="4:4" x14ac:dyDescent="0.15">
      <c r="D1005" s="91" t="s">
        <v>352</v>
      </c>
    </row>
    <row r="1006" spans="4:4" x14ac:dyDescent="0.15">
      <c r="D1006" s="177"/>
    </row>
    <row r="1007" spans="4:4" x14ac:dyDescent="0.15">
      <c r="D1007" s="81"/>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366</v>
      </c>
      <c r="H2" s="94"/>
      <c r="I2" s="94"/>
      <c r="J2" s="94"/>
      <c r="K2" s="94"/>
    </row>
    <row r="3" spans="2:11" x14ac:dyDescent="0.15">
      <c r="B3" s="86" t="s">
        <v>346</v>
      </c>
      <c r="C3" s="95" t="s">
        <v>367</v>
      </c>
      <c r="D3" s="60" t="s">
        <v>23</v>
      </c>
      <c r="E3" s="60" t="s">
        <v>347</v>
      </c>
      <c r="F3" s="60" t="s">
        <v>17</v>
      </c>
      <c r="G3" s="84" t="s">
        <v>368</v>
      </c>
      <c r="H3" s="84" t="s">
        <v>324</v>
      </c>
      <c r="I3" s="84" t="s">
        <v>369</v>
      </c>
      <c r="J3" s="84" t="s">
        <v>370</v>
      </c>
      <c r="K3" s="86" t="s">
        <v>371</v>
      </c>
    </row>
    <row r="4" spans="2:11" x14ac:dyDescent="0.15">
      <c r="B4" s="87">
        <v>1</v>
      </c>
      <c r="C4" s="96"/>
      <c r="D4" s="27"/>
      <c r="E4" s="27" t="str">
        <f>IFERROR(VLOOKUP($D4,烤漆色號編碼!$A:$C,3,FALSE),"-")</f>
        <v>-</v>
      </c>
      <c r="F4" s="27" t="str">
        <f>IFERROR(VLOOKUP($D4,烤漆色號編碼!$A:$C,2,FALSE),"-")</f>
        <v>-</v>
      </c>
      <c r="G4" s="64">
        <v>1</v>
      </c>
      <c r="H4" s="64">
        <v>12</v>
      </c>
      <c r="I4" s="27" t="str">
        <f>IFERROR(VLOOKUP($D4,烤漆色號編碼!$A:$D,4,FALSE)*G4+H4,"-")</f>
        <v>-</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6" t="s">
        <v>372</v>
      </c>
      <c r="C1004" s="187"/>
      <c r="D1004" s="188"/>
      <c r="E1004" s="188"/>
      <c r="F1004" s="188"/>
      <c r="G1004" s="188"/>
      <c r="H1004" s="188"/>
      <c r="I1004" s="188"/>
      <c r="J1004" s="188"/>
      <c r="K1004" s="188"/>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373</v>
      </c>
      <c r="H2" s="94"/>
      <c r="I2" s="94"/>
      <c r="J2" s="94"/>
      <c r="K2" s="94"/>
    </row>
    <row r="3" spans="2:11" x14ac:dyDescent="0.15">
      <c r="B3" s="86" t="s">
        <v>346</v>
      </c>
      <c r="C3" s="95" t="s">
        <v>367</v>
      </c>
      <c r="D3" s="60" t="s">
        <v>23</v>
      </c>
      <c r="E3" s="60" t="s">
        <v>347</v>
      </c>
      <c r="F3" s="60" t="s">
        <v>17</v>
      </c>
      <c r="G3" s="84" t="s">
        <v>368</v>
      </c>
      <c r="H3" s="84" t="s">
        <v>324</v>
      </c>
      <c r="I3" s="84" t="s">
        <v>369</v>
      </c>
      <c r="J3" s="84" t="s">
        <v>370</v>
      </c>
      <c r="K3" s="86" t="s">
        <v>371</v>
      </c>
    </row>
    <row r="4" spans="2:11" x14ac:dyDescent="0.15">
      <c r="B4" s="87">
        <v>1</v>
      </c>
      <c r="C4" s="96"/>
      <c r="D4" s="27"/>
      <c r="E4" s="27" t="str">
        <f>IFERROR(VLOOKUP($D4,烤漆色號編碼!$A:$C,3,FALSE),"-")</f>
        <v>-</v>
      </c>
      <c r="F4" s="27" t="str">
        <f>IFERROR(VLOOKUP($D4,烤漆色號編碼!$A:$C,2,FALSE),"-")</f>
        <v>-</v>
      </c>
      <c r="G4" s="64"/>
      <c r="H4" s="64"/>
      <c r="I4" s="27" t="str">
        <f>IFERROR(VLOOKUP($D4,烤漆色號編碼!$A:$D,4,FALSE)*G4+H4,"-")</f>
        <v>-</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6" t="s">
        <v>372</v>
      </c>
      <c r="C1004" s="187"/>
      <c r="D1004" s="188"/>
      <c r="E1004" s="188"/>
      <c r="F1004" s="188"/>
      <c r="G1004" s="188"/>
      <c r="H1004" s="188"/>
      <c r="I1004" s="188"/>
      <c r="J1004" s="188"/>
      <c r="K1004" s="188"/>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烤漆色號編碼!$A$2:$A$45</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C1" workbookViewId="0">
      <selection activeCell="H8" sqref="H8"/>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345</v>
      </c>
      <c r="H2" s="94"/>
      <c r="I2" s="94"/>
      <c r="J2" s="94"/>
      <c r="K2" s="94"/>
    </row>
    <row r="3" spans="2:11" x14ac:dyDescent="0.15">
      <c r="B3" s="86" t="s">
        <v>346</v>
      </c>
      <c r="C3" s="95" t="s">
        <v>367</v>
      </c>
      <c r="D3" s="60" t="s">
        <v>23</v>
      </c>
      <c r="E3" s="60" t="s">
        <v>347</v>
      </c>
      <c r="F3" s="60" t="s">
        <v>17</v>
      </c>
      <c r="G3" s="84" t="s">
        <v>368</v>
      </c>
      <c r="H3" s="84" t="s">
        <v>324</v>
      </c>
      <c r="I3" s="84" t="s">
        <v>369</v>
      </c>
      <c r="J3" s="84" t="s">
        <v>370</v>
      </c>
      <c r="K3" s="86" t="s">
        <v>371</v>
      </c>
    </row>
    <row r="4" spans="2:11" x14ac:dyDescent="0.15">
      <c r="B4" s="87">
        <v>1</v>
      </c>
      <c r="C4" s="96">
        <v>45930</v>
      </c>
      <c r="D4" s="27" t="s">
        <v>336</v>
      </c>
      <c r="E4" s="27" t="str">
        <f>IFERROR(VLOOKUP($D4,烤漆色號編碼!$A:$C,3,FALSE),"-")</f>
        <v>白亮光</v>
      </c>
      <c r="F4" s="27" t="str">
        <f>IFERROR(VLOOKUP($D4,烤漆色號編碼!$A:$C,2,FALSE),"-")</f>
        <v>WE2</v>
      </c>
      <c r="G4" s="64">
        <v>20</v>
      </c>
      <c r="H4" s="64"/>
      <c r="I4" s="27">
        <f>IFERROR(VLOOKUP($D4,烤漆色號編碼!$A:$D,4,FALSE)*G4+H4,"-")</f>
        <v>500</v>
      </c>
      <c r="J4" s="64">
        <v>2025</v>
      </c>
      <c r="K4" s="97">
        <v>12</v>
      </c>
    </row>
    <row r="5" spans="2:11" x14ac:dyDescent="0.15">
      <c r="B5" s="87">
        <v>2</v>
      </c>
      <c r="C5" s="96">
        <v>45944</v>
      </c>
      <c r="D5" s="27" t="s">
        <v>336</v>
      </c>
      <c r="E5" s="27" t="str">
        <f>IFERROR(VLOOKUP($D5,烤漆色號編碼!$A:$C,3,FALSE),"-")</f>
        <v>白亮光</v>
      </c>
      <c r="F5" s="27" t="str">
        <f>IFERROR(VLOOKUP($D5,烤漆色號編碼!$A:$C,2,FALSE),"-")</f>
        <v>WE2</v>
      </c>
      <c r="G5" s="64">
        <v>20</v>
      </c>
      <c r="H5" s="64"/>
      <c r="I5" s="27">
        <f>IFERROR(VLOOKUP($D5,烤漆色號編碼!$A:$D,4,FALSE)*G5+H5,"-")</f>
        <v>500</v>
      </c>
      <c r="J5" s="64">
        <v>2025</v>
      </c>
      <c r="K5" s="98">
        <v>12</v>
      </c>
    </row>
    <row r="6" spans="2:11" x14ac:dyDescent="0.15">
      <c r="B6" s="87">
        <v>3</v>
      </c>
      <c r="C6" s="96">
        <v>45953</v>
      </c>
      <c r="D6" s="27" t="s">
        <v>339</v>
      </c>
      <c r="E6" s="27" t="str">
        <f>IFERROR(VLOOKUP($D6,烤漆色號編碼!$A:$C,3,FALSE),"-")</f>
        <v>黃亮光</v>
      </c>
      <c r="F6" s="27" t="str">
        <f>IFERROR(VLOOKUP($D6,烤漆色號編碼!$A:$C,2,FALSE),"-")</f>
        <v>YW1</v>
      </c>
      <c r="G6" s="64">
        <v>12</v>
      </c>
      <c r="H6" s="64"/>
      <c r="I6" s="27">
        <f>IFERROR(VLOOKUP($D6,烤漆色號編碼!$A:$D,4,FALSE)*G6+H6,"-")</f>
        <v>300</v>
      </c>
      <c r="J6" s="64">
        <v>2025</v>
      </c>
      <c r="K6" s="97">
        <v>12</v>
      </c>
    </row>
    <row r="7" spans="2:11" x14ac:dyDescent="0.15">
      <c r="B7" s="87">
        <v>4</v>
      </c>
      <c r="C7" s="96">
        <v>45953</v>
      </c>
      <c r="D7" s="27" t="s">
        <v>341</v>
      </c>
      <c r="E7" s="27" t="str">
        <f>IFERROR(VLOOKUP($D7,烤漆色號編碼!$A:$C,3,FALSE),"-")</f>
        <v>黑錘紋</v>
      </c>
      <c r="F7" s="27" t="str">
        <f>IFERROR(VLOOKUP($D7,烤漆色號編碼!$A:$C,2,FALSE),"-")</f>
        <v>BKH</v>
      </c>
      <c r="G7" s="64"/>
      <c r="H7" s="64">
        <v>16</v>
      </c>
      <c r="I7" s="27">
        <f>IFERROR(VLOOKUP($D7,烤漆色號編碼!$A:$D,4,FALSE)*G7+H7,"-")</f>
        <v>16</v>
      </c>
      <c r="J7" s="64">
        <v>2025</v>
      </c>
      <c r="K7" s="98">
        <v>12</v>
      </c>
    </row>
    <row r="8" spans="2:11" x14ac:dyDescent="0.15">
      <c r="B8" s="87">
        <v>5</v>
      </c>
      <c r="C8" s="96">
        <v>45958</v>
      </c>
      <c r="D8" s="27" t="s">
        <v>336</v>
      </c>
      <c r="E8" s="27" t="str">
        <f>IFERROR(VLOOKUP($D8,烤漆色號編碼!$A:$C,3,FALSE),"-")</f>
        <v>白亮光</v>
      </c>
      <c r="F8" s="27" t="str">
        <f>IFERROR(VLOOKUP($D8,烤漆色號編碼!$A:$C,2,FALSE),"-")</f>
        <v>WE2</v>
      </c>
      <c r="G8" s="64">
        <v>22</v>
      </c>
      <c r="H8" s="64">
        <v>6</v>
      </c>
      <c r="I8" s="27">
        <f>IFERROR(VLOOKUP($D8,烤漆色號編碼!$A:$D,4,FALSE)*G8+H8,"-")</f>
        <v>556</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6" t="s">
        <v>372</v>
      </c>
      <c r="C1004" s="187"/>
      <c r="D1004" s="188"/>
      <c r="E1004" s="188"/>
      <c r="F1004" s="188"/>
      <c r="G1004" s="188"/>
      <c r="H1004" s="188"/>
      <c r="I1004" s="188"/>
      <c r="J1004" s="188"/>
      <c r="K1004" s="188"/>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18"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347</v>
      </c>
      <c r="D1" s="105" t="s">
        <v>374</v>
      </c>
      <c r="E1" s="105" t="s">
        <v>302</v>
      </c>
    </row>
    <row r="2" spans="1:6" ht="14.25" x14ac:dyDescent="0.15">
      <c r="A2" s="106" t="s">
        <v>37</v>
      </c>
      <c r="B2" s="107" t="s">
        <v>30</v>
      </c>
      <c r="C2" s="108" t="s">
        <v>375</v>
      </c>
      <c r="D2" s="108">
        <v>25</v>
      </c>
      <c r="E2" s="109" t="s">
        <v>38</v>
      </c>
      <c r="F2" s="110" t="s">
        <v>342</v>
      </c>
    </row>
    <row r="3" spans="1:6" ht="14.25" x14ac:dyDescent="0.15">
      <c r="A3" s="106" t="s">
        <v>50</v>
      </c>
      <c r="B3" s="107" t="s">
        <v>41</v>
      </c>
      <c r="C3" s="108" t="s">
        <v>376</v>
      </c>
      <c r="D3" s="108">
        <v>25</v>
      </c>
      <c r="E3" s="109" t="s">
        <v>38</v>
      </c>
      <c r="F3" s="111"/>
    </row>
    <row r="4" spans="1:6" ht="14.25" x14ac:dyDescent="0.15">
      <c r="A4" s="106" t="s">
        <v>377</v>
      </c>
      <c r="B4" s="107" t="s">
        <v>378</v>
      </c>
      <c r="C4" s="108" t="s">
        <v>77</v>
      </c>
      <c r="D4" s="108">
        <v>25</v>
      </c>
      <c r="E4" s="109" t="s">
        <v>38</v>
      </c>
      <c r="F4" s="112" t="s">
        <v>343</v>
      </c>
    </row>
    <row r="5" spans="1:6" ht="14.25" x14ac:dyDescent="0.15">
      <c r="A5" s="106" t="s">
        <v>379</v>
      </c>
      <c r="B5" s="107" t="s">
        <v>378</v>
      </c>
      <c r="C5" s="108" t="s">
        <v>77</v>
      </c>
      <c r="D5" s="108">
        <v>25</v>
      </c>
      <c r="E5" s="109" t="s">
        <v>38</v>
      </c>
      <c r="F5" s="112"/>
    </row>
    <row r="6" spans="1:6" ht="14.25" x14ac:dyDescent="0.15">
      <c r="A6" s="106" t="s">
        <v>380</v>
      </c>
      <c r="B6" s="107" t="s">
        <v>83</v>
      </c>
      <c r="C6" s="108" t="s">
        <v>82</v>
      </c>
      <c r="D6" s="108">
        <v>25</v>
      </c>
      <c r="E6" s="109" t="s">
        <v>85</v>
      </c>
      <c r="F6" s="111"/>
    </row>
    <row r="7" spans="1:6" ht="14.25" x14ac:dyDescent="0.15">
      <c r="A7" s="106" t="s">
        <v>381</v>
      </c>
      <c r="B7" s="107" t="s">
        <v>222</v>
      </c>
      <c r="C7" s="108" t="s">
        <v>221</v>
      </c>
      <c r="D7" s="108">
        <v>25</v>
      </c>
      <c r="E7" s="109" t="s">
        <v>85</v>
      </c>
      <c r="F7" s="112" t="s">
        <v>344</v>
      </c>
    </row>
    <row r="8" spans="1:6" ht="14.25" x14ac:dyDescent="0.15">
      <c r="A8" s="106" t="s">
        <v>204</v>
      </c>
      <c r="B8" s="107" t="s">
        <v>202</v>
      </c>
      <c r="C8" s="108" t="s">
        <v>201</v>
      </c>
      <c r="D8" s="108">
        <v>25</v>
      </c>
      <c r="E8" s="109" t="s">
        <v>46</v>
      </c>
      <c r="F8" s="111"/>
    </row>
    <row r="9" spans="1:6" ht="14.25" x14ac:dyDescent="0.15">
      <c r="A9" s="106" t="s">
        <v>382</v>
      </c>
      <c r="B9" s="107" t="s">
        <v>215</v>
      </c>
      <c r="C9" s="108" t="s">
        <v>383</v>
      </c>
      <c r="D9" s="108">
        <v>25</v>
      </c>
      <c r="E9" s="109" t="s">
        <v>85</v>
      </c>
      <c r="F9" s="112" t="s">
        <v>345</v>
      </c>
    </row>
    <row r="10" spans="1:6" ht="14.25" x14ac:dyDescent="0.15">
      <c r="A10" s="106" t="s">
        <v>138</v>
      </c>
      <c r="B10" s="107" t="s">
        <v>136</v>
      </c>
      <c r="C10" s="108" t="s">
        <v>135</v>
      </c>
      <c r="D10" s="108">
        <v>25</v>
      </c>
      <c r="E10" s="109" t="s">
        <v>46</v>
      </c>
      <c r="F10" s="111"/>
    </row>
    <row r="11" spans="1:6" ht="14.25" x14ac:dyDescent="0.15">
      <c r="A11" s="106" t="s">
        <v>341</v>
      </c>
      <c r="B11" s="107" t="s">
        <v>156</v>
      </c>
      <c r="C11" s="108" t="s">
        <v>155</v>
      </c>
      <c r="D11" s="108">
        <v>25</v>
      </c>
      <c r="E11" s="109" t="s">
        <v>384</v>
      </c>
      <c r="F11" s="111"/>
    </row>
    <row r="12" spans="1:6" ht="14.25" x14ac:dyDescent="0.15">
      <c r="A12" s="106" t="s">
        <v>2</v>
      </c>
      <c r="B12" s="107" t="s">
        <v>146</v>
      </c>
      <c r="C12" s="108" t="s">
        <v>145</v>
      </c>
      <c r="D12" s="108">
        <v>25</v>
      </c>
      <c r="E12" s="109" t="s">
        <v>38</v>
      </c>
      <c r="F12" s="111"/>
    </row>
    <row r="13" spans="1:6" ht="14.25" x14ac:dyDescent="0.15">
      <c r="A13" s="106" t="s">
        <v>143</v>
      </c>
      <c r="B13" s="107" t="s">
        <v>378</v>
      </c>
      <c r="C13" s="108" t="s">
        <v>139</v>
      </c>
      <c r="D13" s="108">
        <v>25</v>
      </c>
      <c r="E13" s="109" t="s">
        <v>85</v>
      </c>
      <c r="F13" s="111"/>
    </row>
    <row r="14" spans="1:6" ht="14.25" x14ac:dyDescent="0.15">
      <c r="A14" s="106" t="s">
        <v>335</v>
      </c>
      <c r="B14" s="107" t="s">
        <v>179</v>
      </c>
      <c r="C14" s="108" t="s">
        <v>178</v>
      </c>
      <c r="D14" s="108">
        <v>25</v>
      </c>
      <c r="E14" s="109" t="s">
        <v>46</v>
      </c>
      <c r="F14" s="111"/>
    </row>
    <row r="15" spans="1:6" ht="14.25" x14ac:dyDescent="0.15">
      <c r="A15" s="106" t="s">
        <v>177</v>
      </c>
      <c r="B15" s="107" t="s">
        <v>173</v>
      </c>
      <c r="C15" s="108" t="s">
        <v>176</v>
      </c>
      <c r="D15" s="108">
        <v>25</v>
      </c>
      <c r="E15" s="109" t="s">
        <v>38</v>
      </c>
      <c r="F15" s="111"/>
    </row>
    <row r="16" spans="1:6" ht="14.25" x14ac:dyDescent="0.15">
      <c r="A16" s="106" t="s">
        <v>385</v>
      </c>
      <c r="B16" s="107" t="s">
        <v>386</v>
      </c>
      <c r="C16" s="108" t="s">
        <v>172</v>
      </c>
      <c r="D16" s="108">
        <v>25</v>
      </c>
      <c r="E16" s="109" t="s">
        <v>38</v>
      </c>
      <c r="F16" s="111"/>
    </row>
    <row r="17" spans="1:5" ht="14.25" x14ac:dyDescent="0.15">
      <c r="A17" s="106" t="s">
        <v>338</v>
      </c>
      <c r="B17" s="107" t="s">
        <v>130</v>
      </c>
      <c r="C17" s="108" t="s">
        <v>129</v>
      </c>
      <c r="D17" s="108">
        <v>25</v>
      </c>
      <c r="E17" s="109" t="s">
        <v>384</v>
      </c>
    </row>
    <row r="18" spans="1:5" ht="14.25" x14ac:dyDescent="0.15">
      <c r="A18" s="106" t="s">
        <v>387</v>
      </c>
      <c r="B18" s="107" t="s">
        <v>388</v>
      </c>
      <c r="C18" s="108" t="s">
        <v>389</v>
      </c>
      <c r="D18" s="108">
        <v>25</v>
      </c>
      <c r="E18" s="109" t="s">
        <v>38</v>
      </c>
    </row>
    <row r="19" spans="1:5" ht="14.25" x14ac:dyDescent="0.15">
      <c r="A19" s="106" t="s">
        <v>390</v>
      </c>
      <c r="B19" s="107" t="s">
        <v>391</v>
      </c>
      <c r="C19" s="108" t="s">
        <v>392</v>
      </c>
      <c r="D19" s="108">
        <v>25</v>
      </c>
      <c r="E19" s="109" t="s">
        <v>38</v>
      </c>
    </row>
    <row r="20" spans="1:5" ht="14.25" x14ac:dyDescent="0.15">
      <c r="A20" s="106" t="s">
        <v>393</v>
      </c>
      <c r="B20" s="107" t="s">
        <v>378</v>
      </c>
      <c r="C20" s="108" t="s">
        <v>394</v>
      </c>
      <c r="D20" s="108">
        <v>25</v>
      </c>
      <c r="E20" s="109" t="s">
        <v>38</v>
      </c>
    </row>
    <row r="21" spans="1:5" ht="14.25" x14ac:dyDescent="0.15">
      <c r="A21" s="106" t="s">
        <v>395</v>
      </c>
      <c r="B21" s="107" t="s">
        <v>396</v>
      </c>
      <c r="C21" s="108" t="s">
        <v>255</v>
      </c>
      <c r="D21" s="108">
        <v>25</v>
      </c>
      <c r="E21" s="109" t="s">
        <v>38</v>
      </c>
    </row>
    <row r="22" spans="1:5" ht="14.25" x14ac:dyDescent="0.15">
      <c r="A22" s="106" t="s">
        <v>340</v>
      </c>
      <c r="B22" s="107" t="s">
        <v>107</v>
      </c>
      <c r="C22" s="108" t="s">
        <v>106</v>
      </c>
      <c r="D22" s="108">
        <v>25</v>
      </c>
      <c r="E22" s="109" t="s">
        <v>85</v>
      </c>
    </row>
    <row r="23" spans="1:5" ht="14.25" x14ac:dyDescent="0.15">
      <c r="A23" s="106" t="s">
        <v>397</v>
      </c>
      <c r="B23" s="107" t="s">
        <v>107</v>
      </c>
      <c r="C23" s="108" t="s">
        <v>106</v>
      </c>
      <c r="D23" s="108">
        <v>25</v>
      </c>
      <c r="E23" s="109" t="s">
        <v>85</v>
      </c>
    </row>
    <row r="24" spans="1:5" ht="14.25" x14ac:dyDescent="0.15">
      <c r="A24" s="106" t="s">
        <v>398</v>
      </c>
      <c r="B24" s="107" t="s">
        <v>190</v>
      </c>
      <c r="C24" s="108" t="s">
        <v>189</v>
      </c>
      <c r="D24" s="108">
        <v>25</v>
      </c>
      <c r="E24" s="109" t="s">
        <v>85</v>
      </c>
    </row>
    <row r="25" spans="1:5" ht="14.25" x14ac:dyDescent="0.15">
      <c r="A25" s="106" t="s">
        <v>399</v>
      </c>
      <c r="B25" s="107" t="s">
        <v>241</v>
      </c>
      <c r="C25" s="108" t="s">
        <v>240</v>
      </c>
      <c r="D25" s="108">
        <v>25</v>
      </c>
      <c r="E25" s="109" t="s">
        <v>46</v>
      </c>
    </row>
    <row r="26" spans="1:5" ht="14.25" x14ac:dyDescent="0.15">
      <c r="A26" s="106" t="s">
        <v>400</v>
      </c>
      <c r="B26" s="107" t="s">
        <v>126</v>
      </c>
      <c r="C26" s="108" t="s">
        <v>125</v>
      </c>
      <c r="D26" s="108">
        <v>25</v>
      </c>
      <c r="E26" s="109" t="s">
        <v>46</v>
      </c>
    </row>
    <row r="27" spans="1:5" ht="14.25" x14ac:dyDescent="0.15">
      <c r="A27" s="106" t="s">
        <v>98</v>
      </c>
      <c r="B27" s="107" t="s">
        <v>95</v>
      </c>
      <c r="C27" s="108" t="s">
        <v>94</v>
      </c>
      <c r="D27" s="108">
        <v>25</v>
      </c>
      <c r="E27" s="109" t="s">
        <v>46</v>
      </c>
    </row>
    <row r="28" spans="1:5" ht="14.25" x14ac:dyDescent="0.15">
      <c r="A28" s="106" t="s">
        <v>229</v>
      </c>
      <c r="B28" s="107" t="s">
        <v>225</v>
      </c>
      <c r="C28" s="108" t="s">
        <v>401</v>
      </c>
      <c r="D28" s="108">
        <v>25</v>
      </c>
      <c r="E28" s="109" t="s">
        <v>46</v>
      </c>
    </row>
    <row r="29" spans="1:5" ht="14.25" x14ac:dyDescent="0.15">
      <c r="A29" s="106" t="s">
        <v>402</v>
      </c>
      <c r="B29" s="107" t="s">
        <v>403</v>
      </c>
      <c r="C29" s="108" t="s">
        <v>404</v>
      </c>
      <c r="D29" s="108">
        <v>25</v>
      </c>
      <c r="E29" s="109" t="s">
        <v>38</v>
      </c>
    </row>
    <row r="30" spans="1:5" ht="14.25" x14ac:dyDescent="0.15">
      <c r="A30" s="106" t="s">
        <v>405</v>
      </c>
      <c r="B30" s="107" t="s">
        <v>83</v>
      </c>
      <c r="C30" s="108" t="s">
        <v>82</v>
      </c>
      <c r="D30" s="108">
        <v>25</v>
      </c>
      <c r="E30" s="109" t="s">
        <v>38</v>
      </c>
    </row>
    <row r="31" spans="1:5" x14ac:dyDescent="0.15">
      <c r="A31" s="106" t="s">
        <v>406</v>
      </c>
      <c r="B31" s="107" t="s">
        <v>107</v>
      </c>
      <c r="C31" s="106" t="s">
        <v>407</v>
      </c>
      <c r="D31" s="106">
        <v>25</v>
      </c>
      <c r="E31" s="107" t="s">
        <v>408</v>
      </c>
    </row>
    <row r="32" spans="1:5" x14ac:dyDescent="0.15">
      <c r="A32" s="106" t="s">
        <v>409</v>
      </c>
      <c r="B32" s="107" t="s">
        <v>410</v>
      </c>
      <c r="C32" s="106" t="s">
        <v>392</v>
      </c>
      <c r="D32" s="106">
        <v>20</v>
      </c>
      <c r="E32" s="107" t="s">
        <v>85</v>
      </c>
    </row>
    <row r="33" spans="1:5" x14ac:dyDescent="0.15">
      <c r="A33" s="106" t="s">
        <v>411</v>
      </c>
      <c r="B33" s="107" t="s">
        <v>107</v>
      </c>
      <c r="C33" s="106" t="s">
        <v>412</v>
      </c>
      <c r="D33" s="106">
        <v>25</v>
      </c>
      <c r="E33" s="107" t="s">
        <v>43</v>
      </c>
    </row>
    <row r="34" spans="1:5" ht="14.25" x14ac:dyDescent="0.15">
      <c r="A34" s="106" t="s">
        <v>339</v>
      </c>
      <c r="B34" s="107" t="s">
        <v>413</v>
      </c>
      <c r="C34" s="108" t="s">
        <v>77</v>
      </c>
      <c r="D34" s="108">
        <v>25</v>
      </c>
      <c r="E34" s="107" t="s">
        <v>414</v>
      </c>
    </row>
    <row r="35" spans="1:5" ht="14.25" x14ac:dyDescent="0.15">
      <c r="A35" s="106" t="s">
        <v>336</v>
      </c>
      <c r="B35" s="107" t="s">
        <v>53</v>
      </c>
      <c r="C35" s="108" t="s">
        <v>375</v>
      </c>
      <c r="D35" s="108">
        <v>25</v>
      </c>
      <c r="E35" s="107" t="s">
        <v>414</v>
      </c>
    </row>
    <row r="36" spans="1:5" ht="14.25" x14ac:dyDescent="0.15">
      <c r="A36" s="106" t="s">
        <v>415</v>
      </c>
      <c r="B36" s="107" t="s">
        <v>416</v>
      </c>
      <c r="C36" s="108" t="s">
        <v>240</v>
      </c>
      <c r="D36" s="108">
        <v>25</v>
      </c>
      <c r="E36" s="109" t="s">
        <v>38</v>
      </c>
    </row>
    <row r="37" spans="1:5" ht="14.25" x14ac:dyDescent="0.15">
      <c r="A37" s="106" t="s">
        <v>417</v>
      </c>
      <c r="B37" s="107" t="s">
        <v>418</v>
      </c>
      <c r="C37" s="106" t="s">
        <v>419</v>
      </c>
      <c r="D37" s="106">
        <v>25</v>
      </c>
      <c r="E37" s="109" t="s">
        <v>38</v>
      </c>
    </row>
    <row r="38" spans="1:5" ht="14.25" x14ac:dyDescent="0.15">
      <c r="A38" s="106" t="s">
        <v>420</v>
      </c>
      <c r="B38" s="107" t="s">
        <v>421</v>
      </c>
      <c r="C38" s="106" t="s">
        <v>240</v>
      </c>
      <c r="D38" s="106">
        <v>25</v>
      </c>
      <c r="E38" s="109" t="s">
        <v>414</v>
      </c>
    </row>
    <row r="39" spans="1:5" ht="14.25" x14ac:dyDescent="0.15">
      <c r="A39" s="106" t="s">
        <v>422</v>
      </c>
      <c r="B39" s="107" t="s">
        <v>206</v>
      </c>
      <c r="C39" s="106" t="s">
        <v>205</v>
      </c>
      <c r="D39" s="106">
        <v>25</v>
      </c>
      <c r="E39" s="109" t="s">
        <v>85</v>
      </c>
    </row>
    <row r="40" spans="1:5" ht="14.25" x14ac:dyDescent="0.15">
      <c r="A40" s="106" t="s">
        <v>423</v>
      </c>
      <c r="B40" s="107" t="s">
        <v>30</v>
      </c>
      <c r="C40" s="106" t="s">
        <v>29</v>
      </c>
      <c r="D40" s="106">
        <v>25</v>
      </c>
      <c r="E40" s="109" t="s">
        <v>46</v>
      </c>
    </row>
    <row r="41" spans="1:5" ht="14.25" x14ac:dyDescent="0.15">
      <c r="A41" s="108" t="s">
        <v>334</v>
      </c>
      <c r="B41" s="107" t="s">
        <v>353</v>
      </c>
      <c r="C41" s="106" t="s">
        <v>353</v>
      </c>
      <c r="D41" s="106" t="s">
        <v>353</v>
      </c>
      <c r="E41" s="107" t="s">
        <v>353</v>
      </c>
    </row>
    <row r="42" spans="1:5" ht="14.25" x14ac:dyDescent="0.15">
      <c r="A42" s="108" t="s">
        <v>333</v>
      </c>
      <c r="B42" s="107" t="s">
        <v>353</v>
      </c>
      <c r="C42" s="106" t="s">
        <v>353</v>
      </c>
      <c r="D42" s="106" t="s">
        <v>353</v>
      </c>
      <c r="E42" s="107" t="s">
        <v>353</v>
      </c>
    </row>
    <row r="43" spans="1:5" ht="14.25" x14ac:dyDescent="0.15">
      <c r="A43" s="108" t="s">
        <v>424</v>
      </c>
      <c r="B43" s="107" t="s">
        <v>353</v>
      </c>
      <c r="C43" s="106" t="s">
        <v>353</v>
      </c>
      <c r="D43" s="106" t="s">
        <v>353</v>
      </c>
      <c r="E43" s="107" t="s">
        <v>353</v>
      </c>
    </row>
    <row r="44" spans="1:5" x14ac:dyDescent="0.15">
      <c r="A44" s="132" t="s">
        <v>332</v>
      </c>
      <c r="B44" s="107" t="s">
        <v>353</v>
      </c>
      <c r="C44" s="106" t="s">
        <v>353</v>
      </c>
      <c r="D44" s="106" t="s">
        <v>353</v>
      </c>
      <c r="E44" s="107" t="s">
        <v>353</v>
      </c>
    </row>
    <row r="45" spans="1:5" ht="14.25" x14ac:dyDescent="0.15">
      <c r="A45" s="108" t="s">
        <v>425</v>
      </c>
      <c r="B45" s="107" t="s">
        <v>353</v>
      </c>
      <c r="C45" s="106" t="s">
        <v>353</v>
      </c>
      <c r="D45" s="106" t="s">
        <v>353</v>
      </c>
      <c r="E45" s="107" t="s">
        <v>353</v>
      </c>
    </row>
    <row r="46" spans="1:5" ht="14.25" x14ac:dyDescent="0.15">
      <c r="A46" s="108" t="s">
        <v>426</v>
      </c>
      <c r="B46" s="107" t="s">
        <v>353</v>
      </c>
      <c r="C46" s="106" t="s">
        <v>353</v>
      </c>
      <c r="D46" s="106" t="s">
        <v>353</v>
      </c>
      <c r="E46" s="107" t="s">
        <v>353</v>
      </c>
    </row>
    <row r="47" spans="1:5" ht="14.25" x14ac:dyDescent="0.15">
      <c r="A47" s="108" t="s">
        <v>337</v>
      </c>
      <c r="B47" s="107" t="s">
        <v>353</v>
      </c>
      <c r="C47" s="106" t="s">
        <v>353</v>
      </c>
      <c r="D47" s="106">
        <v>25</v>
      </c>
      <c r="E47" s="107" t="s">
        <v>353</v>
      </c>
    </row>
    <row r="48" spans="1:5" ht="14.25" x14ac:dyDescent="0.15">
      <c r="A48" s="108"/>
      <c r="B48" s="107" t="s">
        <v>353</v>
      </c>
      <c r="C48" s="106" t="s">
        <v>353</v>
      </c>
      <c r="D48" s="106" t="s">
        <v>353</v>
      </c>
      <c r="E48" s="107" t="s">
        <v>353</v>
      </c>
    </row>
    <row r="49" spans="1:5" ht="14.25" x14ac:dyDescent="0.15">
      <c r="A49" s="108"/>
      <c r="B49" s="107" t="s">
        <v>353</v>
      </c>
      <c r="C49" s="106" t="s">
        <v>353</v>
      </c>
      <c r="D49" s="106" t="s">
        <v>353</v>
      </c>
      <c r="E49" s="107" t="s">
        <v>353</v>
      </c>
    </row>
    <row r="50" spans="1:5" ht="14.25" x14ac:dyDescent="0.15">
      <c r="A50" s="108"/>
      <c r="B50" s="107" t="s">
        <v>353</v>
      </c>
      <c r="C50" s="106" t="s">
        <v>353</v>
      </c>
      <c r="D50" s="106" t="s">
        <v>353</v>
      </c>
      <c r="E50" s="107" t="s">
        <v>353</v>
      </c>
    </row>
    <row r="51" spans="1:5" ht="14.25" x14ac:dyDescent="0.15">
      <c r="A51" s="108"/>
      <c r="B51" s="107" t="s">
        <v>353</v>
      </c>
      <c r="C51" s="106" t="s">
        <v>353</v>
      </c>
      <c r="D51" s="106" t="s">
        <v>353</v>
      </c>
      <c r="E51" s="107" t="s">
        <v>353</v>
      </c>
    </row>
    <row r="52" spans="1:5" ht="14.25" x14ac:dyDescent="0.15">
      <c r="A52" s="108"/>
      <c r="B52" s="107" t="s">
        <v>353</v>
      </c>
      <c r="C52" s="106" t="s">
        <v>353</v>
      </c>
      <c r="D52" s="106" t="s">
        <v>353</v>
      </c>
      <c r="E52" s="107" t="s">
        <v>353</v>
      </c>
    </row>
    <row r="53" spans="1:5" ht="14.25" x14ac:dyDescent="0.15">
      <c r="A53" s="108"/>
      <c r="B53" s="107" t="s">
        <v>353</v>
      </c>
      <c r="C53" s="106" t="s">
        <v>353</v>
      </c>
      <c r="D53" s="106" t="s">
        <v>353</v>
      </c>
      <c r="E53" s="107" t="s">
        <v>353</v>
      </c>
    </row>
    <row r="54" spans="1:5" ht="14.25" x14ac:dyDescent="0.15">
      <c r="A54" s="108"/>
      <c r="B54" s="107" t="s">
        <v>353</v>
      </c>
      <c r="C54" s="106" t="s">
        <v>353</v>
      </c>
      <c r="D54" s="106" t="s">
        <v>353</v>
      </c>
      <c r="E54" s="107" t="s">
        <v>353</v>
      </c>
    </row>
    <row r="55" spans="1:5" ht="14.25" x14ac:dyDescent="0.15">
      <c r="A55" s="108"/>
      <c r="B55" s="107" t="s">
        <v>353</v>
      </c>
      <c r="C55" s="106" t="s">
        <v>353</v>
      </c>
      <c r="D55" s="106" t="s">
        <v>353</v>
      </c>
      <c r="E55" s="107" t="s">
        <v>353</v>
      </c>
    </row>
    <row r="56" spans="1:5" ht="14.25" x14ac:dyDescent="0.15">
      <c r="A56" s="108"/>
      <c r="B56" s="107" t="s">
        <v>353</v>
      </c>
      <c r="C56" s="106" t="s">
        <v>353</v>
      </c>
      <c r="D56" s="106" t="s">
        <v>353</v>
      </c>
      <c r="E56" s="107" t="s">
        <v>353</v>
      </c>
    </row>
    <row r="57" spans="1:5" ht="14.25" x14ac:dyDescent="0.15">
      <c r="A57" s="108"/>
      <c r="B57" s="107" t="s">
        <v>353</v>
      </c>
      <c r="C57" s="106" t="s">
        <v>353</v>
      </c>
      <c r="D57" s="106" t="s">
        <v>353</v>
      </c>
      <c r="E57" s="107" t="s">
        <v>353</v>
      </c>
    </row>
    <row r="58" spans="1:5" ht="14.25" x14ac:dyDescent="0.15">
      <c r="A58" s="108"/>
      <c r="B58" s="107" t="s">
        <v>353</v>
      </c>
      <c r="C58" s="106" t="s">
        <v>353</v>
      </c>
      <c r="D58" s="106" t="s">
        <v>353</v>
      </c>
      <c r="E58" s="107" t="s">
        <v>353</v>
      </c>
    </row>
    <row r="59" spans="1:5" ht="14.25" x14ac:dyDescent="0.15">
      <c r="A59" s="108"/>
      <c r="B59" s="107" t="s">
        <v>353</v>
      </c>
      <c r="C59" s="106" t="s">
        <v>353</v>
      </c>
      <c r="D59" s="106" t="s">
        <v>353</v>
      </c>
      <c r="E59" s="107" t="s">
        <v>353</v>
      </c>
    </row>
    <row r="60" spans="1:5" ht="14.25" x14ac:dyDescent="0.15">
      <c r="A60" s="108"/>
      <c r="B60" s="107" t="s">
        <v>353</v>
      </c>
      <c r="C60" s="106" t="s">
        <v>353</v>
      </c>
      <c r="D60" s="106" t="s">
        <v>353</v>
      </c>
      <c r="E60" s="107" t="s">
        <v>353</v>
      </c>
    </row>
    <row r="61" spans="1:5" ht="14.25" x14ac:dyDescent="0.15">
      <c r="A61" s="108"/>
      <c r="B61" s="107" t="s">
        <v>353</v>
      </c>
      <c r="C61" s="106" t="s">
        <v>353</v>
      </c>
      <c r="D61" s="106" t="s">
        <v>353</v>
      </c>
      <c r="E61" s="107" t="s">
        <v>353</v>
      </c>
    </row>
    <row r="62" spans="1:5" ht="14.25" x14ac:dyDescent="0.15">
      <c r="A62" s="108"/>
      <c r="B62" s="107" t="s">
        <v>353</v>
      </c>
      <c r="C62" s="106" t="s">
        <v>353</v>
      </c>
      <c r="D62" s="106" t="s">
        <v>353</v>
      </c>
      <c r="E62" s="107" t="s">
        <v>353</v>
      </c>
    </row>
    <row r="63" spans="1:5" ht="14.25" x14ac:dyDescent="0.15">
      <c r="A63" s="108"/>
      <c r="B63" s="107" t="s">
        <v>353</v>
      </c>
      <c r="C63" s="106" t="s">
        <v>353</v>
      </c>
      <c r="D63" s="106" t="s">
        <v>353</v>
      </c>
      <c r="E63" s="107" t="s">
        <v>353</v>
      </c>
    </row>
    <row r="64" spans="1:5" ht="14.25" x14ac:dyDescent="0.15">
      <c r="A64" s="108"/>
      <c r="B64" s="107" t="s">
        <v>353</v>
      </c>
      <c r="C64" s="106" t="s">
        <v>353</v>
      </c>
      <c r="D64" s="106" t="s">
        <v>353</v>
      </c>
      <c r="E64" s="107" t="s">
        <v>353</v>
      </c>
    </row>
    <row r="65" spans="1:5" ht="14.25" x14ac:dyDescent="0.15">
      <c r="A65" s="108"/>
      <c r="B65" s="107" t="s">
        <v>353</v>
      </c>
      <c r="C65" s="106" t="s">
        <v>353</v>
      </c>
      <c r="D65" s="106" t="s">
        <v>353</v>
      </c>
      <c r="E65" s="107" t="s">
        <v>353</v>
      </c>
    </row>
    <row r="66" spans="1:5" ht="14.25" x14ac:dyDescent="0.15">
      <c r="A66" s="108"/>
      <c r="B66" s="107" t="s">
        <v>353</v>
      </c>
      <c r="C66" s="106" t="s">
        <v>353</v>
      </c>
      <c r="D66" s="106" t="s">
        <v>353</v>
      </c>
      <c r="E66" s="107" t="s">
        <v>353</v>
      </c>
    </row>
    <row r="67" spans="1:5" ht="14.25" x14ac:dyDescent="0.15">
      <c r="A67" s="108"/>
      <c r="B67" s="107" t="s">
        <v>353</v>
      </c>
      <c r="C67" s="106" t="s">
        <v>353</v>
      </c>
      <c r="D67" s="106" t="s">
        <v>353</v>
      </c>
      <c r="E67" s="107" t="s">
        <v>353</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347</v>
      </c>
      <c r="D1" s="160" t="s">
        <v>427</v>
      </c>
      <c r="E1" s="160" t="s">
        <v>17</v>
      </c>
      <c r="F1" s="160" t="s">
        <v>302</v>
      </c>
    </row>
    <row r="2" spans="2:6" ht="15" x14ac:dyDescent="0.15">
      <c r="B2" s="161" t="str">
        <f>IF(烤漆色號編碼!A2="","-",烤漆色號編碼!A2)</f>
        <v>DP-11485</v>
      </c>
      <c r="C2" s="161" t="s">
        <v>29</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29</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428</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429</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201</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201</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430</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430</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430</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430</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430</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430</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407</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407</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255</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100</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189</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240</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407</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428</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401</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431</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100</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428</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189</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240</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201</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432</v>
      </c>
      <c r="C2" s="148" t="s">
        <v>23</v>
      </c>
      <c r="D2" s="148" t="s">
        <v>17</v>
      </c>
      <c r="E2" s="148" t="s">
        <v>433</v>
      </c>
      <c r="F2" s="148" t="s">
        <v>434</v>
      </c>
      <c r="G2" s="148" t="s">
        <v>435</v>
      </c>
      <c r="H2" s="148" t="s">
        <v>434</v>
      </c>
      <c r="I2" s="148" t="s">
        <v>436</v>
      </c>
      <c r="J2" s="148" t="s">
        <v>434</v>
      </c>
      <c r="K2" s="148" t="s">
        <v>437</v>
      </c>
      <c r="L2" s="148" t="s">
        <v>434</v>
      </c>
    </row>
    <row r="3" spans="2:12" ht="22.5" x14ac:dyDescent="0.15">
      <c r="B3" s="143">
        <v>1</v>
      </c>
      <c r="C3" s="143" t="str">
        <f>IF(烤漆色號編碼!A2="","",烤漆色號編碼!A2)</f>
        <v>DP-11485</v>
      </c>
      <c r="D3" s="143" t="str">
        <f>IF(C3="","",INDEX(烤漆色號編碼!$A:$G,MATCH(C3,烤漆色號編碼!$A:$A,),2))</f>
        <v>WE</v>
      </c>
      <c r="E3" s="144">
        <f>IF(C3="","",SUMIF(採購入庫!D:D,$C3,採購入庫!$G:$G))</f>
        <v>0</v>
      </c>
      <c r="F3" s="145" t="s">
        <v>6</v>
      </c>
      <c r="G3" s="144">
        <f>IF(D3="","",SUMIF(每日用粉紀錄表!C:C,$C3,每日用粉紀錄表!F:F))</f>
        <v>0</v>
      </c>
      <c r="H3" s="145" t="s">
        <v>6</v>
      </c>
      <c r="I3" s="146">
        <f>IF(F3="","",SUMIF(當前庫存!C:C,$C3,當前庫存!G:G))</f>
        <v>1</v>
      </c>
      <c r="J3" s="145" t="s">
        <v>6</v>
      </c>
      <c r="K3" s="146">
        <f>IF(H3="","",SUMIF(當前庫存!C:C,$C3,當前庫存!F:F))</f>
        <v>38</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27</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12</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0</v>
      </c>
      <c r="H10" s="145" t="s">
        <v>6</v>
      </c>
      <c r="I10" s="146">
        <f>IF(F10="","",SUMIF(當前庫存!C:C,$C10,當前庫存!G:G))</f>
        <v>5</v>
      </c>
      <c r="J10" s="145" t="s">
        <v>6</v>
      </c>
      <c r="K10" s="146">
        <f>IF(H10="","",SUMIF(當前庫存!C:C,$C10,當前庫存!F:F))</f>
        <v>5</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0</v>
      </c>
      <c r="F11" s="145" t="s">
        <v>6</v>
      </c>
      <c r="G11" s="144">
        <f>IF(D11="","",SUMIF(每日用粉紀錄表!C:C,$C11,每日用粉紀錄表!F:F))</f>
        <v>2</v>
      </c>
      <c r="H11" s="145" t="s">
        <v>6</v>
      </c>
      <c r="I11" s="146">
        <f>IF(F11="","",SUMIF(當前庫存!C:C,$C11,當前庫存!G:G))</f>
        <v>4</v>
      </c>
      <c r="J11" s="145" t="s">
        <v>6</v>
      </c>
      <c r="K11" s="146">
        <f>IF(H11="","",SUMIF(當前庫存!C:C,$C11,當前庫存!F:F))</f>
        <v>11</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0</v>
      </c>
      <c r="H12" s="145" t="s">
        <v>6</v>
      </c>
      <c r="I12" s="146">
        <f>IF(F12="","",SUMIF(當前庫存!C:C,$C12,當前庫存!G:G))</f>
        <v>0</v>
      </c>
      <c r="J12" s="145" t="s">
        <v>6</v>
      </c>
      <c r="K12" s="146">
        <f>IF(H12="","",SUMIF(當前庫存!C:C,$C12,當前庫存!F:F))</f>
        <v>36</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0</v>
      </c>
      <c r="F13" s="145" t="s">
        <v>6</v>
      </c>
      <c r="G13" s="144">
        <f>IF(D13="","",SUMIF(每日用粉紀錄表!C:C,$C13,每日用粉紀錄表!F:F))</f>
        <v>11</v>
      </c>
      <c r="H13" s="145" t="s">
        <v>6</v>
      </c>
      <c r="I13" s="146">
        <f>IF(F13="","",SUMIF(當前庫存!C:C,$C13,當前庫存!G:G))</f>
        <v>17</v>
      </c>
      <c r="J13" s="145" t="s">
        <v>6</v>
      </c>
      <c r="K13" s="146">
        <f>IF(H13="","",SUMIF(當前庫存!C:C,$C13,當前庫存!F:F))</f>
        <v>3</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1</v>
      </c>
      <c r="H15" s="145" t="s">
        <v>6</v>
      </c>
      <c r="I15" s="146">
        <f>IF(F15="","",SUMIF(當前庫存!C:C,$C15,當前庫存!G:G))</f>
        <v>3</v>
      </c>
      <c r="J15" s="145" t="s">
        <v>6</v>
      </c>
      <c r="K15" s="146">
        <f>IF(H15="","",SUMIF(當前庫存!C:C,$C15,當前庫存!F:F))</f>
        <v>26</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5</v>
      </c>
      <c r="H18" s="145" t="s">
        <v>6</v>
      </c>
      <c r="I18" s="146">
        <f>IF(F18="","",SUMIF(當前庫存!C:C,$C18,當前庫存!G:G))</f>
        <v>2</v>
      </c>
      <c r="J18" s="145" t="s">
        <v>6</v>
      </c>
      <c r="K18" s="146">
        <f>IF(H18="","",SUMIF(當前庫存!C:C,$C18,當前庫存!F:F))</f>
        <v>22</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20</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12</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2</v>
      </c>
      <c r="J29" s="145" t="s">
        <v>6</v>
      </c>
      <c r="K29" s="146">
        <f>IF(H29="","",SUMIF(當前庫存!C:C,$C29,當前庫存!F:F))</f>
        <v>4</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12</v>
      </c>
      <c r="F35" s="145" t="s">
        <v>6</v>
      </c>
      <c r="G35" s="144">
        <f>IF(D35="","",SUMIF(每日用粉紀錄表!C:C,$C35,每日用粉紀錄表!F:F))</f>
        <v>1</v>
      </c>
      <c r="H35" s="145" t="s">
        <v>6</v>
      </c>
      <c r="I35" s="146">
        <f>IF(F35="","",SUMIF(當前庫存!C:C,$C35,當前庫存!G:G))</f>
        <v>12</v>
      </c>
      <c r="J35" s="145" t="s">
        <v>6</v>
      </c>
      <c r="K35" s="146">
        <f>IF(H35="","",SUMIF(當前庫存!C:C,$C35,當前庫存!F:F))</f>
        <v>5</v>
      </c>
      <c r="L35" s="145" t="s">
        <v>8</v>
      </c>
    </row>
    <row r="36" spans="2:12" ht="22.5" x14ac:dyDescent="0.15">
      <c r="B36" s="143">
        <v>34</v>
      </c>
      <c r="C36" s="143" t="str">
        <f>IF(烤漆色號編碼!A35="","",烤漆色號編碼!A35)</f>
        <v>008/1H174</v>
      </c>
      <c r="D36" s="143" t="str">
        <f>IF(C36="","",INDEX(烤漆色號編碼!$A:$G,MATCH(C36,烤漆色號編碼!$A:$A,),2))</f>
        <v>WE2</v>
      </c>
      <c r="E36" s="144">
        <f>IF(C36="","",SUMIF(採購入庫!D:D,$C36,採購入庫!$G:$G))</f>
        <v>62</v>
      </c>
      <c r="F36" s="145" t="s">
        <v>6</v>
      </c>
      <c r="G36" s="144">
        <f>IF(D36="","",SUMIF(每日用粉紀錄表!C:C,$C36,每日用粉紀錄表!F:F))</f>
        <v>42</v>
      </c>
      <c r="H36" s="145" t="s">
        <v>6</v>
      </c>
      <c r="I36" s="146">
        <f>IF(F36="","",SUMIF(當前庫存!C:C,$C36,當前庫存!G:G))</f>
        <v>26</v>
      </c>
      <c r="J36" s="145" t="s">
        <v>6</v>
      </c>
      <c r="K36" s="146">
        <f>IF(H36="","",SUMIF(當前庫存!C:C,$C36,當前庫存!F:F))</f>
        <v>14</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438</v>
      </c>
      <c r="D41" s="143"/>
      <c r="E41" s="144">
        <f>SUM(E3:E39)</f>
        <v>74</v>
      </c>
      <c r="F41" s="145" t="s">
        <v>6</v>
      </c>
      <c r="G41" s="144">
        <f>SUM(G3:G39)</f>
        <v>62</v>
      </c>
      <c r="H41" s="145" t="s">
        <v>6</v>
      </c>
      <c r="I41" s="146">
        <f>SUM(I3:I39)</f>
        <v>109</v>
      </c>
      <c r="J41" s="145" t="s">
        <v>6</v>
      </c>
      <c r="K41" s="146">
        <f>SUM(K3:K39)</f>
        <v>605</v>
      </c>
      <c r="L41" s="145"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0" t="s">
        <v>23</v>
      </c>
      <c r="C2" s="191"/>
      <c r="D2" s="191"/>
      <c r="E2" s="192"/>
    </row>
    <row r="3" spans="2:5" ht="22.5" x14ac:dyDescent="0.15">
      <c r="B3" s="193" t="s">
        <v>337</v>
      </c>
      <c r="C3" s="194"/>
      <c r="D3" s="194"/>
      <c r="E3" s="195"/>
    </row>
    <row r="4" spans="2:5" s="158" customFormat="1" ht="22.5" x14ac:dyDescent="0.15">
      <c r="B4" s="189" t="s">
        <v>12</v>
      </c>
      <c r="C4" s="189"/>
      <c r="D4" s="196">
        <f>SUMIF(每日用粉紀錄表!C:C, B3, 每日用粉紀錄表!J:J)</f>
        <v>600</v>
      </c>
      <c r="E4" s="197"/>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198" t="s">
        <v>29</v>
      </c>
      <c r="C2" s="198"/>
      <c r="D2" s="198"/>
      <c r="E2" s="198"/>
      <c r="F2" s="198"/>
    </row>
    <row r="3" spans="2:6" x14ac:dyDescent="0.15">
      <c r="B3" s="163" t="s">
        <v>16</v>
      </c>
      <c r="C3" s="163" t="s">
        <v>347</v>
      </c>
      <c r="D3" s="163" t="s">
        <v>427</v>
      </c>
      <c r="E3" s="163" t="s">
        <v>17</v>
      </c>
      <c r="F3" s="163" t="s">
        <v>302</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6"/>
      <c r="C7" s="176"/>
      <c r="D7" s="176"/>
      <c r="E7" s="176"/>
      <c r="F7" s="176"/>
    </row>
    <row r="8" spans="2:6" x14ac:dyDescent="0.15">
      <c r="B8" s="198" t="s">
        <v>430</v>
      </c>
      <c r="C8" s="198"/>
      <c r="D8" s="198"/>
      <c r="E8" s="198"/>
      <c r="F8" s="198"/>
    </row>
    <row r="9" spans="2:6" x14ac:dyDescent="0.15">
      <c r="B9" s="165" t="s">
        <v>16</v>
      </c>
      <c r="C9" s="165" t="s">
        <v>347</v>
      </c>
      <c r="D9" s="165" t="s">
        <v>427</v>
      </c>
      <c r="E9" s="165" t="s">
        <v>17</v>
      </c>
      <c r="F9" s="165" t="s">
        <v>302</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198" t="s">
        <v>401</v>
      </c>
      <c r="C17" s="198"/>
      <c r="D17" s="198"/>
      <c r="E17" s="198"/>
      <c r="F17" s="198"/>
    </row>
    <row r="18" spans="2:6" x14ac:dyDescent="0.15">
      <c r="B18" s="165" t="s">
        <v>16</v>
      </c>
      <c r="C18" s="165" t="s">
        <v>347</v>
      </c>
      <c r="D18" s="165" t="s">
        <v>427</v>
      </c>
      <c r="E18" s="165" t="s">
        <v>17</v>
      </c>
      <c r="F18" s="165" t="s">
        <v>302</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198" t="s">
        <v>429</v>
      </c>
      <c r="C21" s="198"/>
      <c r="D21" s="198"/>
      <c r="E21" s="198"/>
      <c r="F21" s="198"/>
    </row>
    <row r="22" spans="2:6" x14ac:dyDescent="0.15">
      <c r="B22" s="165" t="s">
        <v>16</v>
      </c>
      <c r="C22" s="165" t="s">
        <v>347</v>
      </c>
      <c r="D22" s="165" t="s">
        <v>427</v>
      </c>
      <c r="E22" s="165" t="s">
        <v>17</v>
      </c>
      <c r="F22" s="165" t="s">
        <v>302</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198" t="s">
        <v>240</v>
      </c>
      <c r="C25" s="198"/>
      <c r="D25" s="198"/>
      <c r="E25" s="198"/>
      <c r="F25" s="198"/>
    </row>
    <row r="26" spans="2:6" x14ac:dyDescent="0.15">
      <c r="B26" s="165" t="s">
        <v>16</v>
      </c>
      <c r="C26" s="165" t="s">
        <v>347</v>
      </c>
      <c r="D26" s="165" t="s">
        <v>427</v>
      </c>
      <c r="E26" s="165" t="s">
        <v>17</v>
      </c>
      <c r="F26" s="165" t="s">
        <v>302</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198" t="s">
        <v>428</v>
      </c>
      <c r="C30" s="198"/>
      <c r="D30" s="198"/>
      <c r="E30" s="198"/>
      <c r="F30" s="198"/>
    </row>
    <row r="31" spans="2:6" x14ac:dyDescent="0.15">
      <c r="B31" s="165" t="s">
        <v>16</v>
      </c>
      <c r="C31" s="165" t="s">
        <v>347</v>
      </c>
      <c r="D31" s="165" t="s">
        <v>427</v>
      </c>
      <c r="E31" s="165" t="s">
        <v>17</v>
      </c>
      <c r="F31" s="165" t="s">
        <v>302</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198" t="s">
        <v>189</v>
      </c>
      <c r="C37" s="198"/>
      <c r="D37" s="198"/>
      <c r="E37" s="198"/>
      <c r="F37" s="198"/>
    </row>
    <row r="38" spans="2:6" x14ac:dyDescent="0.15">
      <c r="B38" s="165" t="s">
        <v>16</v>
      </c>
      <c r="C38" s="165" t="s">
        <v>347</v>
      </c>
      <c r="D38" s="165" t="s">
        <v>427</v>
      </c>
      <c r="E38" s="165" t="s">
        <v>17</v>
      </c>
      <c r="F38" s="165" t="s">
        <v>302</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198" t="s">
        <v>201</v>
      </c>
      <c r="C42" s="198"/>
      <c r="D42" s="198"/>
      <c r="E42" s="198"/>
      <c r="F42" s="198"/>
    </row>
    <row r="43" spans="2:6" x14ac:dyDescent="0.15">
      <c r="B43" s="165" t="s">
        <v>16</v>
      </c>
      <c r="C43" s="165" t="s">
        <v>347</v>
      </c>
      <c r="D43" s="165" t="s">
        <v>427</v>
      </c>
      <c r="E43" s="165" t="s">
        <v>17</v>
      </c>
      <c r="F43" s="165" t="s">
        <v>302</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198" t="s">
        <v>255</v>
      </c>
      <c r="C48" s="198"/>
      <c r="D48" s="198"/>
      <c r="E48" s="198"/>
      <c r="F48" s="198"/>
    </row>
    <row r="49" spans="2:6" x14ac:dyDescent="0.15">
      <c r="B49" s="165" t="s">
        <v>16</v>
      </c>
      <c r="C49" s="165" t="s">
        <v>347</v>
      </c>
      <c r="D49" s="165" t="s">
        <v>427</v>
      </c>
      <c r="E49" s="165" t="s">
        <v>17</v>
      </c>
      <c r="F49" s="165" t="s">
        <v>302</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198" t="s">
        <v>407</v>
      </c>
      <c r="C52" s="198"/>
      <c r="D52" s="198"/>
      <c r="E52" s="198"/>
      <c r="F52" s="198"/>
    </row>
    <row r="53" spans="2:6" x14ac:dyDescent="0.15">
      <c r="B53" s="165" t="s">
        <v>16</v>
      </c>
      <c r="C53" s="165" t="s">
        <v>347</v>
      </c>
      <c r="D53" s="165" t="s">
        <v>427</v>
      </c>
      <c r="E53" s="165" t="s">
        <v>17</v>
      </c>
      <c r="F53" s="165" t="s">
        <v>302</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198" t="s">
        <v>100</v>
      </c>
      <c r="C60" s="198"/>
      <c r="D60" s="198"/>
      <c r="E60" s="198"/>
      <c r="F60" s="198"/>
    </row>
    <row r="61" spans="2:6" x14ac:dyDescent="0.15">
      <c r="B61" s="165" t="s">
        <v>16</v>
      </c>
      <c r="C61" s="165" t="s">
        <v>347</v>
      </c>
      <c r="D61" s="165" t="s">
        <v>427</v>
      </c>
      <c r="E61" s="165" t="s">
        <v>17</v>
      </c>
      <c r="F61" s="165" t="s">
        <v>302</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198" t="s">
        <v>431</v>
      </c>
      <c r="C66" s="198"/>
      <c r="D66" s="198"/>
      <c r="E66" s="198"/>
      <c r="F66" s="198"/>
    </row>
    <row r="67" spans="2:6" x14ac:dyDescent="0.15">
      <c r="B67" s="165" t="s">
        <v>16</v>
      </c>
      <c r="C67" s="165" t="s">
        <v>347</v>
      </c>
      <c r="D67" s="165" t="s">
        <v>427</v>
      </c>
      <c r="E67" s="165" t="s">
        <v>17</v>
      </c>
      <c r="F67" s="165" t="s">
        <v>302</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2025-11-07T01:34:35Z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