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830"/>
  <workbookPr defaultThemeVersion="124226"/>
  <xr:revisionPtr revIDLastSave="10" documentId="11_53C5532A80EDAE360A46D0602946E25EADD1C82C" xr6:coauthVersionLast="47" xr6:coauthVersionMax="47" xr10:uidLastSave="{C36FAFD7-575C-4D45-8304-1E68D314694D}"/>
  <bookViews>
    <workbookView xWindow="-104" yWindow="-104" windowWidth="29699" windowHeight="12050" xr2:uid="{00000000-000D-0000-FFFF-FFFF00000000}"/>
  </bookViews>
  <sheets>
    <sheet name="每日用粉紀錄表" sheetId="1" r:id="rId1"/>
    <sheet name="當前庫存" sheetId="2" r:id="rId2"/>
    <sheet name="期初庫存" sheetId="3" r:id="rId3"/>
    <sheet name="採購入庫" sheetId="4" r:id="rId4"/>
    <sheet name="烤漆色號編碼" sheetId="5" r:id="rId5"/>
    <sheet name="Sheet1" sheetId="6" r:id="rId6"/>
  </sheets>
  <definedNames>
    <definedName name="_xlnm._FilterDatabase" localSheetId="0" hidden="1">每日用粉紀錄表!$B$3:$R$48</definedName>
    <definedName name="_xlnm._FilterDatabase" hidden="1">#REF!</definedName>
    <definedName name="色號">烤漆色號編碼!$A$2:$A$29</definedName>
    <definedName name="烤漆粉號">烤漆色號編碼!$A$2:$D$29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 i="6" l="1"/>
  <c r="D30" i="6"/>
  <c r="E29" i="6"/>
  <c r="D29" i="6"/>
  <c r="E28" i="6"/>
  <c r="D28" i="6"/>
  <c r="E27" i="6"/>
  <c r="D27" i="6"/>
  <c r="E26" i="6"/>
  <c r="D26" i="6"/>
  <c r="E25" i="6"/>
  <c r="D25" i="6"/>
  <c r="E24" i="6"/>
  <c r="D24" i="6"/>
  <c r="E23" i="6"/>
  <c r="D23" i="6"/>
  <c r="E22" i="6"/>
  <c r="D22" i="6"/>
  <c r="E21" i="6"/>
  <c r="D21" i="6"/>
  <c r="E20" i="6"/>
  <c r="D20" i="6"/>
  <c r="E19" i="6"/>
  <c r="D19" i="6"/>
  <c r="E18" i="6"/>
  <c r="D18" i="6"/>
  <c r="E17" i="6"/>
  <c r="D17" i="6"/>
  <c r="E16" i="6"/>
  <c r="D16" i="6"/>
  <c r="E15" i="6"/>
  <c r="D15" i="6"/>
  <c r="E14" i="6"/>
  <c r="D14" i="6"/>
  <c r="E13" i="6"/>
  <c r="D13" i="6"/>
  <c r="E12" i="6"/>
  <c r="D12" i="6"/>
  <c r="E11" i="6"/>
  <c r="D11" i="6"/>
  <c r="E10" i="6"/>
  <c r="D10" i="6"/>
  <c r="E9" i="6"/>
  <c r="D9" i="6"/>
  <c r="E8" i="6"/>
  <c r="D8" i="6"/>
  <c r="E7" i="6"/>
  <c r="D7" i="6"/>
  <c r="E6" i="6"/>
  <c r="D6" i="6"/>
  <c r="E5" i="6"/>
  <c r="D5" i="6"/>
  <c r="E4" i="6"/>
  <c r="D4" i="6"/>
  <c r="E3" i="6"/>
  <c r="D3" i="6"/>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H30" i="4"/>
  <c r="F30" i="4"/>
  <c r="E30" i="4"/>
  <c r="H29" i="4"/>
  <c r="F29" i="4"/>
  <c r="E29" i="4"/>
  <c r="H28" i="4"/>
  <c r="F28" i="4"/>
  <c r="E28" i="4"/>
  <c r="H27" i="4"/>
  <c r="F27" i="4"/>
  <c r="E27" i="4"/>
  <c r="H26" i="4"/>
  <c r="F26" i="4"/>
  <c r="E26" i="4"/>
  <c r="H25" i="4"/>
  <c r="F25" i="4"/>
  <c r="E25" i="4"/>
  <c r="H24" i="4"/>
  <c r="F24" i="4"/>
  <c r="E24" i="4"/>
  <c r="H23" i="4"/>
  <c r="F23" i="4"/>
  <c r="E23" i="4"/>
  <c r="H22" i="4"/>
  <c r="F22" i="4"/>
  <c r="E22" i="4"/>
  <c r="H21" i="4"/>
  <c r="F21" i="4"/>
  <c r="E21" i="4"/>
  <c r="H20" i="4"/>
  <c r="F20" i="4"/>
  <c r="E20" i="4"/>
  <c r="H19" i="4"/>
  <c r="F19" i="4"/>
  <c r="E19" i="4"/>
  <c r="H18" i="4"/>
  <c r="F18" i="4"/>
  <c r="E18" i="4"/>
  <c r="H17" i="4"/>
  <c r="F17" i="4"/>
  <c r="E17" i="4"/>
  <c r="H16" i="4"/>
  <c r="F16" i="4"/>
  <c r="E16" i="4"/>
  <c r="H15" i="4"/>
  <c r="F15" i="4"/>
  <c r="E15" i="4"/>
  <c r="H14" i="4"/>
  <c r="F14" i="4"/>
  <c r="E14" i="4"/>
  <c r="H13" i="4"/>
  <c r="F13" i="4"/>
  <c r="E13" i="4"/>
  <c r="H12" i="4"/>
  <c r="F12" i="4"/>
  <c r="E12" i="4"/>
  <c r="H11" i="4"/>
  <c r="F11" i="4"/>
  <c r="E11" i="4"/>
  <c r="H10" i="4"/>
  <c r="F10" i="4"/>
  <c r="E10" i="4"/>
  <c r="H9" i="4"/>
  <c r="F9" i="4"/>
  <c r="E9" i="4"/>
  <c r="H8" i="4"/>
  <c r="F8" i="4"/>
  <c r="E8" i="4"/>
  <c r="H7" i="4"/>
  <c r="F7" i="4"/>
  <c r="E7" i="4"/>
  <c r="H6" i="4"/>
  <c r="F6" i="4"/>
  <c r="E6" i="4"/>
  <c r="H5" i="4"/>
  <c r="F5" i="4"/>
  <c r="E5" i="4"/>
  <c r="H4" i="4"/>
  <c r="F4" i="4"/>
  <c r="E4" i="4"/>
  <c r="P83" i="3"/>
  <c r="G83" i="3"/>
  <c r="P82" i="3"/>
  <c r="G82" i="3"/>
  <c r="P81" i="3"/>
  <c r="G81" i="3"/>
  <c r="P80" i="3"/>
  <c r="G80" i="3"/>
  <c r="P79" i="3"/>
  <c r="G79" i="3"/>
  <c r="P78" i="3"/>
  <c r="G78" i="3"/>
  <c r="P77" i="3"/>
  <c r="G77" i="3"/>
  <c r="P76" i="3"/>
  <c r="G76" i="3"/>
  <c r="P75" i="3"/>
  <c r="G75" i="3"/>
  <c r="P74" i="3"/>
  <c r="G74" i="3"/>
  <c r="P73" i="3"/>
  <c r="G73" i="3"/>
  <c r="P72" i="3"/>
  <c r="G72" i="3"/>
  <c r="P71" i="3"/>
  <c r="G71" i="3"/>
  <c r="P70" i="3"/>
  <c r="G70" i="3"/>
  <c r="P69" i="3"/>
  <c r="G69" i="3"/>
  <c r="P68" i="3"/>
  <c r="G68" i="3"/>
  <c r="P67" i="3"/>
  <c r="G67" i="3"/>
  <c r="P66" i="3"/>
  <c r="G66" i="3"/>
  <c r="P65" i="3"/>
  <c r="G65" i="3"/>
  <c r="P64" i="3"/>
  <c r="G64" i="3"/>
  <c r="P63" i="3"/>
  <c r="G63" i="3"/>
  <c r="P62" i="3"/>
  <c r="G62" i="3"/>
  <c r="P61" i="3"/>
  <c r="G61" i="3"/>
  <c r="P60" i="3"/>
  <c r="G60" i="3"/>
  <c r="P59" i="3"/>
  <c r="G59" i="3"/>
  <c r="P58" i="3"/>
  <c r="G58" i="3"/>
  <c r="P57" i="3"/>
  <c r="G57" i="3"/>
  <c r="P56" i="3"/>
  <c r="G56" i="3"/>
  <c r="P55" i="3"/>
  <c r="G55" i="3"/>
  <c r="P54" i="3"/>
  <c r="G54" i="3"/>
  <c r="P53" i="3"/>
  <c r="G53" i="3"/>
  <c r="P52" i="3"/>
  <c r="G52" i="3"/>
  <c r="P51" i="3"/>
  <c r="G51" i="3"/>
  <c r="P50" i="3"/>
  <c r="G50" i="3"/>
  <c r="P49" i="3"/>
  <c r="G49" i="3"/>
  <c r="P48" i="3"/>
  <c r="G48" i="3"/>
  <c r="P47" i="3"/>
  <c r="G47" i="3"/>
  <c r="P46" i="3"/>
  <c r="G46" i="3"/>
  <c r="P45" i="3"/>
  <c r="G45" i="3"/>
  <c r="P44" i="3"/>
  <c r="G44" i="3"/>
  <c r="P43" i="3"/>
  <c r="G43" i="3"/>
  <c r="P42" i="3"/>
  <c r="G42" i="3"/>
  <c r="P41" i="3"/>
  <c r="G41" i="3"/>
  <c r="P40" i="3"/>
  <c r="G40" i="3"/>
  <c r="P39" i="3"/>
  <c r="G39" i="3"/>
  <c r="P38" i="3"/>
  <c r="G38" i="3"/>
  <c r="P37" i="3"/>
  <c r="G37" i="3"/>
  <c r="P36" i="3"/>
  <c r="G36" i="3"/>
  <c r="P35" i="3"/>
  <c r="G35" i="3"/>
  <c r="N34" i="3"/>
  <c r="M34" i="3"/>
  <c r="L34" i="3"/>
  <c r="E34" i="3"/>
  <c r="D34" i="3"/>
  <c r="C34" i="3"/>
  <c r="Q33" i="3"/>
  <c r="N33" i="3"/>
  <c r="M33" i="3"/>
  <c r="L33" i="3"/>
  <c r="H33" i="3"/>
  <c r="E33" i="3"/>
  <c r="D33" i="3"/>
  <c r="C33" i="3"/>
  <c r="Q32" i="3"/>
  <c r="N32" i="3"/>
  <c r="M32" i="3"/>
  <c r="L32" i="3"/>
  <c r="H32" i="3"/>
  <c r="E32" i="3"/>
  <c r="D32" i="3"/>
  <c r="C32" i="3"/>
  <c r="Q31" i="3"/>
  <c r="N31" i="3"/>
  <c r="M31" i="3"/>
  <c r="L31" i="3"/>
  <c r="H31" i="3"/>
  <c r="E31" i="3"/>
  <c r="D31" i="3"/>
  <c r="C31" i="3"/>
  <c r="Q30" i="3"/>
  <c r="N30" i="3"/>
  <c r="M30" i="3"/>
  <c r="L30" i="3"/>
  <c r="H30" i="3"/>
  <c r="E30" i="3"/>
  <c r="D30" i="3"/>
  <c r="C30" i="3"/>
  <c r="Q29" i="3"/>
  <c r="N29" i="3"/>
  <c r="M29" i="3"/>
  <c r="L29" i="3"/>
  <c r="H29" i="3"/>
  <c r="E29" i="3"/>
  <c r="D29" i="3"/>
  <c r="C29" i="3"/>
  <c r="Q28" i="3"/>
  <c r="N28" i="3"/>
  <c r="M28" i="3"/>
  <c r="L28" i="3"/>
  <c r="H28" i="3"/>
  <c r="E28" i="3"/>
  <c r="D28" i="3"/>
  <c r="C28" i="3"/>
  <c r="Q27" i="3"/>
  <c r="N27" i="3"/>
  <c r="M27" i="3"/>
  <c r="L27" i="3"/>
  <c r="H27" i="3"/>
  <c r="E27" i="3"/>
  <c r="D27" i="3"/>
  <c r="C27" i="3"/>
  <c r="Q26" i="3"/>
  <c r="N26" i="3"/>
  <c r="M26" i="3"/>
  <c r="L26" i="3"/>
  <c r="H26" i="3"/>
  <c r="E26" i="3"/>
  <c r="D26" i="3"/>
  <c r="C26" i="3"/>
  <c r="Q25" i="3"/>
  <c r="N25" i="3"/>
  <c r="M25" i="3"/>
  <c r="L25" i="3"/>
  <c r="H25" i="3"/>
  <c r="E25" i="3"/>
  <c r="D25" i="3"/>
  <c r="C25" i="3"/>
  <c r="Q24" i="3"/>
  <c r="N24" i="3"/>
  <c r="M24" i="3"/>
  <c r="L24" i="3"/>
  <c r="H24" i="3"/>
  <c r="E24" i="3"/>
  <c r="D24" i="3"/>
  <c r="C24" i="3"/>
  <c r="Q23" i="3"/>
  <c r="N23" i="3"/>
  <c r="M23" i="3"/>
  <c r="L23" i="3"/>
  <c r="H23" i="3"/>
  <c r="E23" i="3"/>
  <c r="D23" i="3"/>
  <c r="C23" i="3"/>
  <c r="Q22" i="3"/>
  <c r="N22" i="3"/>
  <c r="M22" i="3"/>
  <c r="L22" i="3"/>
  <c r="H22" i="3"/>
  <c r="E22" i="3"/>
  <c r="D22" i="3"/>
  <c r="C22" i="3"/>
  <c r="Q21" i="3"/>
  <c r="N21" i="3"/>
  <c r="M21" i="3"/>
  <c r="L21" i="3"/>
  <c r="H21" i="3"/>
  <c r="E21" i="3"/>
  <c r="D21" i="3"/>
  <c r="C21" i="3"/>
  <c r="Q20" i="3"/>
  <c r="N20" i="3"/>
  <c r="M20" i="3"/>
  <c r="L20" i="3"/>
  <c r="H20" i="3"/>
  <c r="E20" i="3"/>
  <c r="D20" i="3"/>
  <c r="C20" i="3"/>
  <c r="Q19" i="3"/>
  <c r="N19" i="3"/>
  <c r="M19" i="3"/>
  <c r="L19" i="3"/>
  <c r="H19" i="3"/>
  <c r="E19" i="3"/>
  <c r="D19" i="3"/>
  <c r="C19" i="3"/>
  <c r="Q18" i="3"/>
  <c r="N18" i="3"/>
  <c r="M18" i="3"/>
  <c r="L18" i="3"/>
  <c r="H18" i="3"/>
  <c r="E18" i="3"/>
  <c r="D18" i="3"/>
  <c r="C18" i="3"/>
  <c r="Q17" i="3"/>
  <c r="N17" i="3"/>
  <c r="M17" i="3"/>
  <c r="L17" i="3"/>
  <c r="H17" i="3"/>
  <c r="E17" i="3"/>
  <c r="D17" i="3"/>
  <c r="C17" i="3"/>
  <c r="Q16" i="3"/>
  <c r="N16" i="3"/>
  <c r="M16" i="3"/>
  <c r="L16" i="3"/>
  <c r="H16" i="3"/>
  <c r="E16" i="3"/>
  <c r="D16" i="3"/>
  <c r="C16" i="3"/>
  <c r="Q15" i="3"/>
  <c r="N15" i="3"/>
  <c r="M15" i="3"/>
  <c r="L15" i="3"/>
  <c r="H15" i="3"/>
  <c r="E15" i="3"/>
  <c r="D15" i="3"/>
  <c r="C15" i="3"/>
  <c r="Q14" i="3"/>
  <c r="N14" i="3"/>
  <c r="M14" i="3"/>
  <c r="L14" i="3"/>
  <c r="H14" i="3"/>
  <c r="E14" i="3"/>
  <c r="D14" i="3"/>
  <c r="C14" i="3"/>
  <c r="Q13" i="3"/>
  <c r="N13" i="3"/>
  <c r="M13" i="3"/>
  <c r="L13" i="3"/>
  <c r="H13" i="3"/>
  <c r="E13" i="3"/>
  <c r="D13" i="3"/>
  <c r="C13" i="3"/>
  <c r="Q12" i="3"/>
  <c r="N12" i="3"/>
  <c r="M12" i="3"/>
  <c r="L12" i="3"/>
  <c r="H12" i="3"/>
  <c r="E12" i="3"/>
  <c r="D12" i="3"/>
  <c r="C12" i="3"/>
  <c r="Q11" i="3"/>
  <c r="N11" i="3"/>
  <c r="M11" i="3"/>
  <c r="L11" i="3"/>
  <c r="H11" i="3"/>
  <c r="E11" i="3"/>
  <c r="D11" i="3"/>
  <c r="C11" i="3"/>
  <c r="Q10" i="3"/>
  <c r="N10" i="3"/>
  <c r="M10" i="3"/>
  <c r="L10" i="3"/>
  <c r="H10" i="3"/>
  <c r="E10" i="3"/>
  <c r="D10" i="3"/>
  <c r="C10" i="3"/>
  <c r="Q9" i="3"/>
  <c r="N9" i="3"/>
  <c r="M9" i="3"/>
  <c r="L9" i="3"/>
  <c r="H9" i="3"/>
  <c r="E9" i="3"/>
  <c r="D9" i="3"/>
  <c r="C9" i="3"/>
  <c r="Q8" i="3"/>
  <c r="N8" i="3"/>
  <c r="M8" i="3"/>
  <c r="L8" i="3"/>
  <c r="H8" i="3"/>
  <c r="E8" i="3"/>
  <c r="D8" i="3"/>
  <c r="C8" i="3"/>
  <c r="Q7" i="3"/>
  <c r="N7" i="3"/>
  <c r="M7" i="3"/>
  <c r="L7" i="3"/>
  <c r="H7" i="3"/>
  <c r="E7" i="3"/>
  <c r="D7" i="3"/>
  <c r="C7" i="3"/>
  <c r="Q6" i="3"/>
  <c r="N6" i="3"/>
  <c r="M6" i="3"/>
  <c r="L6" i="3"/>
  <c r="H6" i="3"/>
  <c r="E6" i="3"/>
  <c r="D6" i="3"/>
  <c r="C6" i="3"/>
  <c r="Q5" i="3"/>
  <c r="N5" i="3"/>
  <c r="M5" i="3"/>
  <c r="L5" i="3"/>
  <c r="H5" i="3"/>
  <c r="E5" i="3"/>
  <c r="D5" i="3"/>
  <c r="C5" i="3"/>
  <c r="Q4" i="3"/>
  <c r="N4" i="3"/>
  <c r="M4" i="3"/>
  <c r="L4" i="3"/>
  <c r="H4" i="3"/>
  <c r="E4" i="3"/>
  <c r="D4" i="3"/>
  <c r="C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F103" i="2"/>
  <c r="J103" i="2"/>
  <c r="I102" i="2"/>
  <c r="F102" i="2"/>
  <c r="J102" i="2"/>
  <c r="I101" i="2"/>
  <c r="F101" i="2"/>
  <c r="J101" i="2"/>
  <c r="I100" i="2"/>
  <c r="F100" i="2"/>
  <c r="J100" i="2"/>
  <c r="I99" i="2"/>
  <c r="F99" i="2"/>
  <c r="J99" i="2"/>
  <c r="I98" i="2"/>
  <c r="F98" i="2"/>
  <c r="J98" i="2"/>
  <c r="I97" i="2"/>
  <c r="F97" i="2"/>
  <c r="J97" i="2"/>
  <c r="I96" i="2"/>
  <c r="F96" i="2"/>
  <c r="J96" i="2"/>
  <c r="I95" i="2"/>
  <c r="F95" i="2"/>
  <c r="J95" i="2"/>
  <c r="I94" i="2"/>
  <c r="F94" i="2"/>
  <c r="J94" i="2"/>
  <c r="I93" i="2"/>
  <c r="F93" i="2"/>
  <c r="J93" i="2"/>
  <c r="I92" i="2"/>
  <c r="F92" i="2"/>
  <c r="J92" i="2"/>
  <c r="I91" i="2"/>
  <c r="F91" i="2"/>
  <c r="J91" i="2"/>
  <c r="I90" i="2"/>
  <c r="F90" i="2"/>
  <c r="J90" i="2"/>
  <c r="I89" i="2"/>
  <c r="F89" i="2"/>
  <c r="J89" i="2"/>
  <c r="I88" i="2"/>
  <c r="F88" i="2"/>
  <c r="J88" i="2"/>
  <c r="I87" i="2"/>
  <c r="F87" i="2"/>
  <c r="J87" i="2"/>
  <c r="I86" i="2"/>
  <c r="F86" i="2"/>
  <c r="J86" i="2"/>
  <c r="I85" i="2"/>
  <c r="F85" i="2"/>
  <c r="J85" i="2"/>
  <c r="I84" i="2"/>
  <c r="F84" i="2"/>
  <c r="J84" i="2"/>
  <c r="I83" i="2"/>
  <c r="F83" i="2"/>
  <c r="J83" i="2"/>
  <c r="I82" i="2"/>
  <c r="F82" i="2"/>
  <c r="J82" i="2"/>
  <c r="I81" i="2"/>
  <c r="F81" i="2"/>
  <c r="J81" i="2"/>
  <c r="I80" i="2"/>
  <c r="F80" i="2"/>
  <c r="J80" i="2"/>
  <c r="I79" i="2"/>
  <c r="F79" i="2"/>
  <c r="J79" i="2"/>
  <c r="I78" i="2"/>
  <c r="F78" i="2"/>
  <c r="J78" i="2"/>
  <c r="I77" i="2"/>
  <c r="F77" i="2"/>
  <c r="J77" i="2"/>
  <c r="I76" i="2"/>
  <c r="F76" i="2"/>
  <c r="J76" i="2"/>
  <c r="I75" i="2"/>
  <c r="F75" i="2"/>
  <c r="J75" i="2"/>
  <c r="I74" i="2"/>
  <c r="F74" i="2"/>
  <c r="J74" i="2"/>
  <c r="I73" i="2"/>
  <c r="F73" i="2"/>
  <c r="J73" i="2"/>
  <c r="I72" i="2"/>
  <c r="F72" i="2"/>
  <c r="J72" i="2"/>
  <c r="I71" i="2"/>
  <c r="F71" i="2"/>
  <c r="J71" i="2"/>
  <c r="I70" i="2"/>
  <c r="F70" i="2"/>
  <c r="J70" i="2"/>
  <c r="I69" i="2"/>
  <c r="F69" i="2"/>
  <c r="J69" i="2"/>
  <c r="I68" i="2"/>
  <c r="F68" i="2"/>
  <c r="J68" i="2"/>
  <c r="I67" i="2"/>
  <c r="F67" i="2"/>
  <c r="J67" i="2"/>
  <c r="I66" i="2"/>
  <c r="F66" i="2"/>
  <c r="J66" i="2"/>
  <c r="I65" i="2"/>
  <c r="F65" i="2"/>
  <c r="J65" i="2"/>
  <c r="I64" i="2"/>
  <c r="F64" i="2"/>
  <c r="J64" i="2"/>
  <c r="I63" i="2"/>
  <c r="F63" i="2"/>
  <c r="J63" i="2"/>
  <c r="I62" i="2"/>
  <c r="F62" i="2"/>
  <c r="J62" i="2"/>
  <c r="I61" i="2"/>
  <c r="F61" i="2"/>
  <c r="J61" i="2"/>
  <c r="I60" i="2"/>
  <c r="F60" i="2"/>
  <c r="J60" i="2"/>
  <c r="I59" i="2"/>
  <c r="F59" i="2"/>
  <c r="J59" i="2"/>
  <c r="I58" i="2"/>
  <c r="F58" i="2"/>
  <c r="J58" i="2"/>
  <c r="I57" i="2"/>
  <c r="F57" i="2"/>
  <c r="J57" i="2"/>
  <c r="I56" i="2"/>
  <c r="F56" i="2"/>
  <c r="J56" i="2"/>
  <c r="I55" i="2"/>
  <c r="F55" i="2"/>
  <c r="J55" i="2"/>
  <c r="I54" i="2"/>
  <c r="F54" i="2"/>
  <c r="J54" i="2"/>
  <c r="I53" i="2"/>
  <c r="F53" i="2"/>
  <c r="J53" i="2"/>
  <c r="I52" i="2"/>
  <c r="F52" i="2"/>
  <c r="J52" i="2"/>
  <c r="I51" i="2"/>
  <c r="F51" i="2"/>
  <c r="J51" i="2"/>
  <c r="I50" i="2"/>
  <c r="F50" i="2"/>
  <c r="J50" i="2"/>
  <c r="I49" i="2"/>
  <c r="F49" i="2"/>
  <c r="J49" i="2"/>
  <c r="I48" i="2"/>
  <c r="F48" i="2"/>
  <c r="J48" i="2"/>
  <c r="I47" i="2"/>
  <c r="F47" i="2"/>
  <c r="J47" i="2"/>
  <c r="I46" i="2"/>
  <c r="F46" i="2"/>
  <c r="J46" i="2"/>
  <c r="E46" i="2"/>
  <c r="I45" i="2"/>
  <c r="F45" i="2"/>
  <c r="J45" i="2"/>
  <c r="E45" i="2"/>
  <c r="I44" i="2"/>
  <c r="F44" i="2"/>
  <c r="J44" i="2"/>
  <c r="E44" i="2"/>
  <c r="I43" i="2"/>
  <c r="F43" i="2"/>
  <c r="J43" i="2"/>
  <c r="E43" i="2"/>
  <c r="I42" i="2"/>
  <c r="F42" i="2"/>
  <c r="J42" i="2"/>
  <c r="E42" i="2"/>
  <c r="I41" i="2"/>
  <c r="F41" i="2"/>
  <c r="J41" i="2"/>
  <c r="E41" i="2"/>
  <c r="I40" i="2"/>
  <c r="F40" i="2"/>
  <c r="J40" i="2"/>
  <c r="E40" i="2"/>
  <c r="I39" i="2"/>
  <c r="F39" i="2"/>
  <c r="J39" i="2"/>
  <c r="E39" i="2"/>
  <c r="I38" i="2"/>
  <c r="F38" i="2"/>
  <c r="J38" i="2"/>
  <c r="E38" i="2"/>
  <c r="I37" i="2"/>
  <c r="F37" i="2"/>
  <c r="J37" i="2"/>
  <c r="E37" i="2"/>
  <c r="I36" i="2"/>
  <c r="F36" i="2"/>
  <c r="J36" i="2"/>
  <c r="E36" i="2"/>
  <c r="I35" i="2"/>
  <c r="E35" i="2"/>
  <c r="D35" i="2"/>
  <c r="C35" i="2"/>
  <c r="F35" i="2"/>
  <c r="J35" i="2"/>
  <c r="I34" i="2"/>
  <c r="E34" i="2"/>
  <c r="D34" i="2"/>
  <c r="C34" i="2"/>
  <c r="F34" i="2"/>
  <c r="J34" i="2"/>
  <c r="I33" i="2"/>
  <c r="E33" i="2"/>
  <c r="D33" i="2"/>
  <c r="C33" i="2"/>
  <c r="F33" i="2"/>
  <c r="J33" i="2"/>
  <c r="I32" i="2"/>
  <c r="E32" i="2"/>
  <c r="D32" i="2"/>
  <c r="C32" i="2"/>
  <c r="F32" i="2"/>
  <c r="J32" i="2"/>
  <c r="E31" i="2"/>
  <c r="D31" i="2"/>
  <c r="C31" i="2"/>
  <c r="E30" i="2"/>
  <c r="D30" i="2"/>
  <c r="C30" i="2"/>
  <c r="E29" i="2"/>
  <c r="D29" i="2"/>
  <c r="C29" i="2"/>
  <c r="E28" i="2"/>
  <c r="D28" i="2"/>
  <c r="C28" i="2"/>
  <c r="E27" i="2"/>
  <c r="D27" i="2"/>
  <c r="C27" i="2"/>
  <c r="E26" i="2"/>
  <c r="D26" i="2"/>
  <c r="C26" i="2"/>
  <c r="E25" i="2"/>
  <c r="D25" i="2"/>
  <c r="C25" i="2"/>
  <c r="E24" i="2"/>
  <c r="D24" i="2"/>
  <c r="C24" i="2"/>
  <c r="E23" i="2"/>
  <c r="D23" i="2"/>
  <c r="C23" i="2"/>
  <c r="E22" i="2"/>
  <c r="D22" i="2"/>
  <c r="C22" i="2"/>
  <c r="E21" i="2"/>
  <c r="D21" i="2"/>
  <c r="C21" i="2"/>
  <c r="E20" i="2"/>
  <c r="D20" i="2"/>
  <c r="C20" i="2"/>
  <c r="E19" i="2"/>
  <c r="D19" i="2"/>
  <c r="C19" i="2"/>
  <c r="E18" i="2"/>
  <c r="D18" i="2"/>
  <c r="C18" i="2"/>
  <c r="E17" i="2"/>
  <c r="D17" i="2"/>
  <c r="C17" i="2"/>
  <c r="E16" i="2"/>
  <c r="D16" i="2"/>
  <c r="C16" i="2"/>
  <c r="E15" i="2"/>
  <c r="D15" i="2"/>
  <c r="C15" i="2"/>
  <c r="E14" i="2"/>
  <c r="D14" i="2"/>
  <c r="C14" i="2"/>
  <c r="E13" i="2"/>
  <c r="D13" i="2"/>
  <c r="C13" i="2"/>
  <c r="E12" i="2"/>
  <c r="D12" i="2"/>
  <c r="C12" i="2"/>
  <c r="E11" i="2"/>
  <c r="D11" i="2"/>
  <c r="C11" i="2"/>
  <c r="E10" i="2"/>
  <c r="D10" i="2"/>
  <c r="C10" i="2"/>
  <c r="E9" i="2"/>
  <c r="D9" i="2"/>
  <c r="C9" i="2"/>
  <c r="E8" i="2"/>
  <c r="D8" i="2"/>
  <c r="C8" i="2"/>
  <c r="E7" i="2"/>
  <c r="D7" i="2"/>
  <c r="C7" i="2"/>
  <c r="E6" i="2"/>
  <c r="D6" i="2"/>
  <c r="C6" i="2"/>
  <c r="E5" i="2"/>
  <c r="D5" i="2"/>
  <c r="C5" i="2"/>
  <c r="E4" i="2"/>
  <c r="D4" i="2"/>
  <c r="C4" i="2"/>
  <c r="G2" i="2"/>
  <c r="H127" i="1"/>
  <c r="E127" i="1"/>
  <c r="D127" i="1"/>
  <c r="H126" i="1"/>
  <c r="E126" i="1"/>
  <c r="D126" i="1"/>
  <c r="H125" i="1"/>
  <c r="E125" i="1"/>
  <c r="D125" i="1"/>
  <c r="H124" i="1"/>
  <c r="E124" i="1"/>
  <c r="D124" i="1"/>
  <c r="H123" i="1"/>
  <c r="E123" i="1"/>
  <c r="D123" i="1"/>
  <c r="H122" i="1"/>
  <c r="E122" i="1"/>
  <c r="D122" i="1"/>
  <c r="H121" i="1"/>
  <c r="E121" i="1"/>
  <c r="D121" i="1"/>
  <c r="H120" i="1"/>
  <c r="E120" i="1"/>
  <c r="D120" i="1"/>
  <c r="H119" i="1"/>
  <c r="E119" i="1"/>
  <c r="D119" i="1"/>
  <c r="H118" i="1"/>
  <c r="E118" i="1"/>
  <c r="D118" i="1"/>
  <c r="H117" i="1"/>
  <c r="E117" i="1"/>
  <c r="D117" i="1"/>
  <c r="H116" i="1"/>
  <c r="E116" i="1"/>
  <c r="D116" i="1"/>
  <c r="H115" i="1"/>
  <c r="E115" i="1"/>
  <c r="D115" i="1"/>
  <c r="H114" i="1"/>
  <c r="E114" i="1"/>
  <c r="D114" i="1"/>
  <c r="H113" i="1"/>
  <c r="E113" i="1"/>
  <c r="D113" i="1"/>
  <c r="H112" i="1"/>
  <c r="E112" i="1"/>
  <c r="D112" i="1"/>
  <c r="H111" i="1"/>
  <c r="E111" i="1"/>
  <c r="D111" i="1"/>
  <c r="H110" i="1"/>
  <c r="E110" i="1"/>
  <c r="D110" i="1"/>
  <c r="H109" i="1"/>
  <c r="E109" i="1"/>
  <c r="D109" i="1"/>
  <c r="H108" i="1"/>
  <c r="E108" i="1"/>
  <c r="D108" i="1"/>
  <c r="H107" i="1"/>
  <c r="E107" i="1"/>
  <c r="D107" i="1"/>
  <c r="H106" i="1"/>
  <c r="J106" i="1"/>
  <c r="E106" i="1"/>
  <c r="D106" i="1"/>
  <c r="H105" i="1"/>
  <c r="J105" i="1"/>
  <c r="E105" i="1"/>
  <c r="D105" i="1"/>
  <c r="H104" i="1"/>
  <c r="J104" i="1"/>
  <c r="E104" i="1"/>
  <c r="D104" i="1"/>
  <c r="H103" i="1"/>
  <c r="J103" i="1"/>
  <c r="E103" i="1"/>
  <c r="D103" i="1"/>
  <c r="H102" i="1"/>
  <c r="J102" i="1"/>
  <c r="E102" i="1"/>
  <c r="D102" i="1"/>
  <c r="H101" i="1"/>
  <c r="J101" i="1"/>
  <c r="E101" i="1"/>
  <c r="D101" i="1"/>
  <c r="H100" i="1"/>
  <c r="J100" i="1"/>
  <c r="E100" i="1"/>
  <c r="D100" i="1"/>
  <c r="H99" i="1"/>
  <c r="J99" i="1"/>
  <c r="E99" i="1"/>
  <c r="D99" i="1"/>
  <c r="H98" i="1"/>
  <c r="J98" i="1"/>
  <c r="E98" i="1"/>
  <c r="D98" i="1"/>
  <c r="H97" i="1"/>
  <c r="J97" i="1"/>
  <c r="E97" i="1"/>
  <c r="D97" i="1"/>
  <c r="H96" i="1"/>
  <c r="J96" i="1"/>
  <c r="E96" i="1"/>
  <c r="D96" i="1"/>
  <c r="H95" i="1"/>
  <c r="J95" i="1"/>
  <c r="E95" i="1"/>
  <c r="D95" i="1"/>
  <c r="H94" i="1"/>
  <c r="J94" i="1"/>
  <c r="E94" i="1"/>
  <c r="D94" i="1"/>
  <c r="H93" i="1"/>
  <c r="J93" i="1"/>
  <c r="E93" i="1"/>
  <c r="D93" i="1"/>
  <c r="H92" i="1"/>
  <c r="J92" i="1"/>
  <c r="E92" i="1"/>
  <c r="D92" i="1"/>
  <c r="H91" i="1"/>
  <c r="J91" i="1"/>
  <c r="E91" i="1"/>
  <c r="D91" i="1"/>
  <c r="H90" i="1"/>
  <c r="J90" i="1"/>
  <c r="E90" i="1"/>
  <c r="D90" i="1"/>
  <c r="H89" i="1"/>
  <c r="J89" i="1"/>
  <c r="E89" i="1"/>
  <c r="D89" i="1"/>
  <c r="H88" i="1"/>
  <c r="J88" i="1"/>
  <c r="E88" i="1"/>
  <c r="D88" i="1"/>
  <c r="H87" i="1"/>
  <c r="J87" i="1"/>
  <c r="E87" i="1"/>
  <c r="D87" i="1"/>
  <c r="H86" i="1"/>
  <c r="J86" i="1"/>
  <c r="E86" i="1"/>
  <c r="D86" i="1"/>
  <c r="H85" i="1"/>
  <c r="J85" i="1"/>
  <c r="E85" i="1"/>
  <c r="D85" i="1"/>
  <c r="H84" i="1"/>
  <c r="J84" i="1"/>
  <c r="E84" i="1"/>
  <c r="D84" i="1"/>
  <c r="H83" i="1"/>
  <c r="J83" i="1"/>
  <c r="E83" i="1"/>
  <c r="D83" i="1"/>
  <c r="H82" i="1"/>
  <c r="J82" i="1"/>
  <c r="E82" i="1"/>
  <c r="D82" i="1"/>
  <c r="H81" i="1"/>
  <c r="J81" i="1"/>
  <c r="E81" i="1"/>
  <c r="D81" i="1"/>
  <c r="H80" i="1"/>
  <c r="J80" i="1"/>
  <c r="E80" i="1"/>
  <c r="D80" i="1"/>
  <c r="H79" i="1"/>
  <c r="J79" i="1"/>
  <c r="E79" i="1"/>
  <c r="D79" i="1"/>
  <c r="H78" i="1"/>
  <c r="J78" i="1"/>
  <c r="E78" i="1"/>
  <c r="D78" i="1"/>
  <c r="H77" i="1"/>
  <c r="J77" i="1"/>
  <c r="E77" i="1"/>
  <c r="D77" i="1"/>
  <c r="H76" i="1"/>
  <c r="J76" i="1"/>
  <c r="E76" i="1"/>
  <c r="D76" i="1"/>
  <c r="H75" i="1"/>
  <c r="J75" i="1"/>
  <c r="E75" i="1"/>
  <c r="D75" i="1"/>
  <c r="H74" i="1"/>
  <c r="J74" i="1"/>
  <c r="E74" i="1"/>
  <c r="D74" i="1"/>
  <c r="H73" i="1"/>
  <c r="J73" i="1"/>
  <c r="E73" i="1"/>
  <c r="D73" i="1"/>
  <c r="H72" i="1"/>
  <c r="J72" i="1"/>
  <c r="E72" i="1"/>
  <c r="D72" i="1"/>
  <c r="H71" i="1"/>
  <c r="J71" i="1"/>
  <c r="E71" i="1"/>
  <c r="D71" i="1"/>
  <c r="H70" i="1"/>
  <c r="J70" i="1"/>
  <c r="E70" i="1"/>
  <c r="D70" i="1"/>
  <c r="H69" i="1"/>
  <c r="J69" i="1"/>
  <c r="E69" i="1"/>
  <c r="D69" i="1"/>
  <c r="H68" i="1"/>
  <c r="J68" i="1"/>
  <c r="E68" i="1"/>
  <c r="D68" i="1"/>
  <c r="H67" i="1"/>
  <c r="J67" i="1"/>
  <c r="E67" i="1"/>
  <c r="D67" i="1"/>
  <c r="H66" i="1"/>
  <c r="J66" i="1"/>
  <c r="E66" i="1"/>
  <c r="D66" i="1"/>
  <c r="H65" i="1"/>
  <c r="J65" i="1"/>
  <c r="E65" i="1"/>
  <c r="D65" i="1"/>
  <c r="H64" i="1"/>
  <c r="J64" i="1"/>
  <c r="E64" i="1"/>
  <c r="D64" i="1"/>
  <c r="H63" i="1"/>
  <c r="J63" i="1"/>
  <c r="E63" i="1"/>
  <c r="D63" i="1"/>
  <c r="H62" i="1"/>
  <c r="J62" i="1"/>
  <c r="E62" i="1"/>
  <c r="D62" i="1"/>
  <c r="H61" i="1"/>
  <c r="J61" i="1"/>
  <c r="E61" i="1"/>
  <c r="D61" i="1"/>
  <c r="H60" i="1"/>
  <c r="J60" i="1"/>
  <c r="E60" i="1"/>
  <c r="D60" i="1"/>
  <c r="H59" i="1"/>
  <c r="J59" i="1"/>
  <c r="E59" i="1"/>
  <c r="D59" i="1"/>
  <c r="H58" i="1"/>
  <c r="J58" i="1"/>
  <c r="E58" i="1"/>
  <c r="D58" i="1"/>
  <c r="H57" i="1"/>
  <c r="J57" i="1"/>
  <c r="E57" i="1"/>
  <c r="D57" i="1"/>
  <c r="H56" i="1"/>
  <c r="J56" i="1"/>
  <c r="E56" i="1"/>
  <c r="D56" i="1"/>
  <c r="H55" i="1"/>
  <c r="J55" i="1"/>
  <c r="E55" i="1"/>
  <c r="D55" i="1"/>
  <c r="H54" i="1"/>
  <c r="J54" i="1"/>
  <c r="E54" i="1"/>
  <c r="D54" i="1"/>
  <c r="H53" i="1"/>
  <c r="J53" i="1"/>
  <c r="D53" i="1"/>
  <c r="H52" i="1"/>
  <c r="J52" i="1"/>
  <c r="D52" i="1"/>
  <c r="H51" i="1"/>
  <c r="J51" i="1"/>
  <c r="D51" i="1"/>
  <c r="H50" i="1"/>
  <c r="J50" i="1"/>
  <c r="D50" i="1"/>
  <c r="H49" i="1"/>
  <c r="J49" i="1"/>
  <c r="D49" i="1"/>
  <c r="H48" i="1"/>
  <c r="J48" i="1"/>
  <c r="D48" i="1"/>
  <c r="H47" i="1"/>
  <c r="J47" i="1"/>
  <c r="D47" i="1"/>
  <c r="H46" i="1"/>
  <c r="J46" i="1"/>
  <c r="D46" i="1"/>
  <c r="H45" i="1"/>
  <c r="J45" i="1"/>
  <c r="D45" i="1"/>
  <c r="H44" i="1"/>
  <c r="J44" i="1"/>
  <c r="D44" i="1"/>
  <c r="H43" i="1"/>
  <c r="J43" i="1"/>
  <c r="D43" i="1"/>
  <c r="H42" i="1"/>
  <c r="J42" i="1"/>
  <c r="D42" i="1"/>
  <c r="H41" i="1"/>
  <c r="J41" i="1"/>
  <c r="D41" i="1"/>
  <c r="H40" i="1"/>
  <c r="J40" i="1"/>
  <c r="D40" i="1"/>
  <c r="H39" i="1"/>
  <c r="J39" i="1"/>
  <c r="D39" i="1"/>
  <c r="H38" i="1"/>
  <c r="J38" i="1"/>
  <c r="D38" i="1"/>
  <c r="H37" i="1"/>
  <c r="J37" i="1"/>
  <c r="D37" i="1"/>
  <c r="H36" i="1"/>
  <c r="J36" i="1"/>
  <c r="D36" i="1"/>
  <c r="H35" i="1"/>
  <c r="J35" i="1"/>
  <c r="D35" i="1"/>
  <c r="H34" i="1"/>
  <c r="J34" i="1"/>
  <c r="D34" i="1"/>
  <c r="H33" i="1"/>
  <c r="J33" i="1"/>
  <c r="D33" i="1"/>
  <c r="H32" i="1"/>
  <c r="D32" i="1"/>
  <c r="H31" i="1"/>
  <c r="J31" i="1"/>
  <c r="D31" i="1"/>
  <c r="H30" i="1"/>
  <c r="J30" i="1"/>
  <c r="D30" i="1"/>
  <c r="H29" i="1"/>
  <c r="J29" i="1"/>
  <c r="D29" i="1"/>
  <c r="H28" i="1"/>
  <c r="J28" i="1"/>
  <c r="D28" i="1"/>
  <c r="H27" i="1"/>
  <c r="J27" i="1"/>
  <c r="D27" i="1"/>
  <c r="H26" i="1"/>
  <c r="J26" i="1"/>
  <c r="D26" i="1"/>
  <c r="H25" i="1"/>
  <c r="J25" i="1"/>
  <c r="D25" i="1"/>
  <c r="H24" i="1"/>
  <c r="J24" i="1"/>
  <c r="D24" i="1"/>
  <c r="H23" i="1"/>
  <c r="J23" i="1"/>
  <c r="D23" i="1"/>
  <c r="G22" i="1"/>
  <c r="H22" i="1"/>
  <c r="J22" i="1"/>
  <c r="D22" i="1"/>
  <c r="H21" i="1"/>
  <c r="J21" i="1"/>
  <c r="D21" i="1"/>
  <c r="H20" i="1"/>
  <c r="J20" i="1"/>
  <c r="D20" i="1"/>
  <c r="H19" i="1"/>
  <c r="J19" i="1"/>
  <c r="D19" i="1"/>
  <c r="H18" i="1"/>
  <c r="J18" i="1"/>
  <c r="D18" i="1"/>
  <c r="G17" i="1"/>
  <c r="H17" i="1"/>
  <c r="J17" i="1"/>
  <c r="D17" i="1"/>
  <c r="G16" i="1"/>
  <c r="H16" i="1"/>
  <c r="J16" i="1"/>
  <c r="D16" i="1"/>
  <c r="I15" i="1"/>
  <c r="G15" i="1"/>
  <c r="H15" i="1"/>
  <c r="J15" i="1"/>
  <c r="D15" i="1"/>
  <c r="H14" i="1"/>
  <c r="J14" i="1"/>
  <c r="D14" i="1"/>
  <c r="H13" i="1"/>
  <c r="J13" i="1"/>
  <c r="D13" i="1"/>
  <c r="H12" i="1"/>
  <c r="J12" i="1"/>
  <c r="D12" i="1"/>
  <c r="I11" i="1"/>
  <c r="H11" i="1"/>
  <c r="J11" i="1"/>
  <c r="D11" i="1"/>
  <c r="H10" i="1"/>
  <c r="J10" i="1"/>
  <c r="D10" i="1"/>
  <c r="D9" i="1"/>
  <c r="H8" i="1"/>
  <c r="J8" i="1"/>
  <c r="D8" i="1"/>
  <c r="H7" i="1"/>
  <c r="J7" i="1"/>
  <c r="D7" i="1"/>
  <c r="G6" i="1"/>
  <c r="H6" i="1"/>
  <c r="J6" i="1"/>
  <c r="D6" i="1"/>
  <c r="H5" i="1"/>
  <c r="J5" i="1"/>
  <c r="D5" i="1"/>
  <c r="G4" i="1"/>
  <c r="H4" i="1"/>
  <c r="J4" i="1"/>
  <c r="D4" i="1"/>
  <c r="E2" i="1"/>
  <c r="H2" i="2"/>
  <c r="F2" i="1"/>
  <c r="G4" i="2"/>
  <c r="F4" i="2"/>
  <c r="G5" i="2"/>
  <c r="F5" i="2"/>
  <c r="G6" i="2"/>
  <c r="F6" i="2"/>
  <c r="G7" i="2"/>
  <c r="F7" i="2"/>
  <c r="G8" i="2"/>
  <c r="F8" i="2"/>
  <c r="G9" i="2"/>
  <c r="F9" i="2"/>
  <c r="G10" i="2"/>
  <c r="F10" i="2"/>
  <c r="G11" i="2"/>
  <c r="F11" i="2"/>
  <c r="G12" i="2"/>
  <c r="F12" i="2"/>
  <c r="G13" i="2"/>
  <c r="F13" i="2"/>
  <c r="G14" i="2"/>
  <c r="F14" i="2"/>
  <c r="G15" i="2"/>
  <c r="F15" i="2"/>
  <c r="G16" i="2"/>
  <c r="F16" i="2"/>
  <c r="G17" i="2"/>
  <c r="F17" i="2"/>
  <c r="G18" i="2"/>
  <c r="F18" i="2"/>
  <c r="G19" i="2"/>
  <c r="F19" i="2"/>
  <c r="G20" i="2"/>
  <c r="F20" i="2"/>
  <c r="G21" i="2"/>
  <c r="F21" i="2"/>
  <c r="G22" i="2"/>
  <c r="F22" i="2"/>
  <c r="G23" i="2"/>
  <c r="F23" i="2"/>
  <c r="G24" i="2"/>
  <c r="F24" i="2"/>
  <c r="G25" i="2"/>
  <c r="F25" i="2"/>
  <c r="G26" i="2"/>
  <c r="F26" i="2"/>
  <c r="G27" i="2"/>
  <c r="F27" i="2"/>
  <c r="G28" i="2"/>
  <c r="F28" i="2"/>
  <c r="G29" i="2"/>
  <c r="F29" i="2"/>
  <c r="G30" i="2"/>
  <c r="F30" i="2"/>
  <c r="G31" i="2"/>
  <c r="F31" i="2"/>
  <c r="M32" i="2"/>
  <c r="L32" i="2"/>
  <c r="M33" i="2"/>
  <c r="L33" i="2"/>
  <c r="J31" i="2"/>
  <c r="I31" i="2"/>
  <c r="J30" i="2"/>
  <c r="I30" i="2"/>
  <c r="E39" i="1"/>
  <c r="E34" i="1"/>
  <c r="E25" i="1"/>
  <c r="J29" i="2"/>
  <c r="I29" i="2"/>
  <c r="J28" i="2"/>
  <c r="I28" i="2"/>
  <c r="J27" i="2"/>
  <c r="I27" i="2"/>
  <c r="J26" i="2"/>
  <c r="I26" i="2"/>
  <c r="J25" i="2"/>
  <c r="I25" i="2"/>
  <c r="J24" i="2"/>
  <c r="I24" i="2"/>
  <c r="J23" i="2"/>
  <c r="I23" i="2"/>
  <c r="J22" i="2"/>
  <c r="I22" i="2"/>
  <c r="J21" i="2"/>
  <c r="I21" i="2"/>
  <c r="J20" i="2"/>
  <c r="I20" i="2"/>
  <c r="E51" i="1"/>
  <c r="E22" i="1"/>
  <c r="E12" i="1"/>
  <c r="J19" i="2"/>
  <c r="I19" i="2"/>
  <c r="J18" i="2"/>
  <c r="I18" i="2"/>
  <c r="J17" i="2"/>
  <c r="I17" i="2"/>
  <c r="J16" i="2"/>
  <c r="I16" i="2"/>
  <c r="J15" i="2"/>
  <c r="I15" i="2"/>
  <c r="J14" i="2"/>
  <c r="I14" i="2"/>
  <c r="E46" i="1"/>
  <c r="E43" i="1"/>
  <c r="E18" i="1"/>
  <c r="E13" i="1"/>
  <c r="E6" i="1"/>
  <c r="J13" i="2"/>
  <c r="I13" i="2"/>
  <c r="E28" i="1"/>
  <c r="E7" i="1"/>
  <c r="J12" i="2"/>
  <c r="I12" i="2"/>
  <c r="E37" i="1"/>
  <c r="E29" i="1"/>
  <c r="E26" i="1"/>
  <c r="E14" i="1"/>
  <c r="J11" i="2"/>
  <c r="I11" i="2"/>
  <c r="J10" i="2"/>
  <c r="I10" i="2"/>
  <c r="E36" i="1"/>
  <c r="E32" i="1"/>
  <c r="E20" i="1"/>
  <c r="E15" i="1"/>
  <c r="J9" i="2"/>
  <c r="I9" i="2"/>
  <c r="E27" i="1"/>
  <c r="E19" i="1"/>
  <c r="E5" i="1"/>
  <c r="J8" i="2"/>
  <c r="I8" i="2"/>
  <c r="J7" i="2"/>
  <c r="I7" i="2"/>
  <c r="E53" i="1"/>
  <c r="E49" i="1"/>
  <c r="E48" i="1"/>
  <c r="E45" i="1"/>
  <c r="E35" i="1"/>
  <c r="E31" i="1"/>
  <c r="J6" i="2"/>
  <c r="I6" i="2"/>
  <c r="E40" i="1"/>
  <c r="E30" i="1"/>
  <c r="E24" i="1"/>
  <c r="E21" i="1"/>
  <c r="E16" i="1"/>
  <c r="E8" i="1"/>
  <c r="J5" i="2"/>
  <c r="I5" i="2"/>
  <c r="J4" i="2"/>
  <c r="I4" i="2"/>
  <c r="E52" i="1"/>
  <c r="E50" i="1"/>
  <c r="E47" i="1"/>
  <c r="E44" i="1"/>
  <c r="E42" i="1"/>
  <c r="E41" i="1"/>
  <c r="E38" i="1"/>
  <c r="E33" i="1"/>
  <c r="E23" i="1"/>
  <c r="E17" i="1"/>
  <c r="E11" i="1"/>
  <c r="E10" i="1"/>
  <c r="E9" i="1"/>
  <c r="E4" i="1"/>
  <c r="M4" i="2"/>
  <c r="L4" i="2"/>
  <c r="M5" i="2"/>
  <c r="L5" i="2"/>
  <c r="M6" i="2"/>
  <c r="L6" i="2"/>
  <c r="M7" i="2"/>
  <c r="L7" i="2"/>
  <c r="M8" i="2"/>
  <c r="L8" i="2"/>
  <c r="M9" i="2"/>
  <c r="L9" i="2"/>
  <c r="M10" i="2"/>
  <c r="L10" i="2"/>
  <c r="M11" i="2"/>
  <c r="L11" i="2"/>
  <c r="M12" i="2"/>
  <c r="L12" i="2"/>
  <c r="M13" i="2"/>
  <c r="L13" i="2"/>
  <c r="M14" i="2"/>
  <c r="L14" i="2"/>
  <c r="M15" i="2"/>
  <c r="L15" i="2"/>
  <c r="M16" i="2"/>
  <c r="L16" i="2"/>
  <c r="M17" i="2"/>
  <c r="L17" i="2"/>
  <c r="M18" i="2"/>
  <c r="L18" i="2"/>
  <c r="M19" i="2"/>
  <c r="L19" i="2"/>
  <c r="M20" i="2"/>
  <c r="L20" i="2"/>
  <c r="M21" i="2"/>
  <c r="L21" i="2"/>
  <c r="M22" i="2"/>
  <c r="L22" i="2"/>
  <c r="M23" i="2"/>
  <c r="L23" i="2"/>
  <c r="M24" i="2"/>
  <c r="L24" i="2"/>
  <c r="M25" i="2"/>
  <c r="L25" i="2"/>
  <c r="M26" i="2"/>
  <c r="L26" i="2"/>
  <c r="M27" i="2"/>
  <c r="L27" i="2"/>
  <c r="M28" i="2"/>
  <c r="L28" i="2"/>
  <c r="M29" i="2"/>
  <c r="L29" i="2"/>
  <c r="M30" i="2"/>
  <c r="L30" i="2"/>
  <c r="M31" i="2"/>
  <c r="L31" i="2"/>
</calcChain>
</file>

<file path=xl/sharedStrings.xml><?xml version="1.0" encoding="utf-8"?>
<sst xmlns="http://schemas.openxmlformats.org/spreadsheetml/2006/main" count="5444" uniqueCount="160">
  <si>
    <t>紀錄</t>
  </si>
  <si>
    <t>上期紀錄(8)</t>
  </si>
  <si>
    <t>今天：</t>
  </si>
  <si>
    <t>當前庫存</t>
  </si>
  <si>
    <t>期初庫存</t>
  </si>
  <si>
    <t>採購入庫</t>
  </si>
  <si>
    <t>色號編碼</t>
  </si>
  <si>
    <t>日期</t>
  </si>
  <si>
    <t>粉號</t>
  </si>
  <si>
    <t>代號</t>
  </si>
  <si>
    <t>出</t>
  </si>
  <si>
    <t>散粉</t>
  </si>
  <si>
    <t>重量(Kg)</t>
  </si>
  <si>
    <t>回庫</t>
  </si>
  <si>
    <t>實際用粉量</t>
  </si>
  <si>
    <t>烤漆時段</t>
  </si>
  <si>
    <t>烤漆日期</t>
  </si>
  <si>
    <t>回收/不回收</t>
  </si>
  <si>
    <t>備註</t>
  </si>
  <si>
    <t>DP-11485</t>
  </si>
  <si>
    <t>下</t>
  </si>
  <si>
    <t>回收</t>
  </si>
  <si>
    <t>780-310AT</t>
  </si>
  <si>
    <t>上</t>
  </si>
  <si>
    <t>不回收</t>
  </si>
  <si>
    <t>K-91097G</t>
  </si>
  <si>
    <t>EN-402T</t>
  </si>
  <si>
    <t>O-5905</t>
  </si>
  <si>
    <t>借出回庫</t>
  </si>
  <si>
    <t>全</t>
  </si>
  <si>
    <t>O-22170G</t>
  </si>
  <si>
    <t>4950-502</t>
  </si>
  <si>
    <t>1支排勾小構件(未滿1Kg)</t>
  </si>
  <si>
    <t>LT-90442</t>
  </si>
  <si>
    <t>回收當日不良品</t>
  </si>
  <si>
    <t>回收不良品</t>
  </si>
  <si>
    <t>回收9/5剩餘不良品</t>
  </si>
  <si>
    <t>回收9/5號二次不良火山口</t>
  </si>
  <si>
    <t>4900-149</t>
  </si>
  <si>
    <t>小構件×1(未1KG)</t>
  </si>
  <si>
    <r>
      <rPr>
        <sz val="11"/>
        <rFont val="Arial"/>
      </rPr>
      <t>控箱組</t>
    </r>
    <r>
      <rPr>
        <b/>
        <sz val="11"/>
        <color rgb="FF000000"/>
        <rFont val="Arial"/>
      </rPr>
      <t>X5</t>
    </r>
  </si>
  <si>
    <r>
      <rPr>
        <sz val="11"/>
        <rFont val="Arial"/>
      </rPr>
      <t>樣品</t>
    </r>
    <r>
      <rPr>
        <b/>
        <sz val="11"/>
        <color rgb="FF000000"/>
        <rFont val="Arial"/>
      </rPr>
      <t>X4</t>
    </r>
  </si>
  <si>
    <r>
      <rPr>
        <sz val="11"/>
        <rFont val="Arial"/>
      </rPr>
      <t>控箱組</t>
    </r>
  </si>
  <si>
    <t>New O-5905</t>
  </si>
  <si>
    <r>
      <rPr>
        <sz val="11"/>
        <rFont val="Arial"/>
      </rPr>
      <t>新舊粉混合</t>
    </r>
  </si>
  <si>
    <t>回收9/8不良品</t>
  </si>
  <si>
    <t>回收9/8二次塗膜霧化不良品</t>
  </si>
  <si>
    <t>回收上批388上箱體掛鉤不穩造成滑粉</t>
  </si>
  <si>
    <t>回收粉桶內餘粉噴塗</t>
  </si>
  <si>
    <t>回收控箱不良品</t>
  </si>
  <si>
    <t>回收388上箱體X1</t>
  </si>
  <si>
    <t>回收9/14控箱不良品</t>
  </si>
  <si>
    <t>插座蓋</t>
  </si>
  <si>
    <t>回收388門框X6</t>
  </si>
  <si>
    <t>回收控箱門框不良品</t>
  </si>
  <si>
    <t>紀錄表</t>
  </si>
  <si>
    <r>
      <rPr>
        <b/>
        <sz val="11"/>
        <color rgb="FFFFFFFF"/>
        <rFont val="宋体"/>
      </rPr>
      <t>NO:</t>
    </r>
  </si>
  <si>
    <t>色系</t>
  </si>
  <si>
    <t>散粉(KG)</t>
  </si>
  <si>
    <t>安全庫存（設置）</t>
  </si>
  <si>
    <t>購入</t>
  </si>
  <si>
    <t>本期盤點</t>
  </si>
  <si>
    <t>誤差類別</t>
  </si>
  <si>
    <t>誤差值</t>
  </si>
  <si>
    <r>
      <rPr>
        <b/>
        <sz val="10"/>
        <color rgb="FF000000"/>
        <rFont val="宋体"/>
      </rPr>
      <t>-</t>
    </r>
  </si>
  <si>
    <t>-</t>
  </si>
  <si>
    <r>
      <rPr>
        <b/>
        <sz val="10"/>
        <color rgb="FF000000"/>
        <rFont val="宋体"/>
      </rPr>
      <t>否</t>
    </r>
  </si>
  <si>
    <t>期初數量</t>
  </si>
  <si>
    <t>重量(KG)</t>
  </si>
  <si>
    <t>盤點日期</t>
  </si>
  <si>
    <r>
      <rPr>
        <b/>
        <sz val="11"/>
        <color rgb="FFFFFFFF"/>
        <rFont val="宋体"/>
      </rPr>
      <t>日期</t>
    </r>
  </si>
  <si>
    <r>
      <rPr>
        <b/>
        <sz val="11"/>
        <color rgb="FFFFFFFF"/>
        <rFont val="宋体"/>
      </rPr>
      <t>数量</t>
    </r>
  </si>
  <si>
    <r>
      <rPr>
        <b/>
        <sz val="11"/>
        <color rgb="FFFFFFFF"/>
        <rFont val="宋体"/>
      </rPr>
      <t>备注</t>
    </r>
  </si>
  <si>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</si>
  <si>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</si>
  <si>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</si>
  <si>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</si>
  <si>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廠商</t>
  </si>
  <si>
    <t>WE</t>
  </si>
  <si>
    <t>白亮光</t>
  </si>
  <si>
    <t>國麗</t>
  </si>
  <si>
    <t>DP-1856</t>
  </si>
  <si>
    <t>WE1</t>
  </si>
  <si>
    <t>灰白</t>
  </si>
  <si>
    <t>YW</t>
  </si>
  <si>
    <t>黃亮光</t>
  </si>
  <si>
    <t>790-41540H</t>
  </si>
  <si>
    <t>YWH</t>
  </si>
  <si>
    <t>黃錘紋</t>
  </si>
  <si>
    <t>台粉</t>
  </si>
  <si>
    <t>RD</t>
  </si>
  <si>
    <t>紅色</t>
  </si>
  <si>
    <t>國邦</t>
  </si>
  <si>
    <t>BE</t>
  </si>
  <si>
    <t>藍色</t>
  </si>
  <si>
    <t>770-739</t>
  </si>
  <si>
    <t>BEG</t>
  </si>
  <si>
    <t>豔藍-孔雀藍</t>
  </si>
  <si>
    <t>BK</t>
  </si>
  <si>
    <t>黑平光</t>
  </si>
  <si>
    <t>BKH</t>
  </si>
  <si>
    <t>黑錘紋</t>
  </si>
  <si>
    <t>長誠</t>
  </si>
  <si>
    <t>BKS1</t>
  </si>
  <si>
    <t>新黑砂</t>
  </si>
  <si>
    <t>780-45510H</t>
  </si>
  <si>
    <t>BKS</t>
  </si>
  <si>
    <t>黑砂</t>
  </si>
  <si>
    <t>4605-505</t>
  </si>
  <si>
    <t>EBK</t>
  </si>
  <si>
    <t>消光黑</t>
  </si>
  <si>
    <t>O-9850GSNB</t>
  </si>
  <si>
    <t>BKSA</t>
  </si>
  <si>
    <t>黑砂閃銀</t>
  </si>
  <si>
    <t>K-9287S</t>
  </si>
  <si>
    <t>BKSA1</t>
  </si>
  <si>
    <t>黑閃銀</t>
  </si>
  <si>
    <t>EL-0365T</t>
  </si>
  <si>
    <t>IGS</t>
  </si>
  <si>
    <t>鐵灰砂</t>
  </si>
  <si>
    <t>DGS</t>
  </si>
  <si>
    <t>深灰砂</t>
  </si>
  <si>
    <t>O-200SB</t>
  </si>
  <si>
    <t>SAT</t>
  </si>
  <si>
    <t>閃銀</t>
  </si>
  <si>
    <t>K-5257CSB</t>
  </si>
  <si>
    <t>SAT1</t>
  </si>
  <si>
    <t>新閃銀</t>
  </si>
  <si>
    <t>K-4654</t>
  </si>
  <si>
    <t>PEL</t>
  </si>
  <si>
    <t>紫色</t>
  </si>
  <si>
    <t>780-9B65</t>
  </si>
  <si>
    <t>ATG</t>
  </si>
  <si>
    <t>銀灰</t>
  </si>
  <si>
    <t>780-9Q70</t>
  </si>
  <si>
    <t>780-6902</t>
  </si>
  <si>
    <t>GN</t>
  </si>
  <si>
    <t>綠色</t>
  </si>
  <si>
    <t>A-10067</t>
  </si>
  <si>
    <t>OE</t>
  </si>
  <si>
    <t>橘色</t>
  </si>
  <si>
    <t>4605-702A</t>
  </si>
  <si>
    <t>IG</t>
  </si>
  <si>
    <t>鐵灰</t>
  </si>
  <si>
    <t>4900-246</t>
  </si>
  <si>
    <t>GYW</t>
  </si>
  <si>
    <t>鵝黃色</t>
  </si>
  <si>
    <t>PK</t>
  </si>
  <si>
    <t>粉紅色</t>
  </si>
  <si>
    <t>K-5510SCB</t>
  </si>
  <si>
    <t>GSAT</t>
  </si>
  <si>
    <t>黃金閃銀</t>
  </si>
  <si>
    <t>O-5337H</t>
  </si>
  <si>
    <t>E-BY112</t>
  </si>
  <si>
    <t>灰色</t>
  </si>
  <si>
    <t>樹懋</t>
  </si>
  <si>
    <t>預設</t>
  </si>
  <si>
    <t>才數</t>
  </si>
  <si>
    <t>公斤（回收）</t>
  </si>
  <si>
    <t>白板漆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</si>
</sst>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 numFmtId="183" formatCode="0.0"/>
  </numFmts>
  <fonts count="37" x14ac:knownFonts="1">
    <font>
      <sz val="11"/>
      <name val="Arial"/>
    </font>
    <font>
      <sz val="11"/>
      <name val="Arial"/>
    </font>
    <font>
      <b/>
      <sz val="11"/>
      <color rgb="FF000000"/>
      <name val="Arial"/>
      <charset val="1"/>
    </font>
    <font>
      <b/>
      <sz val="11"/>
      <color rgb="FFFF0000"/>
      <name val="Arial"/>
      <charset val="1"/>
    </font>
    <font>
      <b/>
      <sz val="11"/>
      <color rgb="FF36363D"/>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20"/>
      <color rgb="FFFF0000"/>
      <name val="Arial"/>
      <charset val="1"/>
    </font>
    <font>
      <b/>
      <sz val="14"/>
      <color rgb="FFFF0000"/>
      <name val="Arial"/>
      <charset val="1"/>
    </font>
    <font>
      <u/>
      <sz val="11"/>
      <color indexed="20"/>
      <name val="Arial"/>
    </font>
    <font>
      <u/>
      <sz val="11"/>
      <color rgb="FFFF0000"/>
      <name val="Arial"/>
    </font>
    <font>
      <u/>
      <sz val="11"/>
      <color rgb="FF7030A0"/>
      <name val="Arial"/>
    </font>
    <font>
      <b/>
      <sz val="11"/>
      <color rgb="FFFFFFFF"/>
      <name val="Arial"/>
      <charset val="1"/>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u/>
      <sz val="11"/>
      <color theme="10"/>
      <name val="Arial"/>
    </font>
  </fonts>
  <fills count="35">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D0D8E8"/>
      </patternFill>
    </fill>
    <fill>
      <patternFill patternType="solid">
        <fgColor rgb="FFE9EDF4"/>
      </patternFill>
    </fill>
    <fill>
      <patternFill patternType="solid">
        <fgColor rgb="FFE9EDF4"/>
        <bgColor rgb="FFE9EDF4"/>
      </patternFill>
    </fill>
    <fill>
      <patternFill patternType="solid">
        <fgColor rgb="FFD0D8E8"/>
        <bgColor rgb="FFD0D8E8"/>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D0D8E8"/>
        <bgColor rgb="FF00CC00"/>
      </patternFill>
    </fill>
    <fill>
      <patternFill patternType="solid">
        <fgColor rgb="FFD0D8E8"/>
        <bgColor rgb="FFA9D08E"/>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s>
  <borders count="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s>
  <cellStyleXfs count="2">
    <xf numFmtId="0" fontId="0" fillId="0" borderId="0">
      <alignment vertical="center"/>
    </xf>
    <xf numFmtId="0" fontId="36" fillId="0" borderId="0" applyNumberFormat="0" applyFill="0" applyBorder="0" applyAlignment="0" applyProtection="0">
      <alignment vertical="center"/>
    </xf>
  </cellStyleXfs>
  <cellXfs count="162">
    <xf numFmtId="0" fontId="0" fillId="0" borderId="0" xfId="0">
      <alignment vertical="center"/>
    </xf>
    <xf numFmtId="0" fontId="1" fillId="0" borderId="0" xfId="0" applyFont="1">
      <alignment vertical="center"/>
    </xf>
    <xf numFmtId="176" fontId="2" fillId="2"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177" fontId="6"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7"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5" fillId="0" borderId="1" xfId="0" applyFont="1" applyBorder="1" applyAlignment="1">
      <alignment horizontal="center" vertical="center"/>
    </xf>
    <xf numFmtId="180" fontId="5"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6"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0" fontId="8" fillId="6" borderId="0" xfId="0" applyFont="1" applyFill="1">
      <alignment vertical="center"/>
    </xf>
    <xf numFmtId="0" fontId="9" fillId="0" borderId="0" xfId="0" applyFont="1">
      <alignment vertical="center"/>
    </xf>
    <xf numFmtId="176" fontId="10" fillId="7" borderId="0" xfId="0" applyNumberFormat="1" applyFont="1" applyFill="1" applyAlignment="1">
      <alignment horizontal="center" vertical="center"/>
    </xf>
    <xf numFmtId="14" fontId="3" fillId="7" borderId="0" xfId="0" applyNumberFormat="1" applyFont="1" applyFill="1" applyAlignment="1">
      <alignment horizontal="right" vertical="center"/>
    </xf>
    <xf numFmtId="14" fontId="11" fillId="7" borderId="0" xfId="0" applyNumberFormat="1" applyFont="1" applyFill="1" applyAlignment="1">
      <alignment horizontal="center" vertical="center"/>
    </xf>
    <xf numFmtId="0" fontId="11" fillId="7" borderId="0" xfId="0" applyFont="1" applyFill="1" applyAlignment="1">
      <alignment horizontal="center" vertical="center"/>
    </xf>
    <xf numFmtId="0" fontId="3" fillId="7" borderId="0" xfId="0" applyFont="1" applyFill="1" applyAlignment="1">
      <alignment horizontal="center" vertical="center"/>
    </xf>
    <xf numFmtId="0" fontId="12" fillId="7" borderId="0" xfId="0" applyFont="1" applyFill="1" applyAlignment="1">
      <alignment horizontal="center" vertical="center"/>
    </xf>
    <xf numFmtId="0" fontId="13" fillId="7" borderId="0" xfId="0" applyFont="1" applyFill="1" applyAlignment="1">
      <alignment horizontal="center" vertical="center"/>
    </xf>
    <xf numFmtId="177" fontId="14" fillId="7" borderId="0" xfId="0" applyNumberFormat="1" applyFont="1" applyFill="1" applyAlignment="1">
      <alignment horizontal="center" vertical="center"/>
    </xf>
    <xf numFmtId="178" fontId="12" fillId="7" borderId="0" xfId="0" applyNumberFormat="1" applyFont="1" applyFill="1" applyAlignment="1">
      <alignment horizontal="center" vertical="center" wrapText="1"/>
    </xf>
    <xf numFmtId="179" fontId="3" fillId="7" borderId="0" xfId="0" applyNumberFormat="1" applyFont="1" applyFill="1" applyAlignment="1">
      <alignment horizontal="center" vertical="center"/>
    </xf>
    <xf numFmtId="0" fontId="15" fillId="7" borderId="0" xfId="0" applyFont="1" applyFill="1" applyAlignment="1">
      <alignment horizontal="center" vertical="center"/>
    </xf>
    <xf numFmtId="0" fontId="15" fillId="5" borderId="1" xfId="0" applyFont="1" applyFill="1" applyBorder="1" applyAlignment="1">
      <alignment horizontal="center" vertical="center"/>
    </xf>
    <xf numFmtId="0" fontId="15" fillId="6" borderId="1" xfId="0" applyFont="1" applyFill="1" applyBorder="1" applyAlignment="1">
      <alignment horizontal="center" vertical="center"/>
    </xf>
    <xf numFmtId="0" fontId="15" fillId="6" borderId="0" xfId="0" applyFont="1" applyFill="1" applyAlignment="1">
      <alignment horizontal="center" vertical="center"/>
    </xf>
    <xf numFmtId="0" fontId="16" fillId="5" borderId="1" xfId="0" applyFont="1" applyFill="1" applyBorder="1" applyAlignment="1">
      <alignment horizontal="center" vertical="center"/>
    </xf>
    <xf numFmtId="0" fontId="17" fillId="0" borderId="0" xfId="0" applyFont="1" applyAlignment="1">
      <alignment horizontal="center" vertical="center"/>
    </xf>
    <xf numFmtId="176" fontId="16" fillId="8" borderId="4" xfId="0" applyNumberFormat="1" applyFont="1" applyFill="1" applyBorder="1" applyAlignment="1">
      <alignment horizontal="center" vertical="center"/>
    </xf>
    <xf numFmtId="0" fontId="16" fillId="8" borderId="4" xfId="0" applyFont="1" applyFill="1" applyBorder="1" applyAlignment="1">
      <alignment horizontal="center" vertical="center"/>
    </xf>
    <xf numFmtId="177" fontId="16" fillId="8" borderId="4" xfId="0" applyNumberFormat="1" applyFont="1" applyFill="1" applyBorder="1" applyAlignment="1">
      <alignment horizontal="center" vertical="center"/>
    </xf>
    <xf numFmtId="178" fontId="16" fillId="8" borderId="4" xfId="0" applyNumberFormat="1" applyFont="1" applyFill="1" applyBorder="1" applyAlignment="1">
      <alignment horizontal="center" vertical="center" wrapText="1"/>
    </xf>
    <xf numFmtId="0" fontId="16" fillId="5" borderId="2" xfId="0" applyFont="1" applyFill="1" applyBorder="1" applyAlignment="1">
      <alignment horizontal="center" vertical="center"/>
    </xf>
    <xf numFmtId="176" fontId="2" fillId="9" borderId="4" xfId="0" applyNumberFormat="1" applyFont="1" applyFill="1" applyBorder="1" applyAlignment="1">
      <alignment horizontal="center" vertical="center"/>
    </xf>
    <xf numFmtId="0" fontId="2" fillId="9" borderId="4" xfId="0" applyFont="1" applyFill="1" applyBorder="1" applyAlignment="1">
      <alignment horizontal="center" vertical="center"/>
    </xf>
    <xf numFmtId="0" fontId="3" fillId="9" borderId="4" xfId="0" applyFont="1" applyFill="1" applyBorder="1" applyAlignment="1">
      <alignment horizontal="center" vertical="center"/>
    </xf>
    <xf numFmtId="177" fontId="5" fillId="9" borderId="4" xfId="0" applyNumberFormat="1" applyFont="1" applyFill="1" applyBorder="1" applyAlignment="1">
      <alignment horizontal="center" vertical="center"/>
    </xf>
    <xf numFmtId="177" fontId="6" fillId="9" borderId="4" xfId="0" applyNumberFormat="1" applyFont="1" applyFill="1" applyBorder="1" applyAlignment="1">
      <alignment horizontal="center" vertical="center"/>
    </xf>
    <xf numFmtId="178" fontId="2" fillId="9" borderId="4" xfId="0" applyNumberFormat="1" applyFont="1" applyFill="1" applyBorder="1" applyAlignment="1">
      <alignment horizontal="center" vertical="center" wrapText="1"/>
    </xf>
    <xf numFmtId="179" fontId="3" fillId="9" borderId="4" xfId="0" applyNumberFormat="1" applyFont="1" applyFill="1" applyBorder="1" applyAlignment="1">
      <alignment horizontal="center" vertical="center"/>
    </xf>
    <xf numFmtId="176" fontId="2" fillId="10" borderId="4" xfId="0" applyNumberFormat="1" applyFont="1" applyFill="1" applyBorder="1" applyAlignment="1">
      <alignment horizontal="center" vertical="center"/>
    </xf>
    <xf numFmtId="0" fontId="2" fillId="10" borderId="4" xfId="0" applyFont="1" applyFill="1" applyBorder="1" applyAlignment="1">
      <alignment horizontal="center" vertical="center"/>
    </xf>
    <xf numFmtId="0" fontId="3" fillId="10" borderId="4" xfId="0" applyFont="1" applyFill="1" applyBorder="1" applyAlignment="1">
      <alignment horizontal="center" vertical="center"/>
    </xf>
    <xf numFmtId="177" fontId="5" fillId="10" borderId="4" xfId="0" applyNumberFormat="1" applyFont="1" applyFill="1" applyBorder="1" applyAlignment="1">
      <alignment horizontal="center" vertical="center"/>
    </xf>
    <xf numFmtId="177" fontId="6" fillId="10" borderId="4" xfId="0" applyNumberFormat="1" applyFont="1" applyFill="1" applyBorder="1" applyAlignment="1">
      <alignment horizontal="center" vertical="center"/>
    </xf>
    <xf numFmtId="178" fontId="2" fillId="10" borderId="4" xfId="0" applyNumberFormat="1" applyFont="1" applyFill="1" applyBorder="1" applyAlignment="1">
      <alignment horizontal="center" vertical="center" wrapText="1"/>
    </xf>
    <xf numFmtId="179" fontId="3" fillId="10" borderId="4" xfId="0" applyNumberFormat="1" applyFont="1" applyFill="1" applyBorder="1" applyAlignment="1">
      <alignment horizontal="center" vertical="center"/>
    </xf>
    <xf numFmtId="180" fontId="3" fillId="9" borderId="4" xfId="0" applyNumberFormat="1" applyFont="1" applyFill="1" applyBorder="1" applyAlignment="1">
      <alignment horizontal="center" vertical="center"/>
    </xf>
    <xf numFmtId="0" fontId="5" fillId="10" borderId="4" xfId="0" applyFont="1" applyFill="1" applyBorder="1" applyAlignment="1">
      <alignment horizontal="center" vertical="center"/>
    </xf>
    <xf numFmtId="0" fontId="5" fillId="9" borderId="4" xfId="0" applyFont="1" applyFill="1" applyBorder="1" applyAlignment="1">
      <alignment horizontal="center" vertical="center"/>
    </xf>
    <xf numFmtId="14" fontId="18" fillId="13" borderId="0" xfId="0" applyNumberFormat="1" applyFont="1" applyFill="1" applyAlignment="1">
      <alignment horizontal="center" vertical="center"/>
    </xf>
    <xf numFmtId="0" fontId="19" fillId="5" borderId="0" xfId="0" applyFont="1" applyFill="1" applyAlignment="1">
      <alignment horizontal="left" vertical="center"/>
    </xf>
    <xf numFmtId="0" fontId="18" fillId="4" borderId="0" xfId="0" applyFont="1" applyFill="1" applyAlignment="1">
      <alignment horizontal="center" vertical="center"/>
    </xf>
    <xf numFmtId="0" fontId="7" fillId="4" borderId="0" xfId="0" applyFont="1" applyFill="1">
      <alignment vertical="center"/>
    </xf>
    <xf numFmtId="0" fontId="18" fillId="4" borderId="0" xfId="0" applyFont="1" applyFill="1">
      <alignment vertical="center"/>
    </xf>
    <xf numFmtId="0" fontId="20" fillId="4" borderId="0" xfId="0" applyFont="1" applyFill="1">
      <alignment vertical="center"/>
    </xf>
    <xf numFmtId="0" fontId="21" fillId="13" borderId="0" xfId="0" applyFont="1" applyFill="1">
      <alignment vertical="center"/>
    </xf>
    <xf numFmtId="0" fontId="9" fillId="13" borderId="0" xfId="0" applyFont="1" applyFill="1">
      <alignment vertical="center"/>
    </xf>
    <xf numFmtId="0" fontId="9" fillId="14" borderId="0" xfId="0" applyFont="1" applyFill="1" applyAlignment="1">
      <alignment horizontal="center" vertical="center"/>
    </xf>
    <xf numFmtId="0" fontId="8" fillId="14" borderId="0" xfId="0" applyFont="1" applyFill="1" applyAlignment="1">
      <alignment horizontal="center" vertical="center"/>
    </xf>
    <xf numFmtId="0" fontId="9" fillId="13" borderId="0" xfId="0" applyFont="1" applyFill="1" applyAlignment="1">
      <alignment horizontal="center" vertical="center"/>
    </xf>
    <xf numFmtId="0" fontId="19" fillId="13" borderId="0" xfId="0" applyFont="1" applyFill="1" applyAlignment="1">
      <alignment horizontal="center" vertical="center"/>
    </xf>
    <xf numFmtId="0" fontId="19" fillId="13" borderId="0" xfId="0" applyFont="1" applyFill="1">
      <alignment vertical="center"/>
    </xf>
    <xf numFmtId="0" fontId="19" fillId="6" borderId="0" xfId="0" applyFont="1" applyFill="1" applyAlignment="1">
      <alignment horizontal="center" vertical="center"/>
    </xf>
    <xf numFmtId="181" fontId="22" fillId="15" borderId="0" xfId="0" applyNumberFormat="1" applyFont="1" applyFill="1" applyAlignment="1">
      <alignment horizontal="center" vertical="center"/>
    </xf>
    <xf numFmtId="181" fontId="12" fillId="15" borderId="0" xfId="0" applyNumberFormat="1" applyFont="1" applyFill="1" applyAlignment="1">
      <alignment horizontal="center" vertical="center"/>
    </xf>
    <xf numFmtId="181" fontId="23" fillId="16" borderId="0" xfId="0" applyNumberFormat="1" applyFont="1" applyFill="1" applyAlignment="1">
      <alignment horizontal="center" vertical="center"/>
    </xf>
    <xf numFmtId="181" fontId="24" fillId="15" borderId="0" xfId="0" applyNumberFormat="1" applyFont="1" applyFill="1" applyAlignment="1">
      <alignment horizontal="center" vertical="center"/>
    </xf>
    <xf numFmtId="0" fontId="19" fillId="7" borderId="0" xfId="0" applyFont="1" applyFill="1" applyAlignment="1">
      <alignment horizontal="center" vertical="center"/>
    </xf>
    <xf numFmtId="0" fontId="9" fillId="6" borderId="0" xfId="0" applyFont="1" applyFill="1">
      <alignment vertical="center"/>
    </xf>
    <xf numFmtId="0" fontId="9" fillId="6" borderId="0" xfId="0" applyFont="1" applyFill="1" applyAlignment="1">
      <alignment horizontal="center" vertical="center"/>
    </xf>
    <xf numFmtId="0" fontId="21" fillId="5" borderId="0" xfId="0" applyFont="1" applyFill="1">
      <alignment vertical="center"/>
    </xf>
    <xf numFmtId="0" fontId="9" fillId="8" borderId="4" xfId="0" applyFont="1" applyFill="1" applyBorder="1">
      <alignment vertical="center"/>
    </xf>
    <xf numFmtId="0" fontId="25" fillId="17" borderId="4" xfId="0" applyFont="1" applyFill="1" applyBorder="1" applyAlignment="1">
      <alignment horizontal="center" vertical="center"/>
    </xf>
    <xf numFmtId="0" fontId="9" fillId="8" borderId="4" xfId="0" applyFont="1" applyFill="1" applyBorder="1" applyAlignment="1">
      <alignment horizontal="center" vertical="center"/>
    </xf>
    <xf numFmtId="0" fontId="19" fillId="5" borderId="0" xfId="0" applyFont="1" applyFill="1" applyAlignment="1">
      <alignment horizontal="center" vertical="center"/>
    </xf>
    <xf numFmtId="0" fontId="19" fillId="5" borderId="0" xfId="0" applyFont="1" applyFill="1">
      <alignment vertical="center"/>
    </xf>
    <xf numFmtId="0" fontId="26" fillId="18" borderId="4" xfId="0" applyFont="1" applyFill="1" applyBorder="1" applyAlignment="1">
      <alignment horizontal="center" vertical="center"/>
    </xf>
    <xf numFmtId="0" fontId="27" fillId="19" borderId="4" xfId="0" applyFont="1" applyFill="1" applyBorder="1" applyAlignment="1">
      <alignment horizontal="center" vertical="center"/>
    </xf>
    <xf numFmtId="0" fontId="28" fillId="19" borderId="4" xfId="0" applyFont="1" applyFill="1" applyBorder="1" applyAlignment="1">
      <alignment horizontal="center" vertical="center"/>
    </xf>
    <xf numFmtId="182" fontId="27" fillId="19" borderId="4" xfId="0" applyNumberFormat="1" applyFont="1" applyFill="1" applyBorder="1" applyAlignment="1">
      <alignment horizontal="center" vertical="center"/>
    </xf>
    <xf numFmtId="0" fontId="29" fillId="9" borderId="4" xfId="0" applyFont="1" applyFill="1" applyBorder="1" applyAlignment="1">
      <alignment horizontal="center" vertical="center"/>
    </xf>
    <xf numFmtId="0" fontId="29" fillId="9" borderId="4" xfId="0" applyFont="1" applyFill="1" applyBorder="1">
      <alignment vertical="center"/>
    </xf>
    <xf numFmtId="0" fontId="26" fillId="20" borderId="4" xfId="0" applyFont="1" applyFill="1" applyBorder="1" applyAlignment="1">
      <alignment horizontal="center" vertical="center"/>
    </xf>
    <xf numFmtId="0" fontId="27" fillId="21" borderId="4" xfId="0" applyFont="1" applyFill="1" applyBorder="1" applyAlignment="1">
      <alignment horizontal="center" vertical="center"/>
    </xf>
    <xf numFmtId="0" fontId="28" fillId="21" borderId="4" xfId="0" applyFont="1" applyFill="1" applyBorder="1" applyAlignment="1">
      <alignment horizontal="center" vertical="center"/>
    </xf>
    <xf numFmtId="182" fontId="27" fillId="21" borderId="4" xfId="0" applyNumberFormat="1" applyFont="1" applyFill="1" applyBorder="1" applyAlignment="1">
      <alignment horizontal="center" vertical="center"/>
    </xf>
    <xf numFmtId="0" fontId="29" fillId="10" borderId="4" xfId="0" applyFont="1" applyFill="1" applyBorder="1" applyAlignment="1">
      <alignment horizontal="center" vertical="center"/>
    </xf>
    <xf numFmtId="0" fontId="29" fillId="10" borderId="4" xfId="0" applyFont="1" applyFill="1" applyBorder="1">
      <alignment vertical="center"/>
    </xf>
    <xf numFmtId="0" fontId="29" fillId="21" borderId="4" xfId="0" applyFont="1" applyFill="1" applyBorder="1" applyAlignment="1">
      <alignment horizontal="center" vertical="center"/>
    </xf>
    <xf numFmtId="0" fontId="29" fillId="19" borderId="4" xfId="0" applyFont="1" applyFill="1" applyBorder="1" applyAlignment="1">
      <alignment horizontal="center" vertical="center"/>
    </xf>
    <xf numFmtId="0" fontId="27" fillId="22" borderId="5" xfId="0" applyFont="1" applyFill="1" applyBorder="1" applyAlignment="1">
      <alignment horizontal="center" vertical="center"/>
    </xf>
    <xf numFmtId="0" fontId="7" fillId="22" borderId="5" xfId="0" applyFont="1" applyFill="1" applyBorder="1" applyAlignment="1">
      <alignment horizontal="center" vertical="center"/>
    </xf>
    <xf numFmtId="182" fontId="27" fillId="22" borderId="5" xfId="0" applyNumberFormat="1" applyFont="1" applyFill="1" applyBorder="1" applyAlignment="1">
      <alignment horizontal="center" vertical="center"/>
    </xf>
    <xf numFmtId="0" fontId="25" fillId="23" borderId="4" xfId="0" applyFont="1" applyFill="1" applyBorder="1" applyAlignment="1">
      <alignment horizontal="center" vertical="center"/>
    </xf>
    <xf numFmtId="0" fontId="9" fillId="24" borderId="0" xfId="0" applyFont="1" applyFill="1" applyAlignment="1">
      <alignment horizontal="center" vertical="center"/>
    </xf>
    <xf numFmtId="0" fontId="7" fillId="26" borderId="5" xfId="0" applyFont="1" applyFill="1" applyBorder="1" applyAlignment="1">
      <alignment horizontal="center" vertical="center"/>
    </xf>
    <xf numFmtId="0" fontId="7" fillId="25" borderId="0" xfId="0" applyFont="1" applyFill="1" applyAlignment="1">
      <alignment horizontal="center" vertical="center"/>
    </xf>
    <xf numFmtId="0" fontId="7" fillId="0" borderId="0" xfId="0" applyFont="1">
      <alignment vertical="center"/>
    </xf>
    <xf numFmtId="0" fontId="8" fillId="0" borderId="0" xfId="0" applyFont="1">
      <alignment vertical="center"/>
    </xf>
    <xf numFmtId="0" fontId="8" fillId="27" borderId="0" xfId="0" applyFont="1" applyFill="1" applyAlignment="1">
      <alignment horizontal="center" vertical="center"/>
    </xf>
    <xf numFmtId="0" fontId="7" fillId="27" borderId="0" xfId="0" applyFont="1" applyFill="1" applyAlignment="1">
      <alignment horizontal="center" vertical="center"/>
    </xf>
    <xf numFmtId="181" fontId="8" fillId="15" borderId="0" xfId="0" applyNumberFormat="1" applyFont="1" applyFill="1" applyAlignment="1">
      <alignment horizontal="center" vertical="center"/>
    </xf>
    <xf numFmtId="181" fontId="7" fillId="15" borderId="0" xfId="0" applyNumberFormat="1" applyFont="1" applyFill="1" applyAlignment="1">
      <alignment horizontal="center" vertical="center"/>
    </xf>
    <xf numFmtId="0" fontId="8" fillId="17" borderId="4" xfId="0" applyFont="1" applyFill="1" applyBorder="1" applyAlignment="1">
      <alignment horizontal="center" vertical="center"/>
    </xf>
    <xf numFmtId="0" fontId="8" fillId="28" borderId="0" xfId="0" applyFont="1" applyFill="1">
      <alignment vertical="center"/>
    </xf>
    <xf numFmtId="178" fontId="9" fillId="29" borderId="4" xfId="0" applyNumberFormat="1" applyFont="1" applyFill="1" applyBorder="1" applyAlignment="1">
      <alignment horizontal="center" vertical="center"/>
    </xf>
    <xf numFmtId="0" fontId="7" fillId="30" borderId="5" xfId="0" applyFont="1" applyFill="1" applyBorder="1" applyAlignment="1">
      <alignment horizontal="center" vertical="center"/>
    </xf>
    <xf numFmtId="0" fontId="7" fillId="31" borderId="5" xfId="0" applyFont="1" applyFill="1" applyBorder="1" applyAlignment="1">
      <alignment horizontal="center" vertical="center"/>
    </xf>
    <xf numFmtId="176" fontId="7" fillId="0" borderId="0" xfId="0" applyNumberFormat="1" applyFont="1">
      <alignment vertical="center"/>
    </xf>
    <xf numFmtId="176" fontId="7" fillId="27" borderId="0" xfId="0" applyNumberFormat="1" applyFont="1" applyFill="1" applyAlignment="1">
      <alignment horizontal="center" vertical="center"/>
    </xf>
    <xf numFmtId="181" fontId="30" fillId="15" borderId="0" xfId="0" applyNumberFormat="1" applyFont="1" applyFill="1" applyAlignment="1">
      <alignment horizontal="center" vertical="center"/>
    </xf>
    <xf numFmtId="176" fontId="8" fillId="17" borderId="4" xfId="0" applyNumberFormat="1" applyFont="1" applyFill="1" applyBorder="1" applyAlignment="1">
      <alignment horizontal="center" vertical="center"/>
    </xf>
    <xf numFmtId="176" fontId="28" fillId="19" borderId="4" xfId="0" applyNumberFormat="1" applyFont="1" applyFill="1" applyBorder="1" applyAlignment="1">
      <alignment horizontal="center" vertical="center"/>
    </xf>
    <xf numFmtId="176" fontId="28" fillId="21" borderId="4" xfId="0" applyNumberFormat="1" applyFont="1" applyFill="1" applyBorder="1" applyAlignment="1">
      <alignment horizontal="center" vertical="center"/>
    </xf>
    <xf numFmtId="0" fontId="8" fillId="31" borderId="4" xfId="0" applyFont="1" applyFill="1" applyBorder="1" applyAlignment="1">
      <alignment horizontal="center" vertical="center"/>
    </xf>
    <xf numFmtId="176" fontId="7" fillId="30" borderId="5" xfId="0" applyNumberFormat="1" applyFont="1" applyFill="1" applyBorder="1" applyAlignment="1">
      <alignment horizontal="center" vertical="center"/>
    </xf>
    <xf numFmtId="0" fontId="18" fillId="0" borderId="0" xfId="0" applyFont="1" applyAlignment="1">
      <alignment horizontal="center" vertical="center"/>
    </xf>
    <xf numFmtId="0" fontId="31" fillId="0" borderId="0" xfId="0" applyFont="1" applyAlignment="1">
      <alignment horizontal="center" vertical="center"/>
    </xf>
    <xf numFmtId="0" fontId="32" fillId="32" borderId="4" xfId="0" applyFont="1" applyFill="1" applyBorder="1" applyAlignment="1">
      <alignment horizontal="center" vertical="center"/>
    </xf>
    <xf numFmtId="0" fontId="18" fillId="33" borderId="4" xfId="0" applyFont="1" applyFill="1" applyBorder="1" applyAlignment="1">
      <alignment horizontal="center" vertical="center"/>
    </xf>
    <xf numFmtId="0" fontId="18" fillId="34" borderId="4" xfId="0" applyFont="1" applyFill="1" applyBorder="1" applyAlignment="1">
      <alignment horizontal="center" vertical="center"/>
    </xf>
    <xf numFmtId="0" fontId="33" fillId="33" borderId="4" xfId="0" applyFont="1" applyFill="1" applyBorder="1" applyAlignment="1">
      <alignment horizontal="center" vertical="center"/>
    </xf>
    <xf numFmtId="0" fontId="33" fillId="34" borderId="4" xfId="0" applyFont="1" applyFill="1" applyBorder="1" applyAlignment="1">
      <alignment horizontal="center" vertical="center"/>
    </xf>
    <xf numFmtId="0" fontId="12" fillId="0" borderId="0" xfId="0" applyFont="1" applyAlignment="1">
      <alignment horizontal="center" vertical="center"/>
    </xf>
    <xf numFmtId="0" fontId="34" fillId="0" borderId="0" xfId="0" applyFont="1" applyAlignment="1">
      <alignment horizontal="center" vertical="center"/>
    </xf>
    <xf numFmtId="0" fontId="35" fillId="0" borderId="0" xfId="0" applyFont="1" applyAlignment="1">
      <alignment horizontal="center" vertical="center"/>
    </xf>
    <xf numFmtId="0" fontId="1" fillId="5" borderId="1" xfId="0" applyFont="1" applyFill="1" applyBorder="1">
      <alignment vertical="center"/>
    </xf>
    <xf numFmtId="0" fontId="1" fillId="0" borderId="1" xfId="0" applyFont="1" applyBorder="1">
      <alignment vertical="center"/>
    </xf>
    <xf numFmtId="178" fontId="1" fillId="11" borderId="4" xfId="0" applyNumberFormat="1" applyFont="1" applyFill="1" applyBorder="1" applyAlignment="1">
      <alignment horizontal="center" vertical="center" wrapText="1"/>
    </xf>
    <xf numFmtId="178" fontId="1" fillId="12" borderId="4" xfId="0" applyNumberFormat="1" applyFont="1" applyFill="1" applyBorder="1" applyAlignment="1">
      <alignment horizontal="center" vertical="center" wrapText="1"/>
    </xf>
    <xf numFmtId="0" fontId="1" fillId="13" borderId="0" xfId="0" applyFont="1" applyFill="1">
      <alignment vertical="center"/>
    </xf>
    <xf numFmtId="0" fontId="1" fillId="22" borderId="5" xfId="0"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1" fillId="25" borderId="0" xfId="0" applyFont="1" applyFill="1" applyAlignment="1">
      <alignment horizontal="center" vertical="center"/>
    </xf>
    <xf numFmtId="0" fontId="1" fillId="0" borderId="0" xfId="0" applyFont="1" applyAlignment="1">
      <alignment horizontal="center" vertical="center"/>
    </xf>
    <xf numFmtId="2" fontId="29" fillId="9" borderId="4" xfId="0" applyNumberFormat="1" applyFont="1" applyFill="1" applyBorder="1" applyAlignment="1">
      <alignment horizontal="center" vertical="center"/>
    </xf>
    <xf numFmtId="183" fontId="29" fillId="9" borderId="4" xfId="0" applyNumberFormat="1" applyFont="1" applyFill="1" applyBorder="1" applyAlignment="1">
      <alignment horizontal="center" vertical="center"/>
    </xf>
    <xf numFmtId="2" fontId="29" fillId="10" borderId="4" xfId="0" applyNumberFormat="1" applyFont="1" applyFill="1" applyBorder="1" applyAlignment="1">
      <alignment horizontal="center" vertical="center"/>
    </xf>
    <xf numFmtId="183" fontId="29" fillId="10" borderId="4" xfId="0" applyNumberFormat="1" applyFont="1" applyFill="1" applyBorder="1" applyAlignment="1">
      <alignment horizontal="center" vertical="center"/>
    </xf>
    <xf numFmtId="0" fontId="36" fillId="7" borderId="0" xfId="1" applyFill="1">
      <alignment vertical="center"/>
    </xf>
    <xf numFmtId="0" fontId="2" fillId="10" borderId="4" xfId="0" applyFont="1" applyFill="1" applyBorder="1" applyAlignment="1">
      <alignment horizontal="center" vertical="center"/>
    </xf>
    <xf numFmtId="0" fontId="2" fillId="9" borderId="4" xfId="0" applyFont="1" applyFill="1" applyBorder="1" applyAlignment="1">
      <alignment horizontal="center" vertical="center"/>
    </xf>
    <xf numFmtId="0" fontId="8" fillId="31" borderId="5" xfId="0" applyFont="1" applyFill="1" applyBorder="1" applyAlignment="1">
      <alignment horizontal="center" vertical="center"/>
    </xf>
    <xf numFmtId="176" fontId="7" fillId="31" borderId="5" xfId="0" applyNumberFormat="1" applyFont="1" applyFill="1" applyBorder="1" applyAlignment="1">
      <alignment horizontal="center" vertical="center"/>
    </xf>
    <xf numFmtId="0" fontId="7" fillId="31" borderId="5" xfId="0" applyFont="1" applyFill="1" applyBorder="1" applyAlignment="1">
      <alignment horizontal="center" vertical="center"/>
    </xf>
  </cellXfs>
  <cellStyles count="2">
    <cellStyle name="Hyperlink" xfId="1" xr:uid="{00000000-000B-0000-0000-000008000000}"/>
    <cellStyle name="一般" xfId="0" builtinId="0"/>
  </cellStyles>
  <dxfs count="16">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 /><Relationship Id="rId3" Type="http://schemas.openxmlformats.org/officeDocument/2006/relationships/worksheet" Target="worksheets/sheet3.xml" /><Relationship Id="rId7" Type="http://schemas.openxmlformats.org/officeDocument/2006/relationships/theme" Target="theme/theme1.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www.wps.cn/officeDocument/2020/cellImage" Target="NULL" /><Relationship Id="rId5" Type="http://schemas.openxmlformats.org/officeDocument/2006/relationships/worksheet" Target="worksheets/sheet5.xml" /><Relationship Id="rId10"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sharedStrings" Target="sharedStrings.xml"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1drv.ms/x/s!Aoc8QfNsyxDTg3PPHE4dMwwTRLsX" TargetMode="Externa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290"/>
  <sheetViews>
    <sheetView tabSelected="1" zoomScale="79" workbookViewId="0">
      <pane ySplit="3" topLeftCell="A4" activePane="bottomLeft" state="frozen"/>
      <selection activeCell="B1" sqref="B1"/>
      <selection pane="bottomLeft" activeCell="I13" sqref="I13"/>
    </sheetView>
  </sheetViews>
  <sheetFormatPr defaultColWidth="10.05078125" defaultRowHeight="13.5" x14ac:dyDescent="0.15"/>
  <cols>
    <col min="1" max="1" width="2.6953125" style="1" customWidth="1"/>
    <col min="2" max="2" width="9.9296875" style="2" customWidth="1"/>
    <col min="3" max="3" width="12.13671875" style="3" customWidth="1"/>
    <col min="4" max="4" width="5.515625" style="4" customWidth="1"/>
    <col min="5" max="5" width="12.87109375" style="3" customWidth="1"/>
    <col min="6" max="6" width="6.37109375" style="5" customWidth="1"/>
    <col min="7" max="7" width="6.12890625" style="6" customWidth="1"/>
    <col min="8" max="8" width="6.86328125" style="7" customWidth="1"/>
    <col min="9" max="9" width="7.4765625" style="8" customWidth="1"/>
    <col min="10" max="10" width="12.13671875" style="6" customWidth="1"/>
    <col min="11" max="11" width="12.9921875" style="9" customWidth="1"/>
    <col min="12" max="12" width="21.0859375" style="10" customWidth="1"/>
    <col min="13" max="13" width="13.1171875" style="11" customWidth="1"/>
    <col min="14" max="14" width="8.08984375" style="12" customWidth="1"/>
    <col min="15" max="15" width="10.05078125" style="12" customWidth="1"/>
    <col min="16" max="16" width="9.0703125" style="13" customWidth="1"/>
    <col min="17" max="32" width="10.05078125" style="13" customWidth="1"/>
    <col min="33" max="256" width="10.05078125" style="12" customWidth="1"/>
    <col min="257" max="258" width="10.05078125" style="12" bestFit="1" customWidth="1"/>
    <col min="259" max="259" width="10.05078125" style="14" bestFit="1" customWidth="1"/>
    <col min="260" max="16384" width="10.05078125" style="14"/>
  </cols>
  <sheetData>
    <row r="1" spans="1:258" customFormat="1" x14ac:dyDescent="0.15">
      <c r="A1" s="1"/>
      <c r="B1" s="15"/>
      <c r="C1" s="16"/>
      <c r="D1" s="16"/>
      <c r="E1" s="17"/>
      <c r="F1" s="17"/>
      <c r="G1" s="17"/>
      <c r="H1" s="18"/>
      <c r="I1" s="19"/>
      <c r="J1" s="20"/>
      <c r="K1" s="21"/>
      <c r="L1" s="22"/>
      <c r="M1" s="23"/>
      <c r="N1" s="16"/>
      <c r="O1" s="24"/>
      <c r="P1" s="24"/>
      <c r="Q1" s="24"/>
      <c r="R1" s="24"/>
      <c r="S1" s="24"/>
      <c r="T1" s="24"/>
      <c r="U1" s="24"/>
      <c r="V1" s="24"/>
      <c r="W1" s="24"/>
      <c r="X1" s="24"/>
      <c r="Y1" s="24"/>
      <c r="Z1" s="24"/>
      <c r="AA1" s="24"/>
      <c r="AB1" s="24"/>
      <c r="AC1" s="24"/>
      <c r="AD1" s="24"/>
      <c r="AE1" s="24"/>
      <c r="AF1" s="24"/>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c r="GP1" s="16"/>
      <c r="GQ1" s="16"/>
      <c r="GR1" s="16"/>
      <c r="GS1" s="16"/>
      <c r="GT1" s="16"/>
      <c r="GU1" s="16"/>
      <c r="GV1" s="16"/>
      <c r="GW1" s="16"/>
      <c r="GX1" s="16"/>
      <c r="GY1" s="16"/>
      <c r="GZ1" s="16"/>
      <c r="HA1" s="16"/>
      <c r="HB1" s="16"/>
      <c r="HC1" s="16"/>
      <c r="HD1" s="16"/>
      <c r="HE1" s="16"/>
      <c r="HF1" s="16"/>
      <c r="HG1" s="16"/>
      <c r="HH1" s="16"/>
      <c r="HI1" s="16"/>
      <c r="HJ1" s="16"/>
      <c r="HK1" s="16"/>
      <c r="HL1" s="16"/>
      <c r="HM1" s="16"/>
      <c r="HN1" s="16"/>
      <c r="HO1" s="16"/>
      <c r="HP1" s="16"/>
      <c r="HQ1" s="16"/>
      <c r="HR1" s="16"/>
      <c r="HS1" s="16"/>
      <c r="HT1" s="16"/>
      <c r="HU1" s="16"/>
      <c r="HV1" s="16"/>
      <c r="HW1" s="16"/>
      <c r="HX1" s="16"/>
      <c r="HY1" s="16"/>
      <c r="HZ1" s="16"/>
      <c r="IA1" s="16"/>
      <c r="IB1" s="16"/>
      <c r="IC1" s="16"/>
      <c r="ID1" s="16"/>
      <c r="IE1" s="16"/>
      <c r="IF1" s="16"/>
      <c r="IG1" s="16"/>
      <c r="IH1" s="16"/>
      <c r="II1" s="16"/>
      <c r="IJ1" s="16"/>
      <c r="IK1" s="16"/>
      <c r="IL1" s="16"/>
      <c r="IM1" s="16"/>
      <c r="IN1" s="16"/>
      <c r="IO1" s="16"/>
      <c r="IP1" s="16"/>
      <c r="IQ1" s="16"/>
      <c r="IR1" s="16"/>
      <c r="IS1" s="16"/>
      <c r="IT1" s="16"/>
      <c r="IU1" s="16"/>
      <c r="IV1" s="16"/>
      <c r="IW1" s="16"/>
    </row>
    <row r="2" spans="1:258" s="25" customFormat="1" ht="34.35" customHeight="1" x14ac:dyDescent="0.15">
      <c r="A2" s="26"/>
      <c r="B2" s="27" t="s">
        <v>0</v>
      </c>
      <c r="C2" s="156" t="s">
        <v>1</v>
      </c>
      <c r="D2" s="28" t="s">
        <v>2</v>
      </c>
      <c r="E2" s="29">
        <f ca="1">TODAY()</f>
        <v>45511</v>
      </c>
      <c r="F2" s="30" t="str">
        <f ca="1">TEXT(WEEKDAY(E2,1),"aaaa")</f>
        <v>星期三</v>
      </c>
      <c r="G2" s="31"/>
      <c r="H2" s="32" t="s">
        <v>3</v>
      </c>
      <c r="I2" s="32" t="s">
        <v>4</v>
      </c>
      <c r="J2" s="33"/>
      <c r="K2" s="34" t="s">
        <v>5</v>
      </c>
      <c r="L2" s="35" t="s">
        <v>6</v>
      </c>
      <c r="M2" s="36"/>
      <c r="N2" s="37"/>
      <c r="O2" s="37"/>
      <c r="P2" s="38"/>
      <c r="Q2" s="38"/>
      <c r="R2" s="38"/>
      <c r="S2" s="38"/>
      <c r="T2" s="38"/>
      <c r="U2" s="38"/>
      <c r="V2" s="38"/>
      <c r="W2" s="38"/>
      <c r="X2" s="38"/>
      <c r="Y2" s="38"/>
      <c r="Z2" s="38"/>
      <c r="AA2" s="38"/>
      <c r="AB2" s="38"/>
      <c r="AC2" s="38"/>
      <c r="AD2" s="38"/>
      <c r="AE2" s="38"/>
      <c r="AF2" s="38"/>
      <c r="AG2" s="39"/>
      <c r="AH2" s="40"/>
      <c r="AI2" s="40"/>
      <c r="AJ2" s="40"/>
      <c r="AK2" s="40"/>
      <c r="AL2" s="40"/>
      <c r="AM2" s="40"/>
      <c r="AN2" s="40"/>
      <c r="AO2" s="40"/>
      <c r="AP2" s="40"/>
      <c r="AQ2" s="40"/>
      <c r="AR2" s="40"/>
      <c r="AS2" s="40"/>
      <c r="AT2" s="40"/>
      <c r="AU2" s="40"/>
      <c r="AV2" s="40"/>
      <c r="AW2" s="40"/>
      <c r="AX2" s="40"/>
      <c r="AY2" s="40"/>
      <c r="AZ2" s="40"/>
      <c r="BA2" s="40"/>
      <c r="BB2" s="40"/>
      <c r="BC2" s="40"/>
      <c r="BD2" s="40"/>
      <c r="BE2" s="40"/>
      <c r="BF2" s="40"/>
      <c r="BG2" s="40"/>
      <c r="BH2" s="40"/>
      <c r="BI2" s="40"/>
      <c r="BJ2" s="40"/>
      <c r="BK2" s="40"/>
      <c r="BL2" s="40"/>
      <c r="BM2" s="40"/>
      <c r="BN2" s="40"/>
      <c r="BO2" s="40"/>
      <c r="BP2" s="40"/>
      <c r="BQ2" s="40"/>
      <c r="BR2" s="40"/>
      <c r="BS2" s="40"/>
      <c r="BT2" s="40"/>
      <c r="BU2" s="40"/>
      <c r="BV2" s="40"/>
      <c r="BW2" s="40"/>
      <c r="BX2" s="40"/>
      <c r="BY2" s="40"/>
      <c r="BZ2" s="40"/>
      <c r="CA2" s="40"/>
      <c r="CB2" s="40"/>
      <c r="CC2" s="40"/>
      <c r="CD2" s="40"/>
      <c r="CE2" s="40"/>
      <c r="CF2" s="40"/>
      <c r="CG2" s="40"/>
      <c r="CH2" s="40"/>
      <c r="CI2" s="40"/>
      <c r="CJ2" s="40"/>
      <c r="CK2" s="40"/>
      <c r="CL2" s="40"/>
      <c r="CM2" s="40"/>
      <c r="CN2" s="40"/>
      <c r="CO2" s="40"/>
      <c r="CP2" s="40"/>
      <c r="CQ2" s="40"/>
      <c r="CR2" s="40"/>
      <c r="CS2" s="40"/>
      <c r="CT2" s="40"/>
      <c r="CU2" s="40"/>
      <c r="CV2" s="40"/>
      <c r="CW2" s="40"/>
      <c r="CX2" s="40"/>
      <c r="CY2" s="40"/>
      <c r="CZ2" s="40"/>
      <c r="DA2" s="40"/>
      <c r="DB2" s="40"/>
      <c r="DC2" s="40"/>
      <c r="DD2" s="40"/>
      <c r="DE2" s="40"/>
      <c r="DF2" s="40"/>
      <c r="DG2" s="40"/>
      <c r="DH2" s="40"/>
      <c r="DI2" s="40"/>
      <c r="DJ2" s="40"/>
      <c r="DK2" s="40"/>
      <c r="DL2" s="40"/>
      <c r="DM2" s="40"/>
      <c r="DN2" s="40"/>
      <c r="DO2" s="40"/>
      <c r="DP2" s="40"/>
      <c r="DQ2" s="40"/>
      <c r="DR2" s="40"/>
      <c r="DS2" s="40"/>
      <c r="DT2" s="40"/>
      <c r="DU2" s="40"/>
      <c r="DV2" s="40"/>
      <c r="DW2" s="40"/>
      <c r="DX2" s="40"/>
      <c r="DY2" s="40"/>
      <c r="DZ2" s="40"/>
      <c r="EA2" s="40"/>
      <c r="EB2" s="40"/>
      <c r="EC2" s="40"/>
      <c r="ED2" s="40"/>
      <c r="EE2" s="40"/>
      <c r="EF2" s="40"/>
      <c r="EG2" s="40"/>
      <c r="EH2" s="40"/>
      <c r="EI2" s="40"/>
      <c r="EJ2" s="40"/>
      <c r="EK2" s="40"/>
      <c r="EL2" s="40"/>
      <c r="EM2" s="40"/>
      <c r="EN2" s="40"/>
      <c r="EO2" s="40"/>
      <c r="EP2" s="40"/>
      <c r="EQ2" s="40"/>
      <c r="ER2" s="40"/>
      <c r="ES2" s="40"/>
      <c r="ET2" s="40"/>
      <c r="EU2" s="40"/>
      <c r="EV2" s="40"/>
      <c r="EW2" s="40"/>
      <c r="EX2" s="40"/>
      <c r="EY2" s="40"/>
      <c r="EZ2" s="40"/>
      <c r="FA2" s="40"/>
      <c r="FB2" s="40"/>
      <c r="FC2" s="40"/>
      <c r="FD2" s="40"/>
      <c r="FE2" s="40"/>
      <c r="FF2" s="40"/>
      <c r="FG2" s="40"/>
      <c r="FH2" s="40"/>
      <c r="FI2" s="40"/>
      <c r="FJ2" s="40"/>
      <c r="FK2" s="40"/>
      <c r="FL2" s="40"/>
      <c r="FM2" s="40"/>
      <c r="FN2" s="40"/>
      <c r="FO2" s="40"/>
      <c r="FP2" s="40"/>
      <c r="FQ2" s="40"/>
      <c r="FR2" s="40"/>
      <c r="FS2" s="40"/>
      <c r="FT2" s="40"/>
      <c r="FU2" s="40"/>
      <c r="FV2" s="40"/>
      <c r="FW2" s="40"/>
      <c r="FX2" s="40"/>
      <c r="FY2" s="40"/>
      <c r="FZ2" s="40"/>
      <c r="GA2" s="40"/>
      <c r="GB2" s="40"/>
      <c r="GC2" s="40"/>
      <c r="GD2" s="40"/>
      <c r="GE2" s="40"/>
      <c r="GF2" s="40"/>
      <c r="GG2" s="40"/>
      <c r="GH2" s="40"/>
      <c r="GI2" s="40"/>
      <c r="GJ2" s="40"/>
      <c r="GK2" s="40"/>
      <c r="GL2" s="40"/>
      <c r="GM2" s="40"/>
      <c r="GN2" s="40"/>
      <c r="GO2" s="40"/>
      <c r="GP2" s="40"/>
      <c r="GQ2" s="40"/>
      <c r="GR2" s="40"/>
      <c r="GS2" s="40"/>
      <c r="GT2" s="40"/>
      <c r="GU2" s="40"/>
      <c r="GV2" s="40"/>
      <c r="GW2" s="40"/>
      <c r="GX2" s="40"/>
      <c r="GY2" s="40"/>
      <c r="GZ2" s="40"/>
      <c r="HA2" s="40"/>
      <c r="HB2" s="40"/>
      <c r="HC2" s="40"/>
      <c r="HD2" s="40"/>
      <c r="HE2" s="40"/>
      <c r="HF2" s="40"/>
      <c r="HG2" s="40"/>
      <c r="HH2" s="40"/>
      <c r="HI2" s="40"/>
      <c r="HJ2" s="40"/>
      <c r="HK2" s="40"/>
      <c r="HL2" s="40"/>
      <c r="HM2" s="40"/>
      <c r="HN2" s="40"/>
      <c r="HO2" s="40"/>
      <c r="HP2" s="40"/>
      <c r="HQ2" s="40"/>
      <c r="HR2" s="40"/>
      <c r="HS2" s="40"/>
      <c r="HT2" s="40"/>
      <c r="HU2" s="40"/>
      <c r="HV2" s="40"/>
      <c r="HW2" s="40"/>
      <c r="HX2" s="40"/>
      <c r="HY2" s="40"/>
      <c r="HZ2" s="40"/>
      <c r="IA2" s="40"/>
      <c r="IB2" s="40"/>
      <c r="IC2" s="40"/>
      <c r="ID2" s="40"/>
      <c r="IE2" s="40"/>
      <c r="IF2" s="40"/>
      <c r="IG2" s="40"/>
      <c r="IH2" s="40"/>
      <c r="II2" s="40"/>
      <c r="IJ2" s="40"/>
      <c r="IK2" s="40"/>
      <c r="IL2" s="40"/>
      <c r="IM2" s="40"/>
      <c r="IN2" s="40"/>
      <c r="IO2" s="40"/>
      <c r="IP2" s="40"/>
      <c r="IQ2" s="40"/>
      <c r="IR2" s="40"/>
      <c r="IS2" s="40"/>
      <c r="IT2" s="40"/>
      <c r="IU2" s="40"/>
      <c r="IV2" s="40"/>
      <c r="IW2" s="40"/>
      <c r="IX2" s="40"/>
    </row>
    <row r="3" spans="1:258" s="41" customFormat="1" ht="14.25" x14ac:dyDescent="0.15">
      <c r="A3" s="42"/>
      <c r="B3" s="43" t="s">
        <v>7</v>
      </c>
      <c r="C3" s="44" t="s">
        <v>8</v>
      </c>
      <c r="D3" s="44" t="s">
        <v>9</v>
      </c>
      <c r="E3" s="44" t="s">
        <v>3</v>
      </c>
      <c r="F3" s="44" t="s">
        <v>10</v>
      </c>
      <c r="G3" s="44" t="s">
        <v>11</v>
      </c>
      <c r="H3" s="44" t="s">
        <v>12</v>
      </c>
      <c r="I3" s="44" t="s">
        <v>13</v>
      </c>
      <c r="J3" s="44" t="s">
        <v>14</v>
      </c>
      <c r="K3" s="45" t="s">
        <v>15</v>
      </c>
      <c r="L3" s="46" t="s">
        <v>16</v>
      </c>
      <c r="M3" s="44" t="s">
        <v>17</v>
      </c>
      <c r="N3" s="44" t="s">
        <v>18</v>
      </c>
      <c r="O3" s="44"/>
      <c r="AH3" s="47"/>
    </row>
    <row r="4" spans="1:258" customFormat="1" x14ac:dyDescent="0.15">
      <c r="A4" s="1"/>
      <c r="B4" s="48">
        <v>45167</v>
      </c>
      <c r="C4" s="49" t="s">
        <v>19</v>
      </c>
      <c r="D4" s="49" t="str">
        <f>IFERROR(VLOOKUP($C4,烤漆色號編碼!$A:$C,2,FALSE),"-")</f>
        <v>WE</v>
      </c>
      <c r="E4" s="49">
        <f>IFERROR(VLOOKUP($C4,當前庫存!$C:$I,5,FALSE),"-")</f>
        <v>8</v>
      </c>
      <c r="F4" s="50"/>
      <c r="G4" s="50">
        <f>19+20</f>
        <v>39</v>
      </c>
      <c r="H4" s="49">
        <f>25*F4+(G4)</f>
        <v>39</v>
      </c>
      <c r="I4" s="51"/>
      <c r="J4" s="50">
        <f>H4-I4</f>
        <v>39</v>
      </c>
      <c r="K4" s="52" t="s">
        <v>20</v>
      </c>
      <c r="L4" s="53"/>
      <c r="M4" s="54" t="s">
        <v>21</v>
      </c>
      <c r="N4" s="49"/>
      <c r="O4" s="49"/>
      <c r="P4" s="142"/>
      <c r="Q4" s="142"/>
      <c r="R4" s="142"/>
      <c r="S4" s="142"/>
      <c r="T4" s="142"/>
      <c r="U4" s="142"/>
      <c r="V4" s="142"/>
      <c r="W4" s="142"/>
      <c r="X4" s="142"/>
      <c r="Y4" s="142"/>
      <c r="Z4" s="142"/>
      <c r="AA4" s="142"/>
      <c r="AB4" s="142"/>
      <c r="AC4" s="142"/>
      <c r="AD4" s="142"/>
      <c r="AE4" s="142"/>
      <c r="AF4" s="142"/>
      <c r="AG4" s="143"/>
      <c r="AH4" s="1"/>
    </row>
    <row r="5" spans="1:258" customFormat="1" x14ac:dyDescent="0.15">
      <c r="A5" s="1"/>
      <c r="B5" s="55">
        <v>45167</v>
      </c>
      <c r="C5" s="56" t="s">
        <v>22</v>
      </c>
      <c r="D5" s="56" t="str">
        <f>IFERROR(VLOOKUP($C5,烤漆色號編碼!$A:$C,2,FALSE),"-")</f>
        <v>RD</v>
      </c>
      <c r="E5" s="56">
        <f>IFERROR(VLOOKUP($C5,當前庫存!$C:$I,5,FALSE),"-")</f>
        <v>1</v>
      </c>
      <c r="F5" s="57">
        <v>1</v>
      </c>
      <c r="G5" s="57"/>
      <c r="H5" s="56">
        <f>25*F5+(G5)</f>
        <v>25</v>
      </c>
      <c r="I5" s="58">
        <v>8</v>
      </c>
      <c r="J5" s="57">
        <f>H5-I5</f>
        <v>17</v>
      </c>
      <c r="K5" s="59" t="s">
        <v>23</v>
      </c>
      <c r="L5" s="60">
        <v>45168</v>
      </c>
      <c r="M5" s="61" t="s">
        <v>24</v>
      </c>
      <c r="N5" s="56"/>
      <c r="O5" s="56"/>
      <c r="P5" s="142"/>
      <c r="Q5" s="142"/>
      <c r="R5" s="142"/>
      <c r="S5" s="142"/>
      <c r="T5" s="142"/>
      <c r="U5" s="142"/>
      <c r="V5" s="142"/>
      <c r="W5" s="142"/>
      <c r="X5" s="142"/>
      <c r="Y5" s="142"/>
      <c r="Z5" s="142"/>
      <c r="AA5" s="142"/>
      <c r="AB5" s="142"/>
      <c r="AC5" s="142"/>
      <c r="AD5" s="142"/>
      <c r="AE5" s="142"/>
      <c r="AF5" s="142"/>
      <c r="AG5" s="143"/>
      <c r="AH5" s="1"/>
    </row>
    <row r="6" spans="1:258" customFormat="1" x14ac:dyDescent="0.15">
      <c r="A6" s="1"/>
      <c r="B6" s="48">
        <v>45167</v>
      </c>
      <c r="C6" s="49" t="s">
        <v>25</v>
      </c>
      <c r="D6" s="49" t="str">
        <f>IFERROR(VLOOKUP($C6,烤漆色號編碼!$A:$C,2,FALSE),"-")</f>
        <v>BKS1</v>
      </c>
      <c r="E6" s="49">
        <f>IFERROR(VLOOKUP($C6,當前庫存!$C:$I,5,FALSE),"-")</f>
        <v>16</v>
      </c>
      <c r="F6" s="50"/>
      <c r="G6" s="50">
        <f>8+9</f>
        <v>17</v>
      </c>
      <c r="H6" s="49">
        <f>25*F6+(G6)</f>
        <v>17</v>
      </c>
      <c r="I6" s="51">
        <v>5</v>
      </c>
      <c r="J6" s="50">
        <f>H6-I6</f>
        <v>12</v>
      </c>
      <c r="K6" s="52" t="s">
        <v>23</v>
      </c>
      <c r="L6" s="53">
        <v>45168</v>
      </c>
      <c r="M6" s="54" t="s">
        <v>24</v>
      </c>
      <c r="N6" s="158"/>
      <c r="O6" s="158"/>
      <c r="P6" s="13"/>
      <c r="Q6" s="142"/>
      <c r="R6" s="13"/>
      <c r="S6" s="142"/>
      <c r="T6" s="142"/>
      <c r="U6" s="142"/>
      <c r="V6" s="142"/>
      <c r="W6" s="142"/>
      <c r="X6" s="142"/>
      <c r="Y6" s="142"/>
      <c r="Z6" s="142"/>
      <c r="AA6" s="142"/>
      <c r="AB6" s="142"/>
      <c r="AC6" s="142"/>
      <c r="AD6" s="142"/>
      <c r="AE6" s="142"/>
      <c r="AF6" s="142"/>
      <c r="AG6" s="143"/>
      <c r="AH6" s="1"/>
    </row>
    <row r="7" spans="1:258" customFormat="1" x14ac:dyDescent="0.15">
      <c r="A7" s="1"/>
      <c r="B7" s="55">
        <v>45167</v>
      </c>
      <c r="C7" s="56" t="s">
        <v>26</v>
      </c>
      <c r="D7" s="56" t="str">
        <f>IFERROR(VLOOKUP($C7,烤漆色號編碼!$A:$C,2,FALSE),"-")</f>
        <v>BKH</v>
      </c>
      <c r="E7" s="56">
        <f>IFERROR(VLOOKUP($C7,當前庫存!$C:$I,5,FALSE),"-")</f>
        <v>1</v>
      </c>
      <c r="F7" s="57"/>
      <c r="G7" s="57">
        <v>24</v>
      </c>
      <c r="H7" s="56">
        <f>25*F7+(G7)</f>
        <v>24</v>
      </c>
      <c r="I7" s="58">
        <v>22</v>
      </c>
      <c r="J7" s="57">
        <f>H7-I7</f>
        <v>2</v>
      </c>
      <c r="K7" s="59" t="s">
        <v>23</v>
      </c>
      <c r="L7" s="60">
        <v>45168</v>
      </c>
      <c r="M7" s="61" t="s">
        <v>24</v>
      </c>
      <c r="N7" s="56"/>
      <c r="O7" s="56"/>
      <c r="P7" s="13"/>
      <c r="Q7" s="142"/>
      <c r="R7" s="13"/>
      <c r="S7" s="142"/>
      <c r="T7" s="142"/>
      <c r="U7" s="142"/>
      <c r="V7" s="142"/>
      <c r="W7" s="142"/>
      <c r="X7" s="142"/>
      <c r="Y7" s="142"/>
      <c r="Z7" s="142"/>
      <c r="AA7" s="142"/>
      <c r="AB7" s="142"/>
      <c r="AC7" s="142"/>
      <c r="AD7" s="142"/>
      <c r="AE7" s="142"/>
      <c r="AF7" s="142"/>
      <c r="AG7" s="143"/>
      <c r="AH7" s="1"/>
    </row>
    <row r="8" spans="1:258" customFormat="1" x14ac:dyDescent="0.15">
      <c r="A8" s="1"/>
      <c r="B8" s="48">
        <v>45167</v>
      </c>
      <c r="C8" s="49" t="s">
        <v>27</v>
      </c>
      <c r="D8" s="49" t="str">
        <f>IFERROR(VLOOKUP($C8,烤漆色號編碼!$A:$C,2,FALSE),"-")</f>
        <v>YW</v>
      </c>
      <c r="E8" s="49">
        <f>IFERROR(VLOOKUP($C8,當前庫存!$C:$I,5,FALSE),"-")</f>
        <v>0</v>
      </c>
      <c r="F8" s="50"/>
      <c r="G8" s="50">
        <v>10</v>
      </c>
      <c r="H8" s="49">
        <f>25*F8+(G8)</f>
        <v>10</v>
      </c>
      <c r="I8" s="51">
        <v>9</v>
      </c>
      <c r="J8" s="50">
        <f>H8-I8</f>
        <v>1</v>
      </c>
      <c r="K8" s="52" t="s">
        <v>20</v>
      </c>
      <c r="L8" s="53"/>
      <c r="M8" s="54" t="s">
        <v>24</v>
      </c>
      <c r="N8" s="49"/>
      <c r="O8" s="49"/>
      <c r="P8" s="13"/>
      <c r="Q8" s="142"/>
      <c r="R8" s="13"/>
      <c r="S8" s="142"/>
      <c r="T8" s="142"/>
      <c r="U8" s="142"/>
      <c r="V8" s="142"/>
      <c r="W8" s="142"/>
      <c r="X8" s="142"/>
      <c r="Y8" s="142"/>
      <c r="Z8" s="142"/>
      <c r="AA8" s="142"/>
      <c r="AB8" s="142"/>
      <c r="AC8" s="142"/>
      <c r="AD8" s="142"/>
      <c r="AE8" s="142"/>
      <c r="AF8" s="142"/>
      <c r="AG8" s="143"/>
      <c r="AH8" s="1"/>
    </row>
    <row r="9" spans="1:258" customFormat="1" x14ac:dyDescent="0.15">
      <c r="A9" s="1"/>
      <c r="B9" s="55">
        <v>45167</v>
      </c>
      <c r="C9" s="56" t="s">
        <v>19</v>
      </c>
      <c r="D9" s="56" t="str">
        <f>IFERROR(VLOOKUP($C9,烤漆色號編碼!$A:$C,2,FALSE),"-")</f>
        <v>WE</v>
      </c>
      <c r="E9" s="56">
        <f>IFERROR(VLOOKUP($C9,當前庫存!$C:$I,5,FALSE),"-")</f>
        <v>8</v>
      </c>
      <c r="F9" s="57">
        <v>-2</v>
      </c>
      <c r="G9" s="57"/>
      <c r="H9" s="56"/>
      <c r="I9" s="58"/>
      <c r="J9" s="57"/>
      <c r="K9" s="59"/>
      <c r="L9" s="60" t="s">
        <v>28</v>
      </c>
      <c r="M9" s="61"/>
      <c r="N9" s="56"/>
      <c r="O9" s="56"/>
      <c r="P9" s="13"/>
      <c r="Q9" s="142"/>
      <c r="R9" s="13"/>
      <c r="S9" s="142"/>
      <c r="T9" s="142"/>
      <c r="U9" s="142"/>
      <c r="V9" s="142"/>
      <c r="W9" s="142"/>
      <c r="X9" s="142"/>
      <c r="Y9" s="142"/>
      <c r="Z9" s="142"/>
      <c r="AA9" s="142"/>
      <c r="AB9" s="142"/>
      <c r="AC9" s="142"/>
      <c r="AD9" s="142"/>
      <c r="AE9" s="142"/>
      <c r="AF9" s="142"/>
      <c r="AG9" s="143"/>
      <c r="AH9" s="1"/>
    </row>
    <row r="10" spans="1:258" customFormat="1" x14ac:dyDescent="0.15">
      <c r="A10" s="1"/>
      <c r="B10" s="48">
        <v>45169</v>
      </c>
      <c r="C10" s="49" t="s">
        <v>19</v>
      </c>
      <c r="D10" s="49" t="str">
        <f>IFERROR(VLOOKUP($C10,烤漆色號編碼!$A:$C,2,FALSE),"-")</f>
        <v>WE</v>
      </c>
      <c r="E10" s="49">
        <f>IFERROR(VLOOKUP($C10,當前庫存!$C:$I,5,FALSE),"-")</f>
        <v>8</v>
      </c>
      <c r="F10" s="50">
        <v>4</v>
      </c>
      <c r="G10" s="50"/>
      <c r="H10" s="49">
        <f t="shared" ref="H10:H41" si="0">25*F10+(G10)</f>
        <v>100</v>
      </c>
      <c r="I10" s="51"/>
      <c r="J10" s="50">
        <f t="shared" ref="J10:J31" si="1">H10-I10</f>
        <v>100</v>
      </c>
      <c r="K10" s="52" t="s">
        <v>23</v>
      </c>
      <c r="L10" s="53"/>
      <c r="M10" s="54" t="s">
        <v>21</v>
      </c>
      <c r="N10" s="49"/>
      <c r="O10" s="49"/>
      <c r="P10" s="13"/>
      <c r="Q10" s="142"/>
      <c r="R10" s="13"/>
      <c r="S10" s="142"/>
      <c r="T10" s="142"/>
      <c r="U10" s="142"/>
      <c r="V10" s="142"/>
      <c r="W10" s="142"/>
      <c r="X10" s="142"/>
      <c r="Y10" s="142"/>
      <c r="Z10" s="142"/>
      <c r="AA10" s="142"/>
      <c r="AB10" s="142"/>
      <c r="AC10" s="142"/>
      <c r="AD10" s="142"/>
      <c r="AE10" s="142"/>
      <c r="AF10" s="142"/>
      <c r="AG10" s="143"/>
      <c r="AH10" s="1"/>
    </row>
    <row r="11" spans="1:258" customFormat="1" x14ac:dyDescent="0.15">
      <c r="A11" s="1"/>
      <c r="B11" s="55">
        <v>45170</v>
      </c>
      <c r="C11" s="56" t="s">
        <v>19</v>
      </c>
      <c r="D11" s="56" t="str">
        <f>IFERROR(VLOOKUP($C11,烤漆色號編碼!$A:$C,2,FALSE),"-")</f>
        <v>WE</v>
      </c>
      <c r="E11" s="56">
        <f>IFERROR(VLOOKUP($C11,當前庫存!$C:$I,5,FALSE),"-")</f>
        <v>8</v>
      </c>
      <c r="F11" s="57">
        <v>2</v>
      </c>
      <c r="G11" s="57"/>
      <c r="H11" s="56">
        <f t="shared" si="0"/>
        <v>50</v>
      </c>
      <c r="I11" s="58">
        <f>10+4+9</f>
        <v>23</v>
      </c>
      <c r="J11" s="57">
        <f t="shared" si="1"/>
        <v>27</v>
      </c>
      <c r="K11" s="59" t="s">
        <v>29</v>
      </c>
      <c r="L11" s="60"/>
      <c r="M11" s="61" t="s">
        <v>21</v>
      </c>
      <c r="N11" s="157"/>
      <c r="O11" s="157"/>
      <c r="P11" s="13"/>
      <c r="Q11" s="142"/>
      <c r="R11" s="142"/>
      <c r="S11" s="142"/>
      <c r="T11" s="142"/>
      <c r="U11" s="142"/>
      <c r="V11" s="142"/>
      <c r="W11" s="142"/>
      <c r="X11" s="142"/>
      <c r="Y11" s="142"/>
      <c r="Z11" s="142"/>
      <c r="AA11" s="142"/>
      <c r="AB11" s="142"/>
      <c r="AC11" s="142"/>
      <c r="AD11" s="142"/>
      <c r="AE11" s="142"/>
      <c r="AF11" s="142"/>
      <c r="AG11" s="143"/>
      <c r="AH11" s="1"/>
    </row>
    <row r="12" spans="1:258" customFormat="1" x14ac:dyDescent="0.15">
      <c r="A12" s="1"/>
      <c r="B12" s="48">
        <v>45170</v>
      </c>
      <c r="C12" s="49" t="s">
        <v>30</v>
      </c>
      <c r="D12" s="49" t="str">
        <f>IFERROR(VLOOKUP($C12,烤漆色號編碼!$A:$C,2,FALSE),"-")</f>
        <v>DGS</v>
      </c>
      <c r="E12" s="49">
        <f>IFERROR(VLOOKUP($C12,當前庫存!$C:$I,5,FALSE),"-")</f>
        <v>4</v>
      </c>
      <c r="F12" s="50"/>
      <c r="G12" s="50">
        <v>24</v>
      </c>
      <c r="H12" s="49">
        <f t="shared" si="0"/>
        <v>24</v>
      </c>
      <c r="I12" s="51">
        <v>16</v>
      </c>
      <c r="J12" s="50">
        <f t="shared" si="1"/>
        <v>8</v>
      </c>
      <c r="K12" s="52" t="s">
        <v>29</v>
      </c>
      <c r="L12" s="53"/>
      <c r="M12" s="54" t="s">
        <v>24</v>
      </c>
      <c r="N12" s="49"/>
      <c r="O12" s="49"/>
      <c r="P12" s="13"/>
      <c r="Q12" s="142"/>
      <c r="R12" s="142"/>
      <c r="S12" s="142"/>
      <c r="T12" s="142"/>
      <c r="U12" s="142"/>
      <c r="V12" s="142"/>
      <c r="W12" s="142"/>
      <c r="X12" s="142"/>
      <c r="Y12" s="142"/>
      <c r="Z12" s="142"/>
      <c r="AA12" s="142"/>
      <c r="AB12" s="142"/>
      <c r="AC12" s="142"/>
      <c r="AD12" s="142"/>
      <c r="AE12" s="142"/>
      <c r="AF12" s="142"/>
      <c r="AG12" s="143"/>
      <c r="AH12" s="1"/>
    </row>
    <row r="13" spans="1:258" x14ac:dyDescent="0.15">
      <c r="B13" s="55">
        <v>45170</v>
      </c>
      <c r="C13" s="56" t="s">
        <v>25</v>
      </c>
      <c r="D13" s="56" t="str">
        <f>IFERROR(VLOOKUP($C13,烤漆色號編碼!$A:$C,2,FALSE),"-")</f>
        <v>BKS1</v>
      </c>
      <c r="E13" s="56">
        <f>IFERROR(VLOOKUP($C13,當前庫存!$C:$I,5,FALSE),"-")</f>
        <v>16</v>
      </c>
      <c r="F13" s="57">
        <v>2</v>
      </c>
      <c r="G13" s="57"/>
      <c r="H13" s="56">
        <f t="shared" si="0"/>
        <v>50</v>
      </c>
      <c r="I13" s="58">
        <v>13</v>
      </c>
      <c r="J13" s="57">
        <f t="shared" si="1"/>
        <v>37</v>
      </c>
      <c r="K13" s="59" t="s">
        <v>29</v>
      </c>
      <c r="L13" s="60"/>
      <c r="M13" s="61" t="s">
        <v>21</v>
      </c>
      <c r="N13" s="56"/>
      <c r="O13" s="56"/>
    </row>
    <row r="14" spans="1:258" x14ac:dyDescent="0.15">
      <c r="B14" s="48">
        <v>45170</v>
      </c>
      <c r="C14" s="49" t="s">
        <v>31</v>
      </c>
      <c r="D14" s="49" t="str">
        <f>IFERROR(VLOOKUP($C14,烤漆色號編碼!$A:$C,2,FALSE),"-")</f>
        <v>BK</v>
      </c>
      <c r="E14" s="49">
        <f>IFERROR(VLOOKUP($C14,當前庫存!$C:$I,5,FALSE),"-")</f>
        <v>0</v>
      </c>
      <c r="F14" s="50"/>
      <c r="G14" s="50"/>
      <c r="H14" s="49">
        <f t="shared" si="0"/>
        <v>0</v>
      </c>
      <c r="I14" s="51"/>
      <c r="J14" s="50">
        <f t="shared" si="1"/>
        <v>0</v>
      </c>
      <c r="K14" s="52" t="s">
        <v>29</v>
      </c>
      <c r="L14" s="53" t="s">
        <v>32</v>
      </c>
      <c r="M14" s="54" t="s">
        <v>24</v>
      </c>
      <c r="N14" s="49"/>
      <c r="O14" s="49"/>
    </row>
    <row r="15" spans="1:258" x14ac:dyDescent="0.15">
      <c r="B15" s="55">
        <v>45174</v>
      </c>
      <c r="C15" s="56" t="s">
        <v>33</v>
      </c>
      <c r="D15" s="56" t="str">
        <f>IFERROR(VLOOKUP($C15,烤漆色號編碼!$A:$C,2,FALSE),"-")</f>
        <v>BE</v>
      </c>
      <c r="E15" s="56">
        <f>IFERROR(VLOOKUP($C15,當前庫存!$C:$I,5,FALSE),"-")</f>
        <v>0</v>
      </c>
      <c r="F15" s="57"/>
      <c r="G15" s="57">
        <f>11+24</f>
        <v>35</v>
      </c>
      <c r="H15" s="56">
        <f t="shared" si="0"/>
        <v>35</v>
      </c>
      <c r="I15" s="58">
        <f>8+24</f>
        <v>32</v>
      </c>
      <c r="J15" s="57">
        <f t="shared" si="1"/>
        <v>3</v>
      </c>
      <c r="K15" s="59" t="s">
        <v>20</v>
      </c>
      <c r="L15" s="60"/>
      <c r="M15" s="61" t="s">
        <v>24</v>
      </c>
      <c r="N15" s="157"/>
      <c r="O15" s="157"/>
    </row>
    <row r="16" spans="1:258" x14ac:dyDescent="0.15">
      <c r="B16" s="48">
        <v>45174</v>
      </c>
      <c r="C16" s="49" t="s">
        <v>27</v>
      </c>
      <c r="D16" s="49" t="str">
        <f>IFERROR(VLOOKUP($C16,烤漆色號編碼!$A:$C,2,FALSE),"-")</f>
        <v>YW</v>
      </c>
      <c r="E16" s="49">
        <f>IFERROR(VLOOKUP($C16,當前庫存!$C:$I,5,FALSE),"-")</f>
        <v>0</v>
      </c>
      <c r="F16" s="50">
        <v>1</v>
      </c>
      <c r="G16" s="50">
        <f>4+9</f>
        <v>13</v>
      </c>
      <c r="H16" s="49">
        <f t="shared" si="0"/>
        <v>38</v>
      </c>
      <c r="I16" s="51">
        <v>21</v>
      </c>
      <c r="J16" s="50">
        <f t="shared" si="1"/>
        <v>17</v>
      </c>
      <c r="K16" s="52" t="s">
        <v>20</v>
      </c>
      <c r="L16" s="53" t="s">
        <v>34</v>
      </c>
      <c r="M16" s="54" t="s">
        <v>24</v>
      </c>
      <c r="N16" s="49"/>
      <c r="O16" s="49"/>
    </row>
    <row r="17" spans="2:32" x14ac:dyDescent="0.15">
      <c r="B17" s="55">
        <v>45174</v>
      </c>
      <c r="C17" s="56" t="s">
        <v>19</v>
      </c>
      <c r="D17" s="56" t="str">
        <f>IFERROR(VLOOKUP($C17,烤漆色號編碼!$A:$C,2,FALSE),"-")</f>
        <v>WE</v>
      </c>
      <c r="E17" s="56">
        <f>IFERROR(VLOOKUP($C17,當前庫存!$C:$I,5,FALSE),"-")</f>
        <v>8</v>
      </c>
      <c r="F17" s="57">
        <v>1</v>
      </c>
      <c r="G17" s="57">
        <f>9+4+10</f>
        <v>23</v>
      </c>
      <c r="H17" s="56">
        <f t="shared" si="0"/>
        <v>48</v>
      </c>
      <c r="I17" s="58">
        <v>14</v>
      </c>
      <c r="J17" s="57">
        <f t="shared" si="1"/>
        <v>34</v>
      </c>
      <c r="K17" s="59" t="s">
        <v>20</v>
      </c>
      <c r="L17" s="60"/>
      <c r="M17" s="61" t="s">
        <v>21</v>
      </c>
      <c r="N17" s="56"/>
      <c r="O17" s="56"/>
    </row>
    <row r="18" spans="2:32" x14ac:dyDescent="0.15">
      <c r="B18" s="48">
        <v>45174</v>
      </c>
      <c r="C18" s="49" t="s">
        <v>25</v>
      </c>
      <c r="D18" s="49" t="str">
        <f>IFERROR(VLOOKUP($C18,烤漆色號編碼!$A:$C,2,FALSE),"-")</f>
        <v>BKS1</v>
      </c>
      <c r="E18" s="49">
        <f>IFERROR(VLOOKUP($C18,當前庫存!$C:$I,5,FALSE),"-")</f>
        <v>16</v>
      </c>
      <c r="F18" s="50"/>
      <c r="G18" s="50">
        <v>13</v>
      </c>
      <c r="H18" s="49">
        <f t="shared" si="0"/>
        <v>13</v>
      </c>
      <c r="I18" s="51">
        <v>3</v>
      </c>
      <c r="J18" s="50">
        <f t="shared" si="1"/>
        <v>10</v>
      </c>
      <c r="K18" s="52" t="s">
        <v>29</v>
      </c>
      <c r="L18" s="53">
        <v>45176</v>
      </c>
      <c r="M18" s="54" t="s">
        <v>24</v>
      </c>
      <c r="N18" s="49"/>
      <c r="O18" s="49"/>
    </row>
    <row r="19" spans="2:32" x14ac:dyDescent="0.15">
      <c r="B19" s="55">
        <v>45176</v>
      </c>
      <c r="C19" s="56" t="s">
        <v>22</v>
      </c>
      <c r="D19" s="56" t="str">
        <f>IFERROR(VLOOKUP($C19,烤漆色號編碼!$A:$C,2,FALSE),"-")</f>
        <v>RD</v>
      </c>
      <c r="E19" s="56">
        <f>IFERROR(VLOOKUP($C19,當前庫存!$C:$I,5,FALSE),"-")</f>
        <v>1</v>
      </c>
      <c r="F19" s="57"/>
      <c r="G19" s="57"/>
      <c r="H19" s="56">
        <f t="shared" si="0"/>
        <v>0</v>
      </c>
      <c r="I19" s="58"/>
      <c r="J19" s="57">
        <f t="shared" si="1"/>
        <v>0</v>
      </c>
      <c r="K19" s="59" t="s">
        <v>29</v>
      </c>
      <c r="L19" s="60" t="s">
        <v>35</v>
      </c>
      <c r="M19" s="61" t="s">
        <v>24</v>
      </c>
      <c r="N19" s="157"/>
      <c r="O19" s="157"/>
    </row>
    <row r="20" spans="2:32" x14ac:dyDescent="0.15">
      <c r="B20" s="48">
        <v>45176</v>
      </c>
      <c r="C20" s="49" t="s">
        <v>33</v>
      </c>
      <c r="D20" s="49" t="str">
        <f>IFERROR(VLOOKUP($C20,烤漆色號編碼!$A:$C,2,FALSE),"-")</f>
        <v>BE</v>
      </c>
      <c r="E20" s="49">
        <f>IFERROR(VLOOKUP($C20,當前庫存!$C:$I,5,FALSE),"-")</f>
        <v>0</v>
      </c>
      <c r="F20" s="50"/>
      <c r="G20" s="50"/>
      <c r="H20" s="49">
        <f t="shared" si="0"/>
        <v>0</v>
      </c>
      <c r="I20" s="51"/>
      <c r="J20" s="50">
        <f t="shared" si="1"/>
        <v>0</v>
      </c>
      <c r="K20" s="52" t="s">
        <v>29</v>
      </c>
      <c r="L20" s="53" t="s">
        <v>35</v>
      </c>
      <c r="M20" s="54" t="s">
        <v>24</v>
      </c>
      <c r="N20" s="49"/>
      <c r="O20" s="49"/>
    </row>
    <row r="21" spans="2:32" x14ac:dyDescent="0.15">
      <c r="B21" s="55">
        <v>45176</v>
      </c>
      <c r="C21" s="56" t="s">
        <v>27</v>
      </c>
      <c r="D21" s="56" t="str">
        <f>IFERROR(VLOOKUP($C21,烤漆色號編碼!$A:$C,2,FALSE),"-")</f>
        <v>YW</v>
      </c>
      <c r="E21" s="56">
        <f>IFERROR(VLOOKUP($C21,當前庫存!$C:$I,5,FALSE),"-")</f>
        <v>0</v>
      </c>
      <c r="F21" s="57"/>
      <c r="G21" s="57">
        <v>21</v>
      </c>
      <c r="H21" s="56">
        <f t="shared" si="0"/>
        <v>21</v>
      </c>
      <c r="I21" s="58">
        <v>20</v>
      </c>
      <c r="J21" s="57">
        <f t="shared" si="1"/>
        <v>1</v>
      </c>
      <c r="K21" s="59" t="s">
        <v>29</v>
      </c>
      <c r="L21" s="60" t="s">
        <v>36</v>
      </c>
      <c r="M21" s="61" t="s">
        <v>24</v>
      </c>
      <c r="N21" s="56"/>
      <c r="O21" s="56"/>
    </row>
    <row r="22" spans="2:32" x14ac:dyDescent="0.15">
      <c r="B22" s="48">
        <v>45176</v>
      </c>
      <c r="C22" s="49" t="s">
        <v>30</v>
      </c>
      <c r="D22" s="49" t="str">
        <f>IFERROR(VLOOKUP($C22,烤漆色號編碼!$A:$C,2,FALSE),"-")</f>
        <v>DGS</v>
      </c>
      <c r="E22" s="49">
        <f>IFERROR(VLOOKUP($C22,當前庫存!$C:$I,5,FALSE),"-")</f>
        <v>4</v>
      </c>
      <c r="F22" s="50"/>
      <c r="G22" s="50">
        <f>16+21</f>
        <v>37</v>
      </c>
      <c r="H22" s="49">
        <f t="shared" si="0"/>
        <v>37</v>
      </c>
      <c r="I22" s="51">
        <v>13</v>
      </c>
      <c r="J22" s="50">
        <f t="shared" si="1"/>
        <v>24</v>
      </c>
      <c r="K22" s="52" t="s">
        <v>29</v>
      </c>
      <c r="L22" s="53"/>
      <c r="M22" s="54" t="s">
        <v>24</v>
      </c>
      <c r="N22" s="49"/>
      <c r="O22" s="49"/>
    </row>
    <row r="23" spans="2:32" x14ac:dyDescent="0.15">
      <c r="B23" s="55">
        <v>45176</v>
      </c>
      <c r="C23" s="56" t="s">
        <v>19</v>
      </c>
      <c r="D23" s="56" t="str">
        <f>IFERROR(VLOOKUP($C23,烤漆色號編碼!$A:$C,2,FALSE),"-")</f>
        <v>WE</v>
      </c>
      <c r="E23" s="56">
        <f>IFERROR(VLOOKUP($C23,當前庫存!$C:$I,5,FALSE),"-")</f>
        <v>8</v>
      </c>
      <c r="F23" s="57">
        <v>3</v>
      </c>
      <c r="G23" s="57"/>
      <c r="H23" s="56">
        <f t="shared" si="0"/>
        <v>75</v>
      </c>
      <c r="I23" s="58"/>
      <c r="J23" s="57">
        <f t="shared" si="1"/>
        <v>75</v>
      </c>
      <c r="K23" s="59" t="s">
        <v>29</v>
      </c>
      <c r="L23" s="60"/>
      <c r="M23" s="61" t="s">
        <v>21</v>
      </c>
      <c r="N23" s="157"/>
      <c r="O23" s="157"/>
    </row>
    <row r="24" spans="2:32" ht="24.75" x14ac:dyDescent="0.15">
      <c r="B24" s="48">
        <v>45176</v>
      </c>
      <c r="C24" s="49" t="s">
        <v>27</v>
      </c>
      <c r="D24" s="49" t="str">
        <f>IFERROR(VLOOKUP($C24,烤漆色號編碼!$A:$C,2,FALSE),"-")</f>
        <v>YW</v>
      </c>
      <c r="E24" s="49">
        <f>IFERROR(VLOOKUP($C24,當前庫存!$C:$I,5,FALSE),"-")</f>
        <v>0</v>
      </c>
      <c r="F24" s="50"/>
      <c r="G24" s="50">
        <v>20</v>
      </c>
      <c r="H24" s="49">
        <f t="shared" si="0"/>
        <v>20</v>
      </c>
      <c r="I24" s="51">
        <v>17</v>
      </c>
      <c r="J24" s="50">
        <f t="shared" si="1"/>
        <v>3</v>
      </c>
      <c r="K24" s="52" t="s">
        <v>29</v>
      </c>
      <c r="L24" s="53" t="s">
        <v>37</v>
      </c>
      <c r="M24" s="54" t="s">
        <v>24</v>
      </c>
      <c r="N24" s="49"/>
      <c r="O24" s="49"/>
    </row>
    <row r="25" spans="2:32" x14ac:dyDescent="0.15">
      <c r="B25" s="55">
        <v>45176</v>
      </c>
      <c r="C25" s="56" t="s">
        <v>38</v>
      </c>
      <c r="D25" s="56" t="str">
        <f>IFERROR(VLOOKUP($C25,烤漆色號編碼!$A:$C,2,FALSE),"-")</f>
        <v>PK</v>
      </c>
      <c r="E25" s="56">
        <f>IFERROR(VLOOKUP($C25,當前庫存!$C:$I,5,FALSE),"-")</f>
        <v>0</v>
      </c>
      <c r="F25" s="57"/>
      <c r="G25" s="57">
        <v>14</v>
      </c>
      <c r="H25" s="56">
        <f t="shared" si="0"/>
        <v>14</v>
      </c>
      <c r="I25" s="58">
        <v>13</v>
      </c>
      <c r="J25" s="57">
        <f t="shared" si="1"/>
        <v>1</v>
      </c>
      <c r="K25" s="59" t="s">
        <v>29</v>
      </c>
      <c r="L25" s="60"/>
      <c r="M25" s="61" t="s">
        <v>24</v>
      </c>
      <c r="N25" s="56"/>
      <c r="O25" s="56"/>
    </row>
    <row r="26" spans="2:32" x14ac:dyDescent="0.15">
      <c r="B26" s="48">
        <v>45176</v>
      </c>
      <c r="C26" s="49" t="s">
        <v>31</v>
      </c>
      <c r="D26" s="49" t="str">
        <f>IFERROR(VLOOKUP($C26,烤漆色號編碼!$A:$C,2,FALSE),"-")</f>
        <v>BK</v>
      </c>
      <c r="E26" s="49">
        <f>IFERROR(VLOOKUP($C26,當前庫存!$C:$I,5,FALSE),"-")</f>
        <v>0</v>
      </c>
      <c r="F26" s="50"/>
      <c r="G26" s="50">
        <v>6</v>
      </c>
      <c r="H26" s="49">
        <f t="shared" si="0"/>
        <v>6</v>
      </c>
      <c r="I26" s="51">
        <v>6</v>
      </c>
      <c r="J26" s="50">
        <f t="shared" si="1"/>
        <v>0</v>
      </c>
      <c r="K26" s="52" t="s">
        <v>29</v>
      </c>
      <c r="L26" s="53" t="s">
        <v>39</v>
      </c>
      <c r="M26" s="54" t="s">
        <v>24</v>
      </c>
      <c r="N26" s="49"/>
      <c r="O26" s="49"/>
    </row>
    <row r="27" spans="2:32" ht="15.75" x14ac:dyDescent="0.15">
      <c r="B27" s="55">
        <v>45177</v>
      </c>
      <c r="C27" s="56" t="s">
        <v>22</v>
      </c>
      <c r="D27" s="56" t="str">
        <f>IFERROR(VLOOKUP($C27,烤漆色號編碼!$A:$C,2,FALSE),"-")</f>
        <v>RD</v>
      </c>
      <c r="E27" s="56">
        <f>IFERROR(VLOOKUP($C27,當前庫存!$C:$I,5,FALSE),"-")</f>
        <v>1</v>
      </c>
      <c r="F27" s="57"/>
      <c r="G27" s="57">
        <v>10</v>
      </c>
      <c r="H27" s="56">
        <f t="shared" si="0"/>
        <v>10</v>
      </c>
      <c r="I27" s="58">
        <v>5</v>
      </c>
      <c r="J27" s="57">
        <f t="shared" si="1"/>
        <v>5</v>
      </c>
      <c r="K27" s="59" t="s">
        <v>20</v>
      </c>
      <c r="L27" s="144" t="s">
        <v>40</v>
      </c>
      <c r="M27" s="61" t="s">
        <v>24</v>
      </c>
      <c r="N27" s="157"/>
      <c r="O27" s="157"/>
    </row>
    <row r="28" spans="2:32" ht="15.75" x14ac:dyDescent="0.15">
      <c r="B28" s="48">
        <v>45177</v>
      </c>
      <c r="C28" s="49" t="s">
        <v>26</v>
      </c>
      <c r="D28" s="49" t="str">
        <f>IFERROR(VLOOKUP($C28,烤漆色號編碼!$A:$C,2,FALSE),"-")</f>
        <v>BKH</v>
      </c>
      <c r="E28" s="49">
        <f>IFERROR(VLOOKUP($C28,當前庫存!$C:$I,5,FALSE),"-")</f>
        <v>1</v>
      </c>
      <c r="F28" s="50"/>
      <c r="G28" s="50">
        <v>22</v>
      </c>
      <c r="H28" s="49">
        <f t="shared" si="0"/>
        <v>22</v>
      </c>
      <c r="I28" s="51">
        <v>19</v>
      </c>
      <c r="J28" s="50">
        <f t="shared" si="1"/>
        <v>3</v>
      </c>
      <c r="K28" s="52" t="s">
        <v>20</v>
      </c>
      <c r="L28" s="145" t="s">
        <v>40</v>
      </c>
      <c r="M28" s="54" t="s">
        <v>24</v>
      </c>
      <c r="N28" s="49"/>
      <c r="O28" s="49"/>
    </row>
    <row r="29" spans="2:32" ht="15.75" x14ac:dyDescent="0.15">
      <c r="B29" s="55">
        <v>45177</v>
      </c>
      <c r="C29" s="56" t="s">
        <v>31</v>
      </c>
      <c r="D29" s="56" t="str">
        <f>IFERROR(VLOOKUP($C29,烤漆色號編碼!$A:$C,2,FALSE),"-")</f>
        <v>BK</v>
      </c>
      <c r="E29" s="56">
        <f>IFERROR(VLOOKUP($C29,當前庫存!$C:$I,5,FALSE),"-")</f>
        <v>0</v>
      </c>
      <c r="F29" s="57"/>
      <c r="G29" s="57">
        <v>6</v>
      </c>
      <c r="H29" s="56">
        <f t="shared" si="0"/>
        <v>6</v>
      </c>
      <c r="I29" s="58">
        <v>5</v>
      </c>
      <c r="J29" s="57">
        <f t="shared" si="1"/>
        <v>1</v>
      </c>
      <c r="K29" s="59" t="s">
        <v>20</v>
      </c>
      <c r="L29" s="144" t="s">
        <v>41</v>
      </c>
      <c r="M29" s="61" t="s">
        <v>24</v>
      </c>
      <c r="N29" s="56"/>
      <c r="O29" s="56"/>
    </row>
    <row r="30" spans="2:32" ht="14.25" x14ac:dyDescent="0.15">
      <c r="B30" s="48">
        <v>45177</v>
      </c>
      <c r="C30" s="49" t="s">
        <v>27</v>
      </c>
      <c r="D30" s="49" t="str">
        <f>IFERROR(VLOOKUP($C30,烤漆色號編碼!$A:$C,2,FALSE),"-")</f>
        <v>YW</v>
      </c>
      <c r="E30" s="49">
        <f>IFERROR(VLOOKUP($C30,當前庫存!$C:$I,5,FALSE),"-")</f>
        <v>0</v>
      </c>
      <c r="F30" s="50"/>
      <c r="G30" s="50">
        <v>17</v>
      </c>
      <c r="H30" s="49">
        <f t="shared" si="0"/>
        <v>17</v>
      </c>
      <c r="I30" s="51">
        <v>8</v>
      </c>
      <c r="J30" s="50">
        <f t="shared" si="1"/>
        <v>9</v>
      </c>
      <c r="K30" s="52" t="s">
        <v>20</v>
      </c>
      <c r="L30" s="145" t="s">
        <v>42</v>
      </c>
      <c r="M30" s="54" t="s">
        <v>24</v>
      </c>
      <c r="N30" s="49"/>
      <c r="O30" s="49"/>
    </row>
    <row r="31" spans="2:32" ht="14.25" x14ac:dyDescent="0.15">
      <c r="B31" s="55">
        <v>45177</v>
      </c>
      <c r="C31" s="56" t="s">
        <v>43</v>
      </c>
      <c r="D31" s="56" t="str">
        <f>IFERROR(VLOOKUP($C31,烤漆色號編碼!$A:$C,2,FALSE),"-")</f>
        <v>YW</v>
      </c>
      <c r="E31" s="56">
        <f>IFERROR(VLOOKUP($C31,當前庫存!$C:$I,5,FALSE),"-")</f>
        <v>5</v>
      </c>
      <c r="F31" s="57">
        <v>1</v>
      </c>
      <c r="G31" s="57">
        <v>16</v>
      </c>
      <c r="H31" s="56">
        <f t="shared" si="0"/>
        <v>41</v>
      </c>
      <c r="I31" s="58">
        <v>22</v>
      </c>
      <c r="J31" s="57">
        <f t="shared" si="1"/>
        <v>19</v>
      </c>
      <c r="K31" s="59" t="s">
        <v>20</v>
      </c>
      <c r="L31" s="144" t="s">
        <v>44</v>
      </c>
      <c r="M31" s="61" t="s">
        <v>24</v>
      </c>
      <c r="N31" s="157"/>
      <c r="O31" s="157"/>
    </row>
    <row r="32" spans="2:32" ht="14.25" x14ac:dyDescent="0.15">
      <c r="B32" s="48">
        <v>45177</v>
      </c>
      <c r="C32" s="49" t="s">
        <v>33</v>
      </c>
      <c r="D32" s="49" t="str">
        <f>IFERROR(VLOOKUP($C32,烤漆色號編碼!$A:$C,2,FALSE),"-")</f>
        <v>BE</v>
      </c>
      <c r="E32" s="49">
        <f>IFERROR(VLOOKUP($C32,當前庫存!$C:$I,5,FALSE),"-")</f>
        <v>0</v>
      </c>
      <c r="F32" s="50"/>
      <c r="G32" s="50">
        <v>8</v>
      </c>
      <c r="H32" s="49">
        <f t="shared" si="0"/>
        <v>8</v>
      </c>
      <c r="I32" s="51">
        <v>2</v>
      </c>
      <c r="J32" s="62"/>
      <c r="K32" s="52" t="s">
        <v>20</v>
      </c>
      <c r="L32" s="145" t="s">
        <v>42</v>
      </c>
      <c r="M32" s="54" t="s">
        <v>24</v>
      </c>
      <c r="N32" s="49"/>
      <c r="O32" s="49"/>
      <c r="AF32" s="12"/>
    </row>
    <row r="33" spans="2:15" x14ac:dyDescent="0.15">
      <c r="B33" s="55">
        <v>45177</v>
      </c>
      <c r="C33" s="56" t="s">
        <v>19</v>
      </c>
      <c r="D33" s="56" t="str">
        <f>IFERROR(VLOOKUP($C33,烤漆色號編碼!$A:$C,2,FALSE),"-")</f>
        <v>WE</v>
      </c>
      <c r="E33" s="56">
        <f>IFERROR(VLOOKUP($C33,當前庫存!$C:$I,5,FALSE),"-")</f>
        <v>8</v>
      </c>
      <c r="F33" s="57">
        <v>1</v>
      </c>
      <c r="G33" s="57"/>
      <c r="H33" s="56">
        <f t="shared" si="0"/>
        <v>25</v>
      </c>
      <c r="I33" s="58"/>
      <c r="J33" s="57">
        <f t="shared" ref="J33:J64" si="2">H33-I33</f>
        <v>25</v>
      </c>
      <c r="K33" s="59" t="s">
        <v>20</v>
      </c>
      <c r="L33" s="144"/>
      <c r="M33" s="61" t="s">
        <v>21</v>
      </c>
      <c r="N33" s="56"/>
      <c r="O33" s="56"/>
    </row>
    <row r="34" spans="2:15" x14ac:dyDescent="0.15">
      <c r="B34" s="48">
        <v>45180</v>
      </c>
      <c r="C34" s="49" t="s">
        <v>38</v>
      </c>
      <c r="D34" s="49" t="str">
        <f>IFERROR(VLOOKUP($C34,烤漆色號編碼!$A:$C,2,FALSE),"-")</f>
        <v>PK</v>
      </c>
      <c r="E34" s="49">
        <f>IFERROR(VLOOKUP($C34,當前庫存!$C:$I,5,FALSE),"-")</f>
        <v>0</v>
      </c>
      <c r="F34" s="50"/>
      <c r="G34" s="50">
        <v>13</v>
      </c>
      <c r="H34" s="49">
        <f t="shared" si="0"/>
        <v>13</v>
      </c>
      <c r="I34" s="51">
        <v>12</v>
      </c>
      <c r="J34" s="50">
        <f t="shared" si="2"/>
        <v>1</v>
      </c>
      <c r="K34" s="52" t="s">
        <v>29</v>
      </c>
      <c r="L34" s="53"/>
      <c r="M34" s="54" t="s">
        <v>24</v>
      </c>
      <c r="N34" s="49"/>
      <c r="O34" s="49"/>
    </row>
    <row r="35" spans="2:15" x14ac:dyDescent="0.15">
      <c r="B35" s="55">
        <v>45180</v>
      </c>
      <c r="C35" s="56" t="s">
        <v>43</v>
      </c>
      <c r="D35" s="56" t="str">
        <f>IFERROR(VLOOKUP($C35,烤漆色號編碼!$A:$C,2,FALSE),"-")</f>
        <v>YW</v>
      </c>
      <c r="E35" s="56">
        <f>IFERROR(VLOOKUP($C35,當前庫存!$C:$I,5,FALSE),"-")</f>
        <v>5</v>
      </c>
      <c r="F35" s="57"/>
      <c r="G35" s="57">
        <v>22</v>
      </c>
      <c r="H35" s="56">
        <f t="shared" si="0"/>
        <v>22</v>
      </c>
      <c r="I35" s="58">
        <v>22</v>
      </c>
      <c r="J35" s="57">
        <f t="shared" si="2"/>
        <v>0</v>
      </c>
      <c r="K35" s="59" t="s">
        <v>29</v>
      </c>
      <c r="L35" s="60" t="s">
        <v>45</v>
      </c>
      <c r="M35" s="61" t="s">
        <v>24</v>
      </c>
      <c r="N35" s="56"/>
      <c r="O35" s="56"/>
    </row>
    <row r="36" spans="2:15" x14ac:dyDescent="0.15">
      <c r="B36" s="48">
        <v>45180</v>
      </c>
      <c r="C36" s="49" t="s">
        <v>33</v>
      </c>
      <c r="D36" s="49" t="str">
        <f>IFERROR(VLOOKUP($C36,烤漆色號編碼!$A:$C,2,FALSE),"-")</f>
        <v>BE</v>
      </c>
      <c r="E36" s="49">
        <f>IFERROR(VLOOKUP($C36,當前庫存!$C:$I,5,FALSE),"-")</f>
        <v>0</v>
      </c>
      <c r="F36" s="50"/>
      <c r="G36" s="50">
        <v>24</v>
      </c>
      <c r="H36" s="49">
        <f t="shared" si="0"/>
        <v>24</v>
      </c>
      <c r="I36" s="51">
        <v>23</v>
      </c>
      <c r="J36" s="50">
        <f t="shared" si="2"/>
        <v>1</v>
      </c>
      <c r="K36" s="52" t="s">
        <v>29</v>
      </c>
      <c r="L36" s="53" t="s">
        <v>45</v>
      </c>
      <c r="M36" s="54" t="s">
        <v>24</v>
      </c>
      <c r="N36" s="49"/>
      <c r="O36" s="49"/>
    </row>
    <row r="37" spans="2:15" x14ac:dyDescent="0.15">
      <c r="B37" s="55">
        <v>45180</v>
      </c>
      <c r="C37" s="56" t="s">
        <v>31</v>
      </c>
      <c r="D37" s="56" t="str">
        <f>IFERROR(VLOOKUP($C37,烤漆色號編碼!$A:$C,2,FALSE),"-")</f>
        <v>BK</v>
      </c>
      <c r="E37" s="56">
        <f>IFERROR(VLOOKUP($C37,當前庫存!$C:$I,5,FALSE),"-")</f>
        <v>0</v>
      </c>
      <c r="F37" s="57"/>
      <c r="G37" s="57">
        <v>5</v>
      </c>
      <c r="H37" s="56">
        <f t="shared" si="0"/>
        <v>5</v>
      </c>
      <c r="I37" s="58">
        <v>5</v>
      </c>
      <c r="J37" s="57">
        <f t="shared" si="2"/>
        <v>0</v>
      </c>
      <c r="K37" s="59" t="s">
        <v>29</v>
      </c>
      <c r="L37" s="60" t="s">
        <v>45</v>
      </c>
      <c r="M37" s="61" t="s">
        <v>24</v>
      </c>
      <c r="N37" s="56"/>
      <c r="O37" s="56"/>
    </row>
    <row r="38" spans="2:15" x14ac:dyDescent="0.15">
      <c r="B38" s="48">
        <v>45180</v>
      </c>
      <c r="C38" s="49" t="s">
        <v>19</v>
      </c>
      <c r="D38" s="49" t="str">
        <f>IFERROR(VLOOKUP($C38,烤漆色號編碼!$A:$C,2,FALSE),"-")</f>
        <v>WE</v>
      </c>
      <c r="E38" s="49">
        <f>IFERROR(VLOOKUP($C38,當前庫存!$C:$I,5,FALSE),"-")</f>
        <v>8</v>
      </c>
      <c r="F38" s="50">
        <v>5</v>
      </c>
      <c r="G38" s="50"/>
      <c r="H38" s="49">
        <f t="shared" si="0"/>
        <v>125</v>
      </c>
      <c r="I38" s="51"/>
      <c r="J38" s="50">
        <f t="shared" si="2"/>
        <v>125</v>
      </c>
      <c r="K38" s="52" t="s">
        <v>29</v>
      </c>
      <c r="L38" s="53"/>
      <c r="M38" s="54" t="s">
        <v>21</v>
      </c>
      <c r="N38" s="49"/>
      <c r="O38" s="49"/>
    </row>
    <row r="39" spans="2:15" x14ac:dyDescent="0.15">
      <c r="B39" s="55">
        <v>45180</v>
      </c>
      <c r="C39" s="56" t="s">
        <v>38</v>
      </c>
      <c r="D39" s="56" t="str">
        <f>IFERROR(VLOOKUP($C39,烤漆色號編碼!$A:$C,2,FALSE),"-")</f>
        <v>PK</v>
      </c>
      <c r="E39" s="56">
        <f>IFERROR(VLOOKUP($C39,當前庫存!$C:$I,5,FALSE),"-")</f>
        <v>0</v>
      </c>
      <c r="F39" s="57"/>
      <c r="G39" s="57">
        <v>12</v>
      </c>
      <c r="H39" s="56">
        <f t="shared" si="0"/>
        <v>12</v>
      </c>
      <c r="I39" s="58">
        <v>12</v>
      </c>
      <c r="J39" s="57">
        <f t="shared" si="2"/>
        <v>0</v>
      </c>
      <c r="K39" s="59" t="s">
        <v>29</v>
      </c>
      <c r="L39" s="60" t="s">
        <v>34</v>
      </c>
      <c r="M39" s="61" t="s">
        <v>24</v>
      </c>
      <c r="N39" s="56"/>
      <c r="O39" s="56"/>
    </row>
    <row r="40" spans="2:15" ht="24.75" x14ac:dyDescent="0.15">
      <c r="B40" s="48">
        <v>45180</v>
      </c>
      <c r="C40" s="49" t="s">
        <v>27</v>
      </c>
      <c r="D40" s="49" t="str">
        <f>IFERROR(VLOOKUP($C40,烤漆色號編碼!$A:$C,2,FALSE),"-")</f>
        <v>YW</v>
      </c>
      <c r="E40" s="49">
        <f>IFERROR(VLOOKUP($C40,當前庫存!$C:$I,5,FALSE),"-")</f>
        <v>0</v>
      </c>
      <c r="F40" s="50"/>
      <c r="G40" s="50">
        <v>8</v>
      </c>
      <c r="H40" s="49">
        <f t="shared" si="0"/>
        <v>8</v>
      </c>
      <c r="I40" s="51">
        <v>5</v>
      </c>
      <c r="J40" s="50">
        <f t="shared" si="2"/>
        <v>3</v>
      </c>
      <c r="K40" s="52" t="s">
        <v>29</v>
      </c>
      <c r="L40" s="53" t="s">
        <v>46</v>
      </c>
      <c r="M40" s="54" t="s">
        <v>24</v>
      </c>
      <c r="N40" s="49"/>
      <c r="O40" s="49"/>
    </row>
    <row r="41" spans="2:15" x14ac:dyDescent="0.15">
      <c r="B41" s="55">
        <v>45181</v>
      </c>
      <c r="C41" s="56" t="s">
        <v>19</v>
      </c>
      <c r="D41" s="56" t="str">
        <f>IFERROR(VLOOKUP($C41,烤漆色號編碼!$A:$C,2,FALSE),"-")</f>
        <v>WE</v>
      </c>
      <c r="E41" s="56">
        <f>IFERROR(VLOOKUP($C41,當前庫存!$C:$I,5,FALSE),"-")</f>
        <v>8</v>
      </c>
      <c r="F41" s="57">
        <v>5</v>
      </c>
      <c r="G41" s="57">
        <v>14</v>
      </c>
      <c r="H41" s="56">
        <f t="shared" si="0"/>
        <v>139</v>
      </c>
      <c r="I41" s="58"/>
      <c r="J41" s="57">
        <f t="shared" si="2"/>
        <v>139</v>
      </c>
      <c r="K41" s="59" t="s">
        <v>29</v>
      </c>
      <c r="L41" s="60"/>
      <c r="M41" s="61" t="s">
        <v>21</v>
      </c>
      <c r="N41" s="56"/>
      <c r="O41" s="56"/>
    </row>
    <row r="42" spans="2:15" x14ac:dyDescent="0.15">
      <c r="B42" s="48">
        <v>45182</v>
      </c>
      <c r="C42" s="49" t="s">
        <v>19</v>
      </c>
      <c r="D42" s="49" t="str">
        <f>IFERROR(VLOOKUP($C42,烤漆色號編碼!$A:$C,2,FALSE),"-")</f>
        <v>WE</v>
      </c>
      <c r="E42" s="49">
        <f>IFERROR(VLOOKUP($C42,當前庫存!$C:$I,5,FALSE),"-")</f>
        <v>8</v>
      </c>
      <c r="F42" s="50">
        <v>2</v>
      </c>
      <c r="G42" s="50"/>
      <c r="H42" s="49">
        <f t="shared" ref="H42:H73" si="3">25*F42+(G42)</f>
        <v>50</v>
      </c>
      <c r="I42" s="51"/>
      <c r="J42" s="50">
        <f t="shared" si="2"/>
        <v>50</v>
      </c>
      <c r="K42" s="52" t="s">
        <v>20</v>
      </c>
      <c r="L42" s="53"/>
      <c r="M42" s="54" t="s">
        <v>21</v>
      </c>
      <c r="N42" s="49"/>
      <c r="O42" s="49"/>
    </row>
    <row r="43" spans="2:15" ht="24.75" x14ac:dyDescent="0.15">
      <c r="B43" s="55">
        <v>45183</v>
      </c>
      <c r="C43" s="56" t="s">
        <v>25</v>
      </c>
      <c r="D43" s="56" t="str">
        <f>IFERROR(VLOOKUP($C43,烤漆色號編碼!$A:$C,2,FALSE),"-")</f>
        <v>BKS1</v>
      </c>
      <c r="E43" s="56">
        <f>IFERROR(VLOOKUP($C43,當前庫存!$C:$I,5,FALSE),"-")</f>
        <v>16</v>
      </c>
      <c r="F43" s="57"/>
      <c r="G43" s="57"/>
      <c r="H43" s="56">
        <f t="shared" si="3"/>
        <v>0</v>
      </c>
      <c r="I43" s="58"/>
      <c r="J43" s="57">
        <f t="shared" si="2"/>
        <v>0</v>
      </c>
      <c r="K43" s="59" t="s">
        <v>29</v>
      </c>
      <c r="L43" s="60" t="s">
        <v>47</v>
      </c>
      <c r="M43" s="61" t="s">
        <v>24</v>
      </c>
      <c r="N43" s="57" t="s">
        <v>48</v>
      </c>
      <c r="O43" s="56"/>
    </row>
    <row r="44" spans="2:15" x14ac:dyDescent="0.15">
      <c r="B44" s="48">
        <v>45183</v>
      </c>
      <c r="C44" s="49" t="s">
        <v>19</v>
      </c>
      <c r="D44" s="49" t="str">
        <f>IFERROR(VLOOKUP($C44,烤漆色號編碼!$A:$C,2,FALSE),"-")</f>
        <v>WE</v>
      </c>
      <c r="E44" s="49">
        <f>IFERROR(VLOOKUP($C44,當前庫存!$C:$I,5,FALSE),"-")</f>
        <v>8</v>
      </c>
      <c r="F44" s="50">
        <v>4</v>
      </c>
      <c r="G44" s="50"/>
      <c r="H44" s="49">
        <f t="shared" si="3"/>
        <v>100</v>
      </c>
      <c r="I44" s="51"/>
      <c r="J44" s="50">
        <f t="shared" si="2"/>
        <v>100</v>
      </c>
      <c r="K44" s="52" t="s">
        <v>29</v>
      </c>
      <c r="L44" s="53"/>
      <c r="M44" s="54" t="s">
        <v>21</v>
      </c>
      <c r="N44" s="49"/>
      <c r="O44" s="49"/>
    </row>
    <row r="45" spans="2:15" x14ac:dyDescent="0.15">
      <c r="B45" s="55">
        <v>45183</v>
      </c>
      <c r="C45" s="56" t="s">
        <v>43</v>
      </c>
      <c r="D45" s="56" t="str">
        <f>IFERROR(VLOOKUP($C45,烤漆色號編碼!$A:$C,2,FALSE),"-")</f>
        <v>YW</v>
      </c>
      <c r="E45" s="56">
        <f>IFERROR(VLOOKUP($C45,當前庫存!$C:$I,5,FALSE),"-")</f>
        <v>5</v>
      </c>
      <c r="F45" s="57"/>
      <c r="G45" s="57"/>
      <c r="H45" s="56">
        <f t="shared" si="3"/>
        <v>0</v>
      </c>
      <c r="I45" s="58"/>
      <c r="J45" s="57">
        <f t="shared" si="2"/>
        <v>0</v>
      </c>
      <c r="K45" s="59" t="s">
        <v>29</v>
      </c>
      <c r="L45" s="60" t="s">
        <v>49</v>
      </c>
      <c r="M45" s="61" t="s">
        <v>24</v>
      </c>
      <c r="N45" s="56"/>
      <c r="O45" s="56"/>
    </row>
    <row r="46" spans="2:15" x14ac:dyDescent="0.15">
      <c r="B46" s="48">
        <v>45184</v>
      </c>
      <c r="C46" s="49" t="s">
        <v>25</v>
      </c>
      <c r="D46" s="49" t="str">
        <f>IFERROR(VLOOKUP($C46,烤漆色號編碼!$A:$C,2,FALSE),"-")</f>
        <v>BKS1</v>
      </c>
      <c r="E46" s="49">
        <f>IFERROR(VLOOKUP($C46,當前庫存!$C:$I,5,FALSE),"-")</f>
        <v>16</v>
      </c>
      <c r="F46" s="50"/>
      <c r="G46" s="50"/>
      <c r="H46" s="49">
        <f t="shared" si="3"/>
        <v>0</v>
      </c>
      <c r="I46" s="51"/>
      <c r="J46" s="50">
        <f t="shared" si="2"/>
        <v>0</v>
      </c>
      <c r="K46" s="52" t="s">
        <v>29</v>
      </c>
      <c r="L46" s="53" t="s">
        <v>50</v>
      </c>
      <c r="M46" s="54" t="s">
        <v>24</v>
      </c>
      <c r="N46" s="49"/>
      <c r="O46" s="49"/>
    </row>
    <row r="47" spans="2:15" x14ac:dyDescent="0.15">
      <c r="B47" s="55">
        <v>45184</v>
      </c>
      <c r="C47" s="56" t="s">
        <v>19</v>
      </c>
      <c r="D47" s="56" t="str">
        <f>IFERROR(VLOOKUP($C47,烤漆色號編碼!$A:$C,2,FALSE),"-")</f>
        <v>WE</v>
      </c>
      <c r="E47" s="56">
        <f>IFERROR(VLOOKUP($C47,當前庫存!$C:$I,5,FALSE),"-")</f>
        <v>8</v>
      </c>
      <c r="F47" s="57">
        <v>4</v>
      </c>
      <c r="G47" s="57"/>
      <c r="H47" s="56">
        <f t="shared" si="3"/>
        <v>100</v>
      </c>
      <c r="I47" s="58"/>
      <c r="J47" s="57">
        <f t="shared" si="2"/>
        <v>100</v>
      </c>
      <c r="K47" s="59" t="s">
        <v>29</v>
      </c>
      <c r="L47" s="60"/>
      <c r="M47" s="61" t="s">
        <v>21</v>
      </c>
      <c r="N47" s="56"/>
      <c r="O47" s="56"/>
    </row>
    <row r="48" spans="2:15" x14ac:dyDescent="0.15">
      <c r="B48" s="48">
        <v>45184</v>
      </c>
      <c r="C48" s="49" t="s">
        <v>43</v>
      </c>
      <c r="D48" s="49" t="str">
        <f>IFERROR(VLOOKUP($C48,烤漆色號編碼!$A:$C,2,FALSE),"-")</f>
        <v>YW</v>
      </c>
      <c r="E48" s="49">
        <f>IFERROR(VLOOKUP($C48,當前庫存!$C:$I,5,FALSE),"-")</f>
        <v>5</v>
      </c>
      <c r="F48" s="50"/>
      <c r="G48" s="50">
        <v>22</v>
      </c>
      <c r="H48" s="49">
        <f t="shared" si="3"/>
        <v>22</v>
      </c>
      <c r="I48" s="51">
        <v>18</v>
      </c>
      <c r="J48" s="50">
        <f t="shared" si="2"/>
        <v>4</v>
      </c>
      <c r="K48" s="52" t="s">
        <v>29</v>
      </c>
      <c r="L48" s="53" t="s">
        <v>51</v>
      </c>
      <c r="M48" s="54" t="s">
        <v>24</v>
      </c>
      <c r="N48" s="49"/>
      <c r="O48" s="49"/>
    </row>
    <row r="49" spans="2:15" x14ac:dyDescent="0.15">
      <c r="B49" s="55">
        <v>45188</v>
      </c>
      <c r="C49" s="56" t="s">
        <v>43</v>
      </c>
      <c r="D49" s="56" t="str">
        <f>IFERROR(VLOOKUP($C49,烤漆色號編碼!$A:$C,2,FALSE),"-")</f>
        <v>YW</v>
      </c>
      <c r="E49" s="56">
        <f>IFERROR(VLOOKUP($C49,當前庫存!$C:$I,5,FALSE),"-")</f>
        <v>5</v>
      </c>
      <c r="F49" s="57"/>
      <c r="G49" s="57">
        <v>18</v>
      </c>
      <c r="H49" s="56">
        <f t="shared" si="3"/>
        <v>18</v>
      </c>
      <c r="I49" s="58">
        <v>5</v>
      </c>
      <c r="J49" s="57">
        <f t="shared" si="2"/>
        <v>13</v>
      </c>
      <c r="K49" s="59" t="s">
        <v>20</v>
      </c>
      <c r="L49" s="60" t="s">
        <v>52</v>
      </c>
      <c r="M49" s="61" t="s">
        <v>24</v>
      </c>
      <c r="N49" s="56"/>
      <c r="O49" s="56"/>
    </row>
    <row r="50" spans="2:15" x14ac:dyDescent="0.15">
      <c r="B50" s="48">
        <v>45188</v>
      </c>
      <c r="C50" s="49" t="s">
        <v>19</v>
      </c>
      <c r="D50" s="49" t="str">
        <f>IFERROR(VLOOKUP($C50,烤漆色號編碼!$A:$C,2,FALSE),"-")</f>
        <v>WE</v>
      </c>
      <c r="E50" s="49">
        <f>IFERROR(VLOOKUP($C50,當前庫存!$C:$I,5,FALSE),"-")</f>
        <v>8</v>
      </c>
      <c r="F50" s="50">
        <v>2</v>
      </c>
      <c r="G50" s="50"/>
      <c r="H50" s="49">
        <f t="shared" si="3"/>
        <v>50</v>
      </c>
      <c r="I50" s="51"/>
      <c r="J50" s="50">
        <f t="shared" si="2"/>
        <v>50</v>
      </c>
      <c r="K50" s="52" t="s">
        <v>20</v>
      </c>
      <c r="L50" s="53"/>
      <c r="M50" s="54" t="s">
        <v>21</v>
      </c>
      <c r="N50" s="49"/>
      <c r="O50" s="49"/>
    </row>
    <row r="51" spans="2:15" x14ac:dyDescent="0.15">
      <c r="B51" s="55">
        <v>45189</v>
      </c>
      <c r="C51" s="56" t="s">
        <v>30</v>
      </c>
      <c r="D51" s="56" t="str">
        <f>IFERROR(VLOOKUP($C51,烤漆色號編碼!$A:$C,2,FALSE),"-")</f>
        <v>DGS</v>
      </c>
      <c r="E51" s="56">
        <f>IFERROR(VLOOKUP($C51,當前庫存!$C:$I,5,FALSE),"-")</f>
        <v>4</v>
      </c>
      <c r="F51" s="57"/>
      <c r="G51" s="57">
        <v>13</v>
      </c>
      <c r="H51" s="56">
        <f t="shared" si="3"/>
        <v>13</v>
      </c>
      <c r="I51" s="58">
        <v>12</v>
      </c>
      <c r="J51" s="57">
        <f t="shared" si="2"/>
        <v>1</v>
      </c>
      <c r="K51" s="59" t="s">
        <v>20</v>
      </c>
      <c r="L51" s="60" t="s">
        <v>53</v>
      </c>
      <c r="M51" s="61" t="s">
        <v>24</v>
      </c>
      <c r="N51" s="56"/>
      <c r="O51" s="56"/>
    </row>
    <row r="52" spans="2:15" x14ac:dyDescent="0.15">
      <c r="B52" s="48">
        <v>45189</v>
      </c>
      <c r="C52" s="49" t="s">
        <v>19</v>
      </c>
      <c r="D52" s="49" t="str">
        <f>IFERROR(VLOOKUP($C52,烤漆色號編碼!$A:$C,2,FALSE),"-")</f>
        <v>WE</v>
      </c>
      <c r="E52" s="49">
        <f>IFERROR(VLOOKUP($C52,當前庫存!$C:$I,5,FALSE),"-")</f>
        <v>8</v>
      </c>
      <c r="F52" s="50"/>
      <c r="G52" s="50"/>
      <c r="H52" s="49">
        <f t="shared" si="3"/>
        <v>0</v>
      </c>
      <c r="I52" s="51"/>
      <c r="J52" s="50">
        <f t="shared" si="2"/>
        <v>0</v>
      </c>
      <c r="K52" s="52" t="s">
        <v>20</v>
      </c>
      <c r="L52" s="53"/>
      <c r="M52" s="54" t="s">
        <v>21</v>
      </c>
      <c r="N52" s="49"/>
      <c r="O52" s="49"/>
    </row>
    <row r="53" spans="2:15" x14ac:dyDescent="0.15">
      <c r="B53" s="55">
        <v>45189</v>
      </c>
      <c r="C53" s="56" t="s">
        <v>43</v>
      </c>
      <c r="D53" s="56" t="str">
        <f>IFERROR(VLOOKUP($C53,烤漆色號編碼!$A:$C,2,FALSE),"-")</f>
        <v>YW</v>
      </c>
      <c r="E53" s="56">
        <f>IFERROR(VLOOKUP($C53,當前庫存!$C:$I,5,FALSE),"-")</f>
        <v>5</v>
      </c>
      <c r="F53" s="57"/>
      <c r="G53" s="57"/>
      <c r="H53" s="56">
        <f t="shared" si="3"/>
        <v>0</v>
      </c>
      <c r="I53" s="58"/>
      <c r="J53" s="57">
        <f t="shared" si="2"/>
        <v>0</v>
      </c>
      <c r="K53" s="59" t="s">
        <v>20</v>
      </c>
      <c r="L53" s="60" t="s">
        <v>54</v>
      </c>
      <c r="M53" s="61" t="s">
        <v>24</v>
      </c>
      <c r="N53" s="56"/>
      <c r="O53" s="56"/>
    </row>
    <row r="54" spans="2:15" x14ac:dyDescent="0.15">
      <c r="B54" s="48"/>
      <c r="C54" s="49"/>
      <c r="D54" s="49" t="str">
        <f>IFERROR(VLOOKUP($C54,烤漆色號編碼!$A:$C,2,FALSE),"-")</f>
        <v>-</v>
      </c>
      <c r="E54" s="49" t="str">
        <f>IFERROR(VLOOKUP($C54,當前庫存!$C:$I,5,FALSE),"-")</f>
        <v>-</v>
      </c>
      <c r="F54" s="50"/>
      <c r="G54" s="50"/>
      <c r="H54" s="49">
        <f t="shared" si="3"/>
        <v>0</v>
      </c>
      <c r="I54" s="51"/>
      <c r="J54" s="50">
        <f t="shared" si="2"/>
        <v>0</v>
      </c>
      <c r="K54" s="52"/>
      <c r="L54" s="53"/>
      <c r="M54" s="54"/>
      <c r="N54" s="49"/>
      <c r="O54" s="49"/>
    </row>
    <row r="55" spans="2:15" x14ac:dyDescent="0.15">
      <c r="B55" s="55"/>
      <c r="C55" s="56"/>
      <c r="D55" s="56" t="str">
        <f>IFERROR(VLOOKUP($C55,烤漆色號編碼!$A:$C,2,FALSE),"-")</f>
        <v>-</v>
      </c>
      <c r="E55" s="56" t="str">
        <f>IFERROR(VLOOKUP($C55,當前庫存!$C:$I,5,FALSE),"-")</f>
        <v>-</v>
      </c>
      <c r="F55" s="57"/>
      <c r="G55" s="57"/>
      <c r="H55" s="56">
        <f t="shared" si="3"/>
        <v>0</v>
      </c>
      <c r="I55" s="58"/>
      <c r="J55" s="57">
        <f t="shared" si="2"/>
        <v>0</v>
      </c>
      <c r="K55" s="59"/>
      <c r="L55" s="60"/>
      <c r="M55" s="61"/>
      <c r="N55" s="56"/>
      <c r="O55" s="56"/>
    </row>
    <row r="56" spans="2:15" x14ac:dyDescent="0.15">
      <c r="B56" s="48"/>
      <c r="C56" s="49"/>
      <c r="D56" s="49" t="str">
        <f>IFERROR(VLOOKUP($C56,烤漆色號編碼!$A:$C,2,FALSE),"-")</f>
        <v>-</v>
      </c>
      <c r="E56" s="49" t="str">
        <f>IFERROR(VLOOKUP($C56,當前庫存!$C:$I,5,FALSE),"-")</f>
        <v>-</v>
      </c>
      <c r="F56" s="50"/>
      <c r="G56" s="50"/>
      <c r="H56" s="49">
        <f t="shared" si="3"/>
        <v>0</v>
      </c>
      <c r="I56" s="51"/>
      <c r="J56" s="50">
        <f t="shared" si="2"/>
        <v>0</v>
      </c>
      <c r="K56" s="52"/>
      <c r="L56" s="53"/>
      <c r="M56" s="54"/>
      <c r="N56" s="49"/>
      <c r="O56" s="49"/>
    </row>
    <row r="57" spans="2:15" x14ac:dyDescent="0.15">
      <c r="B57" s="55"/>
      <c r="C57" s="56"/>
      <c r="D57" s="56" t="str">
        <f>IFERROR(VLOOKUP($C57,烤漆色號編碼!$A:$C,2,FALSE),"-")</f>
        <v>-</v>
      </c>
      <c r="E57" s="56" t="str">
        <f>IFERROR(VLOOKUP($C57,當前庫存!$C:$I,5,FALSE),"-")</f>
        <v>-</v>
      </c>
      <c r="F57" s="57"/>
      <c r="G57" s="57"/>
      <c r="H57" s="56">
        <f t="shared" si="3"/>
        <v>0</v>
      </c>
      <c r="I57" s="58"/>
      <c r="J57" s="57">
        <f t="shared" si="2"/>
        <v>0</v>
      </c>
      <c r="K57" s="59"/>
      <c r="L57" s="60"/>
      <c r="M57" s="61"/>
      <c r="N57" s="56"/>
      <c r="O57" s="56"/>
    </row>
    <row r="58" spans="2:15" x14ac:dyDescent="0.15">
      <c r="B58" s="48"/>
      <c r="C58" s="49"/>
      <c r="D58" s="49" t="str">
        <f>IFERROR(VLOOKUP($C58,烤漆色號編碼!$A:$C,2,FALSE),"-")</f>
        <v>-</v>
      </c>
      <c r="E58" s="49" t="str">
        <f>IFERROR(VLOOKUP($C58,當前庫存!$C:$I,5,FALSE),"-")</f>
        <v>-</v>
      </c>
      <c r="F58" s="50"/>
      <c r="G58" s="50"/>
      <c r="H58" s="49">
        <f t="shared" si="3"/>
        <v>0</v>
      </c>
      <c r="I58" s="51"/>
      <c r="J58" s="50">
        <f t="shared" si="2"/>
        <v>0</v>
      </c>
      <c r="K58" s="52"/>
      <c r="L58" s="53"/>
      <c r="M58" s="54"/>
      <c r="N58" s="49"/>
      <c r="O58" s="49"/>
    </row>
    <row r="59" spans="2:15" x14ac:dyDescent="0.15">
      <c r="B59" s="55"/>
      <c r="C59" s="56"/>
      <c r="D59" s="56" t="str">
        <f>IFERROR(VLOOKUP($C59,烤漆色號編碼!$A:$C,2,FALSE),"-")</f>
        <v>-</v>
      </c>
      <c r="E59" s="56" t="str">
        <f>IFERROR(VLOOKUP($C59,當前庫存!$C:$I,5,FALSE),"-")</f>
        <v>-</v>
      </c>
      <c r="F59" s="57"/>
      <c r="G59" s="57"/>
      <c r="H59" s="56">
        <f t="shared" si="3"/>
        <v>0</v>
      </c>
      <c r="I59" s="58"/>
      <c r="J59" s="57">
        <f t="shared" si="2"/>
        <v>0</v>
      </c>
      <c r="K59" s="59"/>
      <c r="L59" s="60"/>
      <c r="M59" s="61"/>
      <c r="N59" s="56"/>
      <c r="O59" s="56"/>
    </row>
    <row r="60" spans="2:15" x14ac:dyDescent="0.15">
      <c r="B60" s="48"/>
      <c r="C60" s="49"/>
      <c r="D60" s="49" t="str">
        <f>IFERROR(VLOOKUP($C60,烤漆色號編碼!$A:$C,2,FALSE),"-")</f>
        <v>-</v>
      </c>
      <c r="E60" s="49" t="str">
        <f>IFERROR(VLOOKUP($C60,當前庫存!$C:$I,5,FALSE),"-")</f>
        <v>-</v>
      </c>
      <c r="F60" s="50"/>
      <c r="G60" s="50"/>
      <c r="H60" s="49">
        <f t="shared" si="3"/>
        <v>0</v>
      </c>
      <c r="I60" s="51"/>
      <c r="J60" s="50">
        <f t="shared" si="2"/>
        <v>0</v>
      </c>
      <c r="K60" s="52"/>
      <c r="L60" s="53"/>
      <c r="M60" s="54"/>
      <c r="N60" s="49"/>
      <c r="O60" s="49"/>
    </row>
    <row r="61" spans="2:15" x14ac:dyDescent="0.15">
      <c r="B61" s="55"/>
      <c r="C61" s="56"/>
      <c r="D61" s="56" t="str">
        <f>IFERROR(VLOOKUP($C61,烤漆色號編碼!$A:$C,2,FALSE),"-")</f>
        <v>-</v>
      </c>
      <c r="E61" s="56" t="str">
        <f>IFERROR(VLOOKUP($C61,當前庫存!$C:$I,5,FALSE),"-")</f>
        <v>-</v>
      </c>
      <c r="F61" s="57"/>
      <c r="G61" s="57"/>
      <c r="H61" s="56">
        <f t="shared" si="3"/>
        <v>0</v>
      </c>
      <c r="I61" s="58"/>
      <c r="J61" s="57">
        <f t="shared" si="2"/>
        <v>0</v>
      </c>
      <c r="K61" s="59"/>
      <c r="L61" s="60"/>
      <c r="M61" s="61"/>
      <c r="N61" s="56"/>
      <c r="O61" s="56"/>
    </row>
    <row r="62" spans="2:15" x14ac:dyDescent="0.15">
      <c r="B62" s="48"/>
      <c r="C62" s="49"/>
      <c r="D62" s="49" t="str">
        <f>IFERROR(VLOOKUP($C62,烤漆色號編碼!$A:$C,2,FALSE),"-")</f>
        <v>-</v>
      </c>
      <c r="E62" s="49" t="str">
        <f>IFERROR(VLOOKUP($C62,當前庫存!$C:$I,5,FALSE),"-")</f>
        <v>-</v>
      </c>
      <c r="F62" s="50"/>
      <c r="G62" s="50"/>
      <c r="H62" s="49">
        <f t="shared" si="3"/>
        <v>0</v>
      </c>
      <c r="I62" s="51"/>
      <c r="J62" s="50">
        <f t="shared" si="2"/>
        <v>0</v>
      </c>
      <c r="K62" s="52"/>
      <c r="L62" s="53"/>
      <c r="M62" s="54"/>
      <c r="N62" s="49"/>
      <c r="O62" s="49"/>
    </row>
    <row r="63" spans="2:15" x14ac:dyDescent="0.15">
      <c r="B63" s="55"/>
      <c r="C63" s="56"/>
      <c r="D63" s="56" t="str">
        <f>IFERROR(VLOOKUP($C63,烤漆色號編碼!$A:$C,2,FALSE),"-")</f>
        <v>-</v>
      </c>
      <c r="E63" s="56" t="str">
        <f>IFERROR(VLOOKUP($C63,當前庫存!$C:$I,5,FALSE),"-")</f>
        <v>-</v>
      </c>
      <c r="F63" s="57"/>
      <c r="G63" s="57"/>
      <c r="H63" s="56">
        <f t="shared" si="3"/>
        <v>0</v>
      </c>
      <c r="I63" s="58"/>
      <c r="J63" s="57">
        <f t="shared" si="2"/>
        <v>0</v>
      </c>
      <c r="K63" s="59"/>
      <c r="L63" s="60"/>
      <c r="M63" s="61"/>
      <c r="N63" s="56"/>
      <c r="O63" s="56"/>
    </row>
    <row r="64" spans="2:15" x14ac:dyDescent="0.15">
      <c r="B64" s="48"/>
      <c r="C64" s="49"/>
      <c r="D64" s="49" t="str">
        <f>IFERROR(VLOOKUP($C64,烤漆色號編碼!$A:$C,2,FALSE),"-")</f>
        <v>-</v>
      </c>
      <c r="E64" s="49" t="str">
        <f>IFERROR(VLOOKUP($C64,當前庫存!$C:$I,5,FALSE),"-")</f>
        <v>-</v>
      </c>
      <c r="F64" s="50"/>
      <c r="G64" s="50"/>
      <c r="H64" s="49">
        <f t="shared" si="3"/>
        <v>0</v>
      </c>
      <c r="I64" s="51"/>
      <c r="J64" s="50">
        <f t="shared" si="2"/>
        <v>0</v>
      </c>
      <c r="K64" s="52"/>
      <c r="L64" s="53"/>
      <c r="M64" s="54"/>
      <c r="N64" s="49"/>
      <c r="O64" s="49"/>
    </row>
    <row r="65" spans="2:15" x14ac:dyDescent="0.15">
      <c r="B65" s="55"/>
      <c r="C65" s="56"/>
      <c r="D65" s="56" t="str">
        <f>IFERROR(VLOOKUP($C65,烤漆色號編碼!$A:$C,2,FALSE),"-")</f>
        <v>-</v>
      </c>
      <c r="E65" s="56" t="str">
        <f>IFERROR(VLOOKUP($C65,當前庫存!$C:$I,5,FALSE),"-")</f>
        <v>-</v>
      </c>
      <c r="F65" s="57"/>
      <c r="G65" s="57"/>
      <c r="H65" s="56">
        <f t="shared" si="3"/>
        <v>0</v>
      </c>
      <c r="I65" s="58"/>
      <c r="J65" s="57">
        <f t="shared" ref="J65:J96" si="4">H65-I65</f>
        <v>0</v>
      </c>
      <c r="K65" s="59"/>
      <c r="L65" s="60"/>
      <c r="M65" s="61"/>
      <c r="N65" s="56"/>
      <c r="O65" s="56"/>
    </row>
    <row r="66" spans="2:15" x14ac:dyDescent="0.15">
      <c r="B66" s="48"/>
      <c r="C66" s="49"/>
      <c r="D66" s="49" t="str">
        <f>IFERROR(VLOOKUP($C66,烤漆色號編碼!$A:$C,2,FALSE),"-")</f>
        <v>-</v>
      </c>
      <c r="E66" s="49" t="str">
        <f>IFERROR(VLOOKUP($C66,當前庫存!$C:$I,5,FALSE),"-")</f>
        <v>-</v>
      </c>
      <c r="F66" s="50"/>
      <c r="G66" s="50"/>
      <c r="H66" s="49">
        <f t="shared" si="3"/>
        <v>0</v>
      </c>
      <c r="I66" s="51"/>
      <c r="J66" s="50">
        <f t="shared" si="4"/>
        <v>0</v>
      </c>
      <c r="K66" s="52"/>
      <c r="L66" s="53"/>
      <c r="M66" s="54"/>
      <c r="N66" s="49"/>
      <c r="O66" s="49"/>
    </row>
    <row r="67" spans="2:15" x14ac:dyDescent="0.15">
      <c r="B67" s="55"/>
      <c r="C67" s="56"/>
      <c r="D67" s="56" t="str">
        <f>IFERROR(VLOOKUP($C67,烤漆色號編碼!$A:$C,2,FALSE),"-")</f>
        <v>-</v>
      </c>
      <c r="E67" s="56" t="str">
        <f>IFERROR(VLOOKUP($C67,當前庫存!$C:$I,5,FALSE),"-")</f>
        <v>-</v>
      </c>
      <c r="F67" s="57"/>
      <c r="G67" s="57"/>
      <c r="H67" s="56">
        <f t="shared" si="3"/>
        <v>0</v>
      </c>
      <c r="I67" s="58"/>
      <c r="J67" s="57">
        <f t="shared" si="4"/>
        <v>0</v>
      </c>
      <c r="K67" s="59"/>
      <c r="L67" s="60"/>
      <c r="M67" s="61"/>
      <c r="N67" s="56"/>
      <c r="O67" s="56"/>
    </row>
    <row r="68" spans="2:15" x14ac:dyDescent="0.15">
      <c r="B68" s="48"/>
      <c r="C68" s="49"/>
      <c r="D68" s="49" t="str">
        <f>IFERROR(VLOOKUP($C68,烤漆色號編碼!$A:$C,2,FALSE),"-")</f>
        <v>-</v>
      </c>
      <c r="E68" s="49" t="str">
        <f>IFERROR(VLOOKUP($C68,當前庫存!$C:$I,5,FALSE),"-")</f>
        <v>-</v>
      </c>
      <c r="F68" s="50"/>
      <c r="G68" s="50"/>
      <c r="H68" s="49">
        <f t="shared" si="3"/>
        <v>0</v>
      </c>
      <c r="I68" s="51"/>
      <c r="J68" s="50">
        <f t="shared" si="4"/>
        <v>0</v>
      </c>
      <c r="K68" s="52"/>
      <c r="L68" s="53"/>
      <c r="M68" s="54"/>
      <c r="N68" s="49"/>
      <c r="O68" s="49"/>
    </row>
    <row r="69" spans="2:15" x14ac:dyDescent="0.15">
      <c r="B69" s="55"/>
      <c r="C69" s="56"/>
      <c r="D69" s="56" t="str">
        <f>IFERROR(VLOOKUP($C69,烤漆色號編碼!$A:$C,2,FALSE),"-")</f>
        <v>-</v>
      </c>
      <c r="E69" s="56" t="str">
        <f>IFERROR(VLOOKUP($C69,當前庫存!$C:$I,5,FALSE),"-")</f>
        <v>-</v>
      </c>
      <c r="F69" s="57"/>
      <c r="G69" s="57"/>
      <c r="H69" s="56">
        <f t="shared" si="3"/>
        <v>0</v>
      </c>
      <c r="I69" s="58"/>
      <c r="J69" s="57">
        <f t="shared" si="4"/>
        <v>0</v>
      </c>
      <c r="K69" s="59"/>
      <c r="L69" s="60"/>
      <c r="M69" s="61"/>
      <c r="N69" s="56"/>
      <c r="O69" s="56"/>
    </row>
    <row r="70" spans="2:15" x14ac:dyDescent="0.15">
      <c r="B70" s="48"/>
      <c r="C70" s="49"/>
      <c r="D70" s="49" t="str">
        <f>IFERROR(VLOOKUP($C70,烤漆色號編碼!$A:$C,2,FALSE),"-")</f>
        <v>-</v>
      </c>
      <c r="E70" s="49" t="str">
        <f>IFERROR(VLOOKUP($C70,當前庫存!$C:$I,5,FALSE),"-")</f>
        <v>-</v>
      </c>
      <c r="F70" s="50"/>
      <c r="G70" s="50"/>
      <c r="H70" s="49">
        <f t="shared" si="3"/>
        <v>0</v>
      </c>
      <c r="I70" s="51"/>
      <c r="J70" s="50">
        <f t="shared" si="4"/>
        <v>0</v>
      </c>
      <c r="K70" s="52"/>
      <c r="L70" s="53"/>
      <c r="M70" s="54"/>
      <c r="N70" s="49"/>
      <c r="O70" s="49"/>
    </row>
    <row r="71" spans="2:15" x14ac:dyDescent="0.15">
      <c r="B71" s="55"/>
      <c r="C71" s="56"/>
      <c r="D71" s="56" t="str">
        <f>IFERROR(VLOOKUP($C71,烤漆色號編碼!$A:$C,2,FALSE),"-")</f>
        <v>-</v>
      </c>
      <c r="E71" s="56" t="str">
        <f>IFERROR(VLOOKUP($C71,當前庫存!$C:$I,5,FALSE),"-")</f>
        <v>-</v>
      </c>
      <c r="F71" s="57"/>
      <c r="G71" s="57"/>
      <c r="H71" s="56">
        <f t="shared" si="3"/>
        <v>0</v>
      </c>
      <c r="I71" s="58"/>
      <c r="J71" s="57">
        <f t="shared" si="4"/>
        <v>0</v>
      </c>
      <c r="K71" s="59"/>
      <c r="L71" s="60"/>
      <c r="M71" s="61"/>
      <c r="N71" s="56"/>
      <c r="O71" s="56"/>
    </row>
    <row r="72" spans="2:15" x14ac:dyDescent="0.15">
      <c r="B72" s="48"/>
      <c r="C72" s="49"/>
      <c r="D72" s="49" t="str">
        <f>IFERROR(VLOOKUP($C72,烤漆色號編碼!$A:$C,2,FALSE),"-")</f>
        <v>-</v>
      </c>
      <c r="E72" s="49" t="str">
        <f>IFERROR(VLOOKUP($C72,當前庫存!$C:$I,5,FALSE),"-")</f>
        <v>-</v>
      </c>
      <c r="F72" s="50"/>
      <c r="G72" s="50"/>
      <c r="H72" s="49">
        <f t="shared" si="3"/>
        <v>0</v>
      </c>
      <c r="I72" s="51"/>
      <c r="J72" s="50">
        <f t="shared" si="4"/>
        <v>0</v>
      </c>
      <c r="K72" s="52"/>
      <c r="L72" s="53"/>
      <c r="M72" s="54"/>
      <c r="N72" s="49"/>
      <c r="O72" s="49"/>
    </row>
    <row r="73" spans="2:15" x14ac:dyDescent="0.15">
      <c r="B73" s="55"/>
      <c r="C73" s="56"/>
      <c r="D73" s="56" t="str">
        <f>IFERROR(VLOOKUP($C73,烤漆色號編碼!$A:$C,2,FALSE),"-")</f>
        <v>-</v>
      </c>
      <c r="E73" s="56" t="str">
        <f>IFERROR(VLOOKUP($C73,當前庫存!$C:$I,5,FALSE),"-")</f>
        <v>-</v>
      </c>
      <c r="F73" s="57"/>
      <c r="G73" s="57"/>
      <c r="H73" s="56">
        <f t="shared" si="3"/>
        <v>0</v>
      </c>
      <c r="I73" s="58"/>
      <c r="J73" s="57">
        <f t="shared" si="4"/>
        <v>0</v>
      </c>
      <c r="K73" s="59"/>
      <c r="L73" s="60"/>
      <c r="M73" s="61"/>
      <c r="N73" s="56"/>
      <c r="O73" s="56"/>
    </row>
    <row r="74" spans="2:15" x14ac:dyDescent="0.15">
      <c r="B74" s="48"/>
      <c r="C74" s="49"/>
      <c r="D74" s="49" t="str">
        <f>IFERROR(VLOOKUP($C74,烤漆色號編碼!$A:$C,2,FALSE),"-")</f>
        <v>-</v>
      </c>
      <c r="E74" s="49" t="str">
        <f>IFERROR(VLOOKUP($C74,當前庫存!$C:$I,5,FALSE),"-")</f>
        <v>-</v>
      </c>
      <c r="F74" s="50"/>
      <c r="G74" s="50"/>
      <c r="H74" s="49">
        <f t="shared" ref="H74:H105" si="5">25*F74+(G74)</f>
        <v>0</v>
      </c>
      <c r="I74" s="51"/>
      <c r="J74" s="50">
        <f t="shared" si="4"/>
        <v>0</v>
      </c>
      <c r="K74" s="52"/>
      <c r="L74" s="53"/>
      <c r="M74" s="54"/>
      <c r="N74" s="49"/>
      <c r="O74" s="49"/>
    </row>
    <row r="75" spans="2:15" x14ac:dyDescent="0.15">
      <c r="B75" s="55"/>
      <c r="C75" s="56"/>
      <c r="D75" s="56" t="str">
        <f>IFERROR(VLOOKUP($C75,烤漆色號編碼!$A:$C,2,FALSE),"-")</f>
        <v>-</v>
      </c>
      <c r="E75" s="56" t="str">
        <f>IFERROR(VLOOKUP($C75,當前庫存!$C:$I,5,FALSE),"-")</f>
        <v>-</v>
      </c>
      <c r="F75" s="57"/>
      <c r="G75" s="57"/>
      <c r="H75" s="56">
        <f t="shared" si="5"/>
        <v>0</v>
      </c>
      <c r="I75" s="58"/>
      <c r="J75" s="57">
        <f t="shared" si="4"/>
        <v>0</v>
      </c>
      <c r="K75" s="59"/>
      <c r="L75" s="60"/>
      <c r="M75" s="61"/>
      <c r="N75" s="56"/>
      <c r="O75" s="56"/>
    </row>
    <row r="76" spans="2:15" x14ac:dyDescent="0.15">
      <c r="B76" s="48"/>
      <c r="C76" s="49"/>
      <c r="D76" s="49" t="str">
        <f>IFERROR(VLOOKUP($C76,烤漆色號編碼!$A:$C,2,FALSE),"-")</f>
        <v>-</v>
      </c>
      <c r="E76" s="49" t="str">
        <f>IFERROR(VLOOKUP($C76,當前庫存!$C:$I,5,FALSE),"-")</f>
        <v>-</v>
      </c>
      <c r="F76" s="50"/>
      <c r="G76" s="50"/>
      <c r="H76" s="49">
        <f t="shared" si="5"/>
        <v>0</v>
      </c>
      <c r="I76" s="51"/>
      <c r="J76" s="50">
        <f t="shared" si="4"/>
        <v>0</v>
      </c>
      <c r="K76" s="52"/>
      <c r="L76" s="53"/>
      <c r="M76" s="54"/>
      <c r="N76" s="49"/>
      <c r="O76" s="49"/>
    </row>
    <row r="77" spans="2:15" x14ac:dyDescent="0.15">
      <c r="B77" s="55"/>
      <c r="C77" s="56"/>
      <c r="D77" s="56" t="str">
        <f>IFERROR(VLOOKUP($C77,烤漆色號編碼!$A:$C,2,FALSE),"-")</f>
        <v>-</v>
      </c>
      <c r="E77" s="56" t="str">
        <f>IFERROR(VLOOKUP($C77,當前庫存!$C:$I,5,FALSE),"-")</f>
        <v>-</v>
      </c>
      <c r="F77" s="57"/>
      <c r="G77" s="57"/>
      <c r="H77" s="56">
        <f t="shared" si="5"/>
        <v>0</v>
      </c>
      <c r="I77" s="58"/>
      <c r="J77" s="57">
        <f t="shared" si="4"/>
        <v>0</v>
      </c>
      <c r="K77" s="59"/>
      <c r="L77" s="60"/>
      <c r="M77" s="61"/>
      <c r="N77" s="56"/>
      <c r="O77" s="56"/>
    </row>
    <row r="78" spans="2:15" x14ac:dyDescent="0.15">
      <c r="B78" s="48"/>
      <c r="C78" s="49"/>
      <c r="D78" s="49" t="str">
        <f>IFERROR(VLOOKUP($C78,烤漆色號編碼!$A:$C,2,FALSE),"-")</f>
        <v>-</v>
      </c>
      <c r="E78" s="49" t="str">
        <f>IFERROR(VLOOKUP($C78,當前庫存!$C:$I,5,FALSE),"-")</f>
        <v>-</v>
      </c>
      <c r="F78" s="50"/>
      <c r="G78" s="50"/>
      <c r="H78" s="49">
        <f t="shared" si="5"/>
        <v>0</v>
      </c>
      <c r="I78" s="51"/>
      <c r="J78" s="50">
        <f t="shared" si="4"/>
        <v>0</v>
      </c>
      <c r="K78" s="52"/>
      <c r="L78" s="53"/>
      <c r="M78" s="54"/>
      <c r="N78" s="49"/>
      <c r="O78" s="49"/>
    </row>
    <row r="79" spans="2:15" x14ac:dyDescent="0.15">
      <c r="B79" s="55"/>
      <c r="C79" s="56"/>
      <c r="D79" s="56" t="str">
        <f>IFERROR(VLOOKUP($C79,烤漆色號編碼!$A:$C,2,FALSE),"-")</f>
        <v>-</v>
      </c>
      <c r="E79" s="56" t="str">
        <f>IFERROR(VLOOKUP($C79,當前庫存!$C:$I,5,FALSE),"-")</f>
        <v>-</v>
      </c>
      <c r="F79" s="57"/>
      <c r="G79" s="57"/>
      <c r="H79" s="56">
        <f t="shared" si="5"/>
        <v>0</v>
      </c>
      <c r="I79" s="58"/>
      <c r="J79" s="57">
        <f t="shared" si="4"/>
        <v>0</v>
      </c>
      <c r="K79" s="59"/>
      <c r="L79" s="60"/>
      <c r="M79" s="61"/>
      <c r="N79" s="56"/>
      <c r="O79" s="56"/>
    </row>
    <row r="80" spans="2:15" x14ac:dyDescent="0.15">
      <c r="B80" s="48"/>
      <c r="C80" s="49"/>
      <c r="D80" s="49" t="str">
        <f>IFERROR(VLOOKUP($C80,烤漆色號編碼!$A:$C,2,FALSE),"-")</f>
        <v>-</v>
      </c>
      <c r="E80" s="49" t="str">
        <f>IFERROR(VLOOKUP($C80,當前庫存!$C:$I,5,FALSE),"-")</f>
        <v>-</v>
      </c>
      <c r="F80" s="50"/>
      <c r="G80" s="50"/>
      <c r="H80" s="49">
        <f t="shared" si="5"/>
        <v>0</v>
      </c>
      <c r="I80" s="51"/>
      <c r="J80" s="50">
        <f t="shared" si="4"/>
        <v>0</v>
      </c>
      <c r="K80" s="52"/>
      <c r="L80" s="53"/>
      <c r="M80" s="54"/>
      <c r="N80" s="49"/>
      <c r="O80" s="49"/>
    </row>
    <row r="81" spans="2:15" x14ac:dyDescent="0.15">
      <c r="B81" s="55"/>
      <c r="C81" s="56"/>
      <c r="D81" s="56" t="str">
        <f>IFERROR(VLOOKUP($C81,烤漆色號編碼!$A:$C,2,FALSE),"-")</f>
        <v>-</v>
      </c>
      <c r="E81" s="56" t="str">
        <f>IFERROR(VLOOKUP($C81,當前庫存!$C:$I,5,FALSE),"-")</f>
        <v>-</v>
      </c>
      <c r="F81" s="57"/>
      <c r="G81" s="57"/>
      <c r="H81" s="56">
        <f t="shared" si="5"/>
        <v>0</v>
      </c>
      <c r="I81" s="58"/>
      <c r="J81" s="57">
        <f t="shared" si="4"/>
        <v>0</v>
      </c>
      <c r="K81" s="59"/>
      <c r="L81" s="60"/>
      <c r="M81" s="61"/>
      <c r="N81" s="56"/>
      <c r="O81" s="56"/>
    </row>
    <row r="82" spans="2:15" x14ac:dyDescent="0.15">
      <c r="B82" s="48"/>
      <c r="C82" s="49"/>
      <c r="D82" s="49" t="str">
        <f>IFERROR(VLOOKUP($C82,烤漆色號編碼!$A:$C,2,FALSE),"-")</f>
        <v>-</v>
      </c>
      <c r="E82" s="49" t="str">
        <f>IFERROR(VLOOKUP($C82,當前庫存!$C:$I,5,FALSE),"-")</f>
        <v>-</v>
      </c>
      <c r="F82" s="50"/>
      <c r="G82" s="50"/>
      <c r="H82" s="49">
        <f t="shared" si="5"/>
        <v>0</v>
      </c>
      <c r="I82" s="51"/>
      <c r="J82" s="50">
        <f t="shared" si="4"/>
        <v>0</v>
      </c>
      <c r="K82" s="52"/>
      <c r="L82" s="53"/>
      <c r="M82" s="54"/>
      <c r="N82" s="49"/>
      <c r="O82" s="49"/>
    </row>
    <row r="83" spans="2:15" x14ac:dyDescent="0.15">
      <c r="B83" s="55"/>
      <c r="C83" s="56"/>
      <c r="D83" s="56" t="str">
        <f>IFERROR(VLOOKUP($C83,烤漆色號編碼!$A:$C,2,FALSE),"-")</f>
        <v>-</v>
      </c>
      <c r="E83" s="56" t="str">
        <f>IFERROR(VLOOKUP($C83,當前庫存!$C:$I,5,FALSE),"-")</f>
        <v>-</v>
      </c>
      <c r="F83" s="57"/>
      <c r="G83" s="57"/>
      <c r="H83" s="56">
        <f t="shared" si="5"/>
        <v>0</v>
      </c>
      <c r="I83" s="58"/>
      <c r="J83" s="57">
        <f t="shared" si="4"/>
        <v>0</v>
      </c>
      <c r="K83" s="59"/>
      <c r="L83" s="60"/>
      <c r="M83" s="61"/>
      <c r="N83" s="56"/>
      <c r="O83" s="56"/>
    </row>
    <row r="84" spans="2:15" x14ac:dyDescent="0.15">
      <c r="B84" s="48"/>
      <c r="C84" s="49"/>
      <c r="D84" s="49" t="str">
        <f>IFERROR(VLOOKUP($C84,烤漆色號編碼!$A:$C,2,FALSE),"-")</f>
        <v>-</v>
      </c>
      <c r="E84" s="49" t="str">
        <f>IFERROR(VLOOKUP($C84,當前庫存!$C:$I,5,FALSE),"-")</f>
        <v>-</v>
      </c>
      <c r="F84" s="50"/>
      <c r="G84" s="50"/>
      <c r="H84" s="49">
        <f t="shared" si="5"/>
        <v>0</v>
      </c>
      <c r="I84" s="51"/>
      <c r="J84" s="50">
        <f t="shared" si="4"/>
        <v>0</v>
      </c>
      <c r="K84" s="52"/>
      <c r="L84" s="53"/>
      <c r="M84" s="54"/>
      <c r="N84" s="49"/>
      <c r="O84" s="49"/>
    </row>
    <row r="85" spans="2:15" x14ac:dyDescent="0.15">
      <c r="B85" s="55"/>
      <c r="C85" s="56"/>
      <c r="D85" s="56" t="str">
        <f>IFERROR(VLOOKUP($C85,烤漆色號編碼!$A:$C,2,FALSE),"-")</f>
        <v>-</v>
      </c>
      <c r="E85" s="56" t="str">
        <f>IFERROR(VLOOKUP($C85,當前庫存!$C:$I,5,FALSE),"-")</f>
        <v>-</v>
      </c>
      <c r="F85" s="57"/>
      <c r="G85" s="57"/>
      <c r="H85" s="56">
        <f t="shared" si="5"/>
        <v>0</v>
      </c>
      <c r="I85" s="58"/>
      <c r="J85" s="57">
        <f t="shared" si="4"/>
        <v>0</v>
      </c>
      <c r="K85" s="59"/>
      <c r="L85" s="60"/>
      <c r="M85" s="61"/>
      <c r="N85" s="56"/>
      <c r="O85" s="56"/>
    </row>
    <row r="86" spans="2:15" x14ac:dyDescent="0.15">
      <c r="B86" s="48"/>
      <c r="C86" s="49"/>
      <c r="D86" s="49" t="str">
        <f>IFERROR(VLOOKUP($C86,烤漆色號編碼!$A:$C,2,FALSE),"-")</f>
        <v>-</v>
      </c>
      <c r="E86" s="49" t="str">
        <f>IFERROR(VLOOKUP($C86,當前庫存!$C:$I,5,FALSE),"-")</f>
        <v>-</v>
      </c>
      <c r="F86" s="50"/>
      <c r="G86" s="50"/>
      <c r="H86" s="49">
        <f t="shared" si="5"/>
        <v>0</v>
      </c>
      <c r="I86" s="51"/>
      <c r="J86" s="50">
        <f t="shared" si="4"/>
        <v>0</v>
      </c>
      <c r="K86" s="52"/>
      <c r="L86" s="53"/>
      <c r="M86" s="54"/>
      <c r="N86" s="49"/>
      <c r="O86" s="49"/>
    </row>
    <row r="87" spans="2:15" x14ac:dyDescent="0.15">
      <c r="B87" s="55"/>
      <c r="C87" s="56"/>
      <c r="D87" s="56" t="str">
        <f>IFERROR(VLOOKUP($C87,烤漆色號編碼!$A:$C,2,FALSE),"-")</f>
        <v>-</v>
      </c>
      <c r="E87" s="56" t="str">
        <f>IFERROR(VLOOKUP($C87,當前庫存!$C:$I,5,FALSE),"-")</f>
        <v>-</v>
      </c>
      <c r="F87" s="57"/>
      <c r="G87" s="57"/>
      <c r="H87" s="56">
        <f t="shared" si="5"/>
        <v>0</v>
      </c>
      <c r="I87" s="58"/>
      <c r="J87" s="57">
        <f t="shared" si="4"/>
        <v>0</v>
      </c>
      <c r="K87" s="59"/>
      <c r="L87" s="60"/>
      <c r="M87" s="61"/>
      <c r="N87" s="56"/>
      <c r="O87" s="56"/>
    </row>
    <row r="88" spans="2:15" x14ac:dyDescent="0.15">
      <c r="B88" s="48"/>
      <c r="C88" s="49"/>
      <c r="D88" s="49" t="str">
        <f>IFERROR(VLOOKUP($C88,烤漆色號編碼!$A:$C,2,FALSE),"-")</f>
        <v>-</v>
      </c>
      <c r="E88" s="49" t="str">
        <f>IFERROR(VLOOKUP($C88,當前庫存!$C:$I,5,FALSE),"-")</f>
        <v>-</v>
      </c>
      <c r="F88" s="50"/>
      <c r="G88" s="50"/>
      <c r="H88" s="49">
        <f t="shared" si="5"/>
        <v>0</v>
      </c>
      <c r="I88" s="51"/>
      <c r="J88" s="50">
        <f t="shared" si="4"/>
        <v>0</v>
      </c>
      <c r="K88" s="52"/>
      <c r="L88" s="53"/>
      <c r="M88" s="54"/>
      <c r="N88" s="49"/>
      <c r="O88" s="49"/>
    </row>
    <row r="89" spans="2:15" x14ac:dyDescent="0.15">
      <c r="B89" s="55"/>
      <c r="C89" s="56"/>
      <c r="D89" s="56" t="str">
        <f>IFERROR(VLOOKUP($C89,烤漆色號編碼!$A:$C,2,FALSE),"-")</f>
        <v>-</v>
      </c>
      <c r="E89" s="56" t="str">
        <f>IFERROR(VLOOKUP($C89,當前庫存!$C:$I,5,FALSE),"-")</f>
        <v>-</v>
      </c>
      <c r="F89" s="57"/>
      <c r="G89" s="57"/>
      <c r="H89" s="56">
        <f t="shared" si="5"/>
        <v>0</v>
      </c>
      <c r="I89" s="58"/>
      <c r="J89" s="57">
        <f t="shared" si="4"/>
        <v>0</v>
      </c>
      <c r="K89" s="59"/>
      <c r="L89" s="60"/>
      <c r="M89" s="61"/>
      <c r="N89" s="56"/>
      <c r="O89" s="56"/>
    </row>
    <row r="90" spans="2:15" x14ac:dyDescent="0.15">
      <c r="B90" s="48"/>
      <c r="C90" s="49"/>
      <c r="D90" s="49" t="str">
        <f>IFERROR(VLOOKUP($C90,烤漆色號編碼!$A:$C,2,FALSE),"-")</f>
        <v>-</v>
      </c>
      <c r="E90" s="49" t="str">
        <f>IFERROR(VLOOKUP($C90,當前庫存!$C:$I,5,FALSE),"-")</f>
        <v>-</v>
      </c>
      <c r="F90" s="50"/>
      <c r="G90" s="50"/>
      <c r="H90" s="49">
        <f t="shared" si="5"/>
        <v>0</v>
      </c>
      <c r="I90" s="51"/>
      <c r="J90" s="50">
        <f t="shared" si="4"/>
        <v>0</v>
      </c>
      <c r="K90" s="52"/>
      <c r="L90" s="53"/>
      <c r="M90" s="54"/>
      <c r="N90" s="49"/>
      <c r="O90" s="49"/>
    </row>
    <row r="91" spans="2:15" x14ac:dyDescent="0.15">
      <c r="B91" s="55"/>
      <c r="C91" s="56"/>
      <c r="D91" s="56" t="str">
        <f>IFERROR(VLOOKUP($C91,烤漆色號編碼!$A:$C,2,FALSE),"-")</f>
        <v>-</v>
      </c>
      <c r="E91" s="56" t="str">
        <f>IFERROR(VLOOKUP($C91,當前庫存!$C:$I,5,FALSE),"-")</f>
        <v>-</v>
      </c>
      <c r="F91" s="57"/>
      <c r="G91" s="57"/>
      <c r="H91" s="56">
        <f t="shared" si="5"/>
        <v>0</v>
      </c>
      <c r="I91" s="58"/>
      <c r="J91" s="57">
        <f t="shared" si="4"/>
        <v>0</v>
      </c>
      <c r="K91" s="59"/>
      <c r="L91" s="60"/>
      <c r="M91" s="61"/>
      <c r="N91" s="56"/>
      <c r="O91" s="56"/>
    </row>
    <row r="92" spans="2:15" x14ac:dyDescent="0.15">
      <c r="B92" s="48"/>
      <c r="C92" s="49"/>
      <c r="D92" s="49" t="str">
        <f>IFERROR(VLOOKUP($C92,烤漆色號編碼!$A:$C,2,FALSE),"-")</f>
        <v>-</v>
      </c>
      <c r="E92" s="49" t="str">
        <f>IFERROR(VLOOKUP($C92,當前庫存!$C:$I,5,FALSE),"-")</f>
        <v>-</v>
      </c>
      <c r="F92" s="50"/>
      <c r="G92" s="50"/>
      <c r="H92" s="49">
        <f t="shared" si="5"/>
        <v>0</v>
      </c>
      <c r="I92" s="51"/>
      <c r="J92" s="50">
        <f t="shared" si="4"/>
        <v>0</v>
      </c>
      <c r="K92" s="52"/>
      <c r="L92" s="53"/>
      <c r="M92" s="54"/>
      <c r="N92" s="49"/>
      <c r="O92" s="49"/>
    </row>
    <row r="93" spans="2:15" x14ac:dyDescent="0.15">
      <c r="B93" s="55"/>
      <c r="C93" s="56"/>
      <c r="D93" s="56" t="str">
        <f>IFERROR(VLOOKUP($C93,烤漆色號編碼!$A:$C,2,FALSE),"-")</f>
        <v>-</v>
      </c>
      <c r="E93" s="56" t="str">
        <f>IFERROR(VLOOKUP($C93,當前庫存!$C:$I,5,FALSE),"-")</f>
        <v>-</v>
      </c>
      <c r="F93" s="57"/>
      <c r="G93" s="57"/>
      <c r="H93" s="56">
        <f t="shared" si="5"/>
        <v>0</v>
      </c>
      <c r="I93" s="58"/>
      <c r="J93" s="57">
        <f t="shared" si="4"/>
        <v>0</v>
      </c>
      <c r="K93" s="59"/>
      <c r="L93" s="60"/>
      <c r="M93" s="61"/>
      <c r="N93" s="56"/>
      <c r="O93" s="56"/>
    </row>
    <row r="94" spans="2:15" x14ac:dyDescent="0.15">
      <c r="B94" s="48"/>
      <c r="C94" s="49"/>
      <c r="D94" s="49" t="str">
        <f>IFERROR(VLOOKUP($C94,烤漆色號編碼!$A:$C,2,FALSE),"-")</f>
        <v>-</v>
      </c>
      <c r="E94" s="49" t="str">
        <f>IFERROR(VLOOKUP($C94,當前庫存!$C:$I,5,FALSE),"-")</f>
        <v>-</v>
      </c>
      <c r="F94" s="50"/>
      <c r="G94" s="50"/>
      <c r="H94" s="49">
        <f t="shared" si="5"/>
        <v>0</v>
      </c>
      <c r="I94" s="51"/>
      <c r="J94" s="50">
        <f t="shared" si="4"/>
        <v>0</v>
      </c>
      <c r="K94" s="52"/>
      <c r="L94" s="53"/>
      <c r="M94" s="54"/>
      <c r="N94" s="49"/>
      <c r="O94" s="49"/>
    </row>
    <row r="95" spans="2:15" x14ac:dyDescent="0.15">
      <c r="B95" s="55"/>
      <c r="C95" s="56"/>
      <c r="D95" s="56" t="str">
        <f>IFERROR(VLOOKUP($C95,烤漆色號編碼!$A:$C,2,FALSE),"-")</f>
        <v>-</v>
      </c>
      <c r="E95" s="56" t="str">
        <f>IFERROR(VLOOKUP($C95,當前庫存!$C:$I,5,FALSE),"-")</f>
        <v>-</v>
      </c>
      <c r="F95" s="57"/>
      <c r="G95" s="57"/>
      <c r="H95" s="56">
        <f t="shared" si="5"/>
        <v>0</v>
      </c>
      <c r="I95" s="58"/>
      <c r="J95" s="57">
        <f t="shared" si="4"/>
        <v>0</v>
      </c>
      <c r="K95" s="59"/>
      <c r="L95" s="60"/>
      <c r="M95" s="61"/>
      <c r="N95" s="56"/>
      <c r="O95" s="56"/>
    </row>
    <row r="96" spans="2:15" x14ac:dyDescent="0.15">
      <c r="B96" s="48"/>
      <c r="C96" s="49"/>
      <c r="D96" s="49" t="str">
        <f>IFERROR(VLOOKUP($C96,烤漆色號編碼!$A:$C,2,FALSE),"-")</f>
        <v>-</v>
      </c>
      <c r="E96" s="49" t="str">
        <f>IFERROR(VLOOKUP($C96,當前庫存!$C:$I,5,FALSE),"-")</f>
        <v>-</v>
      </c>
      <c r="F96" s="50"/>
      <c r="G96" s="50"/>
      <c r="H96" s="49">
        <f t="shared" si="5"/>
        <v>0</v>
      </c>
      <c r="I96" s="51"/>
      <c r="J96" s="50">
        <f t="shared" si="4"/>
        <v>0</v>
      </c>
      <c r="K96" s="52"/>
      <c r="L96" s="53"/>
      <c r="M96" s="54"/>
      <c r="N96" s="49"/>
      <c r="O96" s="49"/>
    </row>
    <row r="97" spans="2:15" x14ac:dyDescent="0.15">
      <c r="B97" s="55"/>
      <c r="C97" s="56"/>
      <c r="D97" s="56" t="str">
        <f>IFERROR(VLOOKUP($C97,烤漆色號編碼!$A:$C,2,FALSE),"-")</f>
        <v>-</v>
      </c>
      <c r="E97" s="56" t="str">
        <f>IFERROR(VLOOKUP($C97,當前庫存!$C:$I,5,FALSE),"-")</f>
        <v>-</v>
      </c>
      <c r="F97" s="57"/>
      <c r="G97" s="57"/>
      <c r="H97" s="56">
        <f t="shared" si="5"/>
        <v>0</v>
      </c>
      <c r="I97" s="58"/>
      <c r="J97" s="57">
        <f t="shared" ref="J97:J128" si="6">H97-I97</f>
        <v>0</v>
      </c>
      <c r="K97" s="59"/>
      <c r="L97" s="60"/>
      <c r="M97" s="61"/>
      <c r="N97" s="56"/>
      <c r="O97" s="56"/>
    </row>
    <row r="98" spans="2:15" x14ac:dyDescent="0.15">
      <c r="B98" s="48"/>
      <c r="C98" s="49"/>
      <c r="D98" s="49" t="str">
        <f>IFERROR(VLOOKUP($C98,烤漆色號編碼!$A:$C,2,FALSE),"-")</f>
        <v>-</v>
      </c>
      <c r="E98" s="49" t="str">
        <f>IFERROR(VLOOKUP($C98,當前庫存!$C:$I,5,FALSE),"-")</f>
        <v>-</v>
      </c>
      <c r="F98" s="50"/>
      <c r="G98" s="50"/>
      <c r="H98" s="49">
        <f t="shared" si="5"/>
        <v>0</v>
      </c>
      <c r="I98" s="51"/>
      <c r="J98" s="50">
        <f t="shared" si="6"/>
        <v>0</v>
      </c>
      <c r="K98" s="52"/>
      <c r="L98" s="53"/>
      <c r="M98" s="54"/>
      <c r="N98" s="49"/>
      <c r="O98" s="49"/>
    </row>
    <row r="99" spans="2:15" x14ac:dyDescent="0.15">
      <c r="B99" s="55"/>
      <c r="C99" s="56"/>
      <c r="D99" s="56" t="str">
        <f>IFERROR(VLOOKUP($C99,烤漆色號編碼!$A:$C,2,FALSE),"-")</f>
        <v>-</v>
      </c>
      <c r="E99" s="56" t="str">
        <f>IFERROR(VLOOKUP($C99,當前庫存!$C:$I,5,FALSE),"-")</f>
        <v>-</v>
      </c>
      <c r="F99" s="57"/>
      <c r="G99" s="57"/>
      <c r="H99" s="56">
        <f t="shared" si="5"/>
        <v>0</v>
      </c>
      <c r="I99" s="58"/>
      <c r="J99" s="57">
        <f t="shared" si="6"/>
        <v>0</v>
      </c>
      <c r="K99" s="59"/>
      <c r="L99" s="60"/>
      <c r="M99" s="61"/>
      <c r="N99" s="56"/>
      <c r="O99" s="56"/>
    </row>
    <row r="100" spans="2:15" x14ac:dyDescent="0.15">
      <c r="B100" s="48"/>
      <c r="C100" s="49"/>
      <c r="D100" s="49" t="str">
        <f>IFERROR(VLOOKUP($C100,烤漆色號編碼!$A:$C,2,FALSE),"-")</f>
        <v>-</v>
      </c>
      <c r="E100" s="49" t="str">
        <f>IFERROR(VLOOKUP($C100,當前庫存!$C:$I,5,FALSE),"-")</f>
        <v>-</v>
      </c>
      <c r="F100" s="50"/>
      <c r="G100" s="50"/>
      <c r="H100" s="49">
        <f t="shared" si="5"/>
        <v>0</v>
      </c>
      <c r="I100" s="51"/>
      <c r="J100" s="50">
        <f t="shared" si="6"/>
        <v>0</v>
      </c>
      <c r="K100" s="52"/>
      <c r="L100" s="53"/>
      <c r="M100" s="54"/>
      <c r="N100" s="49"/>
      <c r="O100" s="49"/>
    </row>
    <row r="101" spans="2:15" x14ac:dyDescent="0.15">
      <c r="B101" s="55"/>
      <c r="C101" s="56"/>
      <c r="D101" s="56" t="str">
        <f>IFERROR(VLOOKUP($C101,烤漆色號編碼!$A:$C,2,FALSE),"-")</f>
        <v>-</v>
      </c>
      <c r="E101" s="56" t="str">
        <f>IFERROR(VLOOKUP($C101,當前庫存!$C:$I,5,FALSE),"-")</f>
        <v>-</v>
      </c>
      <c r="F101" s="57"/>
      <c r="G101" s="57"/>
      <c r="H101" s="56">
        <f t="shared" si="5"/>
        <v>0</v>
      </c>
      <c r="I101" s="58"/>
      <c r="J101" s="57">
        <f t="shared" si="6"/>
        <v>0</v>
      </c>
      <c r="K101" s="59"/>
      <c r="L101" s="60"/>
      <c r="M101" s="61"/>
      <c r="N101" s="56"/>
      <c r="O101" s="56"/>
    </row>
    <row r="102" spans="2:15" x14ac:dyDescent="0.15">
      <c r="B102" s="48"/>
      <c r="C102" s="49"/>
      <c r="D102" s="49" t="str">
        <f>IFERROR(VLOOKUP($C102,烤漆色號編碼!$A:$C,2,FALSE),"-")</f>
        <v>-</v>
      </c>
      <c r="E102" s="49" t="str">
        <f>IFERROR(VLOOKUP($C102,當前庫存!$C:$I,5,FALSE),"-")</f>
        <v>-</v>
      </c>
      <c r="F102" s="50"/>
      <c r="G102" s="50"/>
      <c r="H102" s="49">
        <f t="shared" si="5"/>
        <v>0</v>
      </c>
      <c r="I102" s="51"/>
      <c r="J102" s="50">
        <f t="shared" si="6"/>
        <v>0</v>
      </c>
      <c r="K102" s="52"/>
      <c r="L102" s="53"/>
      <c r="M102" s="54"/>
      <c r="N102" s="49"/>
      <c r="O102" s="49"/>
    </row>
    <row r="103" spans="2:15" x14ac:dyDescent="0.15">
      <c r="B103" s="55"/>
      <c r="C103" s="56"/>
      <c r="D103" s="56" t="str">
        <f>IFERROR(VLOOKUP($C103,烤漆色號編碼!$A:$C,2,FALSE),"-")</f>
        <v>-</v>
      </c>
      <c r="E103" s="56" t="str">
        <f>IFERROR(VLOOKUP($C103,當前庫存!$C:$I,5,FALSE),"-")</f>
        <v>-</v>
      </c>
      <c r="F103" s="57"/>
      <c r="G103" s="57"/>
      <c r="H103" s="56">
        <f t="shared" si="5"/>
        <v>0</v>
      </c>
      <c r="I103" s="58"/>
      <c r="J103" s="57">
        <f t="shared" si="6"/>
        <v>0</v>
      </c>
      <c r="K103" s="59"/>
      <c r="L103" s="60"/>
      <c r="M103" s="61"/>
      <c r="N103" s="56"/>
      <c r="O103" s="56"/>
    </row>
    <row r="104" spans="2:15" x14ac:dyDescent="0.15">
      <c r="B104" s="48"/>
      <c r="C104" s="49"/>
      <c r="D104" s="49" t="str">
        <f>IFERROR(VLOOKUP($C104,烤漆色號編碼!$A:$C,2,FALSE),"-")</f>
        <v>-</v>
      </c>
      <c r="E104" s="49" t="str">
        <f>IFERROR(VLOOKUP($C104,當前庫存!$C:$I,5,FALSE),"-")</f>
        <v>-</v>
      </c>
      <c r="F104" s="50"/>
      <c r="G104" s="50"/>
      <c r="H104" s="49">
        <f t="shared" si="5"/>
        <v>0</v>
      </c>
      <c r="I104" s="51"/>
      <c r="J104" s="50">
        <f t="shared" si="6"/>
        <v>0</v>
      </c>
      <c r="K104" s="52"/>
      <c r="L104" s="53"/>
      <c r="M104" s="54"/>
      <c r="N104" s="49"/>
      <c r="O104" s="49"/>
    </row>
    <row r="105" spans="2:15" x14ac:dyDescent="0.15">
      <c r="B105" s="55"/>
      <c r="C105" s="56"/>
      <c r="D105" s="56" t="str">
        <f>IFERROR(VLOOKUP($C105,烤漆色號編碼!$A:$C,2,FALSE),"-")</f>
        <v>-</v>
      </c>
      <c r="E105" s="56" t="str">
        <f>IFERROR(VLOOKUP($C105,當前庫存!$C:$I,5,FALSE),"-")</f>
        <v>-</v>
      </c>
      <c r="F105" s="57"/>
      <c r="G105" s="57"/>
      <c r="H105" s="56">
        <f t="shared" si="5"/>
        <v>0</v>
      </c>
      <c r="I105" s="58"/>
      <c r="J105" s="57">
        <f t="shared" si="6"/>
        <v>0</v>
      </c>
      <c r="K105" s="59"/>
      <c r="L105" s="60"/>
      <c r="M105" s="61"/>
      <c r="N105" s="56"/>
      <c r="O105" s="56"/>
    </row>
    <row r="106" spans="2:15" x14ac:dyDescent="0.15">
      <c r="B106" s="48"/>
      <c r="C106" s="49"/>
      <c r="D106" s="49" t="str">
        <f>IFERROR(VLOOKUP($C106,烤漆色號編碼!$A:$C,2,FALSE),"-")</f>
        <v>-</v>
      </c>
      <c r="E106" s="49" t="str">
        <f>IFERROR(VLOOKUP($C106,當前庫存!$C:$I,5,FALSE),"-")</f>
        <v>-</v>
      </c>
      <c r="F106" s="50"/>
      <c r="G106" s="50"/>
      <c r="H106" s="49">
        <f t="shared" ref="H106:H137" si="7">25*F106+(G106)</f>
        <v>0</v>
      </c>
      <c r="I106" s="51"/>
      <c r="J106" s="50">
        <f t="shared" si="6"/>
        <v>0</v>
      </c>
      <c r="K106" s="52"/>
      <c r="L106" s="53"/>
      <c r="M106" s="54"/>
      <c r="N106" s="49"/>
      <c r="O106" s="49"/>
    </row>
    <row r="107" spans="2:15" x14ac:dyDescent="0.15">
      <c r="B107" s="55"/>
      <c r="C107" s="56"/>
      <c r="D107" s="56" t="str">
        <f>IFERROR(VLOOKUP($C107,烤漆色號編碼!$A:$C,2,FALSE),"-")</f>
        <v>-</v>
      </c>
      <c r="E107" s="56" t="str">
        <f>IFERROR(VLOOKUP($C107,當前庫存!$C:$I,5,FALSE),"-")</f>
        <v>-</v>
      </c>
      <c r="F107" s="57"/>
      <c r="G107" s="57"/>
      <c r="H107" s="56">
        <f t="shared" si="7"/>
        <v>0</v>
      </c>
      <c r="I107" s="58"/>
      <c r="J107" s="57"/>
      <c r="K107" s="59"/>
      <c r="L107" s="60"/>
      <c r="M107" s="61"/>
      <c r="N107" s="56"/>
      <c r="O107" s="56"/>
    </row>
    <row r="108" spans="2:15" x14ac:dyDescent="0.15">
      <c r="B108" s="48"/>
      <c r="C108" s="49"/>
      <c r="D108" s="49" t="str">
        <f>IFERROR(VLOOKUP($C108,烤漆色號編碼!$A:$C,2,FALSE),"-")</f>
        <v>-</v>
      </c>
      <c r="E108" s="49" t="str">
        <f>IFERROR(VLOOKUP($C108,當前庫存!$C:$I,5,FALSE),"-")</f>
        <v>-</v>
      </c>
      <c r="F108" s="50"/>
      <c r="G108" s="50"/>
      <c r="H108" s="49">
        <f t="shared" si="7"/>
        <v>0</v>
      </c>
      <c r="I108" s="51"/>
      <c r="J108" s="50"/>
      <c r="K108" s="52"/>
      <c r="L108" s="53"/>
      <c r="M108" s="54"/>
      <c r="N108" s="49"/>
      <c r="O108" s="49"/>
    </row>
    <row r="109" spans="2:15" x14ac:dyDescent="0.15">
      <c r="B109" s="55"/>
      <c r="C109" s="56"/>
      <c r="D109" s="56" t="str">
        <f>IFERROR(VLOOKUP($C109,烤漆色號編碼!$A:$C,2,FALSE),"-")</f>
        <v>-</v>
      </c>
      <c r="E109" s="56" t="str">
        <f>IFERROR(VLOOKUP($C109,當前庫存!$C:$I,5,FALSE),"-")</f>
        <v>-</v>
      </c>
      <c r="F109" s="57"/>
      <c r="G109" s="57"/>
      <c r="H109" s="56">
        <f t="shared" si="7"/>
        <v>0</v>
      </c>
      <c r="I109" s="58"/>
      <c r="J109" s="57"/>
      <c r="K109" s="59"/>
      <c r="L109" s="60"/>
      <c r="M109" s="61"/>
      <c r="N109" s="56"/>
      <c r="O109" s="56"/>
    </row>
    <row r="110" spans="2:15" x14ac:dyDescent="0.15">
      <c r="B110" s="48"/>
      <c r="C110" s="49"/>
      <c r="D110" s="49" t="str">
        <f>IFERROR(VLOOKUP($C110,烤漆色號編碼!$A:$C,2,FALSE),"-")</f>
        <v>-</v>
      </c>
      <c r="E110" s="49" t="str">
        <f>IFERROR(VLOOKUP($C110,當前庫存!$C:$I,5,FALSE),"-")</f>
        <v>-</v>
      </c>
      <c r="F110" s="50"/>
      <c r="G110" s="50"/>
      <c r="H110" s="49">
        <f t="shared" si="7"/>
        <v>0</v>
      </c>
      <c r="I110" s="51"/>
      <c r="J110" s="50"/>
      <c r="K110" s="52"/>
      <c r="L110" s="53"/>
      <c r="M110" s="54"/>
      <c r="N110" s="49"/>
      <c r="O110" s="49"/>
    </row>
    <row r="111" spans="2:15" x14ac:dyDescent="0.15">
      <c r="B111" s="55"/>
      <c r="C111" s="56"/>
      <c r="D111" s="56" t="str">
        <f>IFERROR(VLOOKUP($C111,烤漆色號編碼!$A:$C,2,FALSE),"-")</f>
        <v>-</v>
      </c>
      <c r="E111" s="56" t="str">
        <f>IFERROR(VLOOKUP($C111,當前庫存!$C:$I,5,FALSE),"-")</f>
        <v>-</v>
      </c>
      <c r="F111" s="57"/>
      <c r="G111" s="57"/>
      <c r="H111" s="56">
        <f t="shared" si="7"/>
        <v>0</v>
      </c>
      <c r="I111" s="58"/>
      <c r="J111" s="57"/>
      <c r="K111" s="59"/>
      <c r="L111" s="60"/>
      <c r="M111" s="61"/>
      <c r="N111" s="56"/>
      <c r="O111" s="56"/>
    </row>
    <row r="112" spans="2:15" x14ac:dyDescent="0.15">
      <c r="B112" s="48"/>
      <c r="C112" s="49"/>
      <c r="D112" s="49" t="str">
        <f>IFERROR(VLOOKUP($C112,烤漆色號編碼!$A:$C,2,FALSE),"-")</f>
        <v>-</v>
      </c>
      <c r="E112" s="49" t="str">
        <f>IFERROR(VLOOKUP($C112,當前庫存!$C:$I,5,FALSE),"-")</f>
        <v>-</v>
      </c>
      <c r="F112" s="50"/>
      <c r="G112" s="50"/>
      <c r="H112" s="49">
        <f t="shared" si="7"/>
        <v>0</v>
      </c>
      <c r="I112" s="51"/>
      <c r="J112" s="50"/>
      <c r="K112" s="52"/>
      <c r="L112" s="53"/>
      <c r="M112" s="54"/>
      <c r="N112" s="49"/>
      <c r="O112" s="49"/>
    </row>
    <row r="113" spans="2:15" x14ac:dyDescent="0.15">
      <c r="B113" s="55"/>
      <c r="C113" s="56"/>
      <c r="D113" s="56" t="str">
        <f>IFERROR(VLOOKUP($C113,烤漆色號編碼!$A:$C,2,FALSE),"-")</f>
        <v>-</v>
      </c>
      <c r="E113" s="56" t="str">
        <f>IFERROR(VLOOKUP($C113,當前庫存!$C:$I,5,FALSE),"-")</f>
        <v>-</v>
      </c>
      <c r="F113" s="57"/>
      <c r="G113" s="57"/>
      <c r="H113" s="56">
        <f t="shared" si="7"/>
        <v>0</v>
      </c>
      <c r="I113" s="58"/>
      <c r="J113" s="57"/>
      <c r="K113" s="59"/>
      <c r="L113" s="60"/>
      <c r="M113" s="61"/>
      <c r="N113" s="56"/>
      <c r="O113" s="56"/>
    </row>
    <row r="114" spans="2:15" x14ac:dyDescent="0.15">
      <c r="B114" s="48"/>
      <c r="C114" s="49"/>
      <c r="D114" s="49" t="str">
        <f>IFERROR(VLOOKUP($C114,烤漆色號編碼!$A:$C,2,FALSE),"-")</f>
        <v>-</v>
      </c>
      <c r="E114" s="49" t="str">
        <f>IFERROR(VLOOKUP($C114,當前庫存!$C:$I,5,FALSE),"-")</f>
        <v>-</v>
      </c>
      <c r="F114" s="50"/>
      <c r="G114" s="50"/>
      <c r="H114" s="49">
        <f t="shared" si="7"/>
        <v>0</v>
      </c>
      <c r="I114" s="51"/>
      <c r="J114" s="50"/>
      <c r="K114" s="52"/>
      <c r="L114" s="53"/>
      <c r="M114" s="54"/>
      <c r="N114" s="49"/>
      <c r="O114" s="49"/>
    </row>
    <row r="115" spans="2:15" x14ac:dyDescent="0.15">
      <c r="B115" s="55"/>
      <c r="C115" s="56"/>
      <c r="D115" s="56" t="str">
        <f>IFERROR(VLOOKUP($C115,烤漆色號編碼!$A:$C,2,FALSE),"-")</f>
        <v>-</v>
      </c>
      <c r="E115" s="56" t="str">
        <f>IFERROR(VLOOKUP($C115,當前庫存!$C:$I,5,FALSE),"-")</f>
        <v>-</v>
      </c>
      <c r="F115" s="57"/>
      <c r="G115" s="57"/>
      <c r="H115" s="56">
        <f t="shared" si="7"/>
        <v>0</v>
      </c>
      <c r="I115" s="58"/>
      <c r="J115" s="57"/>
      <c r="K115" s="59"/>
      <c r="L115" s="60"/>
      <c r="M115" s="61"/>
      <c r="N115" s="56"/>
      <c r="O115" s="56"/>
    </row>
    <row r="116" spans="2:15" x14ac:dyDescent="0.15">
      <c r="B116" s="48"/>
      <c r="C116" s="49"/>
      <c r="D116" s="49" t="str">
        <f>IFERROR(VLOOKUP($C116,烤漆色號編碼!$A:$C,2,FALSE),"-")</f>
        <v>-</v>
      </c>
      <c r="E116" s="49" t="str">
        <f>IFERROR(VLOOKUP($C116,當前庫存!$C:$I,5,FALSE),"-")</f>
        <v>-</v>
      </c>
      <c r="F116" s="50"/>
      <c r="G116" s="50"/>
      <c r="H116" s="49">
        <f t="shared" si="7"/>
        <v>0</v>
      </c>
      <c r="I116" s="51"/>
      <c r="J116" s="50"/>
      <c r="K116" s="52"/>
      <c r="L116" s="53"/>
      <c r="M116" s="54"/>
      <c r="N116" s="49"/>
      <c r="O116" s="49"/>
    </row>
    <row r="117" spans="2:15" x14ac:dyDescent="0.15">
      <c r="B117" s="55"/>
      <c r="C117" s="56"/>
      <c r="D117" s="56" t="str">
        <f>IFERROR(VLOOKUP($C117,烤漆色號編碼!$A:$C,2,FALSE),"-")</f>
        <v>-</v>
      </c>
      <c r="E117" s="56" t="str">
        <f>IFERROR(VLOOKUP($C117,烤漆色號編碼!$A:$C,3,FALSE),"-")</f>
        <v>-</v>
      </c>
      <c r="F117" s="57"/>
      <c r="G117" s="57"/>
      <c r="H117" s="56">
        <f t="shared" si="7"/>
        <v>0</v>
      </c>
      <c r="I117" s="58"/>
      <c r="J117" s="57"/>
      <c r="K117" s="59"/>
      <c r="L117" s="60"/>
      <c r="M117" s="61"/>
      <c r="N117" s="56"/>
      <c r="O117" s="56"/>
    </row>
    <row r="118" spans="2:15" x14ac:dyDescent="0.15">
      <c r="B118" s="48"/>
      <c r="C118" s="49"/>
      <c r="D118" s="49" t="str">
        <f>IFERROR(VLOOKUP($C118,烤漆色號編碼!$A:$C,2,FALSE),"-")</f>
        <v>-</v>
      </c>
      <c r="E118" s="49" t="str">
        <f>IFERROR(VLOOKUP($C118,烤漆色號編碼!$A:$C,3,FALSE),"-")</f>
        <v>-</v>
      </c>
      <c r="F118" s="50"/>
      <c r="G118" s="50"/>
      <c r="H118" s="49">
        <f t="shared" si="7"/>
        <v>0</v>
      </c>
      <c r="I118" s="51"/>
      <c r="J118" s="50"/>
      <c r="K118" s="52"/>
      <c r="L118" s="53"/>
      <c r="M118" s="54"/>
      <c r="N118" s="49"/>
      <c r="O118" s="49"/>
    </row>
    <row r="119" spans="2:15" x14ac:dyDescent="0.15">
      <c r="B119" s="55"/>
      <c r="C119" s="56"/>
      <c r="D119" s="56" t="str">
        <f>IFERROR(VLOOKUP($C119,烤漆色號編碼!$A:$C,2,FALSE),"-")</f>
        <v>-</v>
      </c>
      <c r="E119" s="56" t="str">
        <f>IFERROR(VLOOKUP($C119,烤漆色號編碼!$A:$C,3,FALSE),"-")</f>
        <v>-</v>
      </c>
      <c r="F119" s="57"/>
      <c r="G119" s="57"/>
      <c r="H119" s="56">
        <f t="shared" si="7"/>
        <v>0</v>
      </c>
      <c r="I119" s="58"/>
      <c r="J119" s="57"/>
      <c r="K119" s="59"/>
      <c r="L119" s="60"/>
      <c r="M119" s="61"/>
      <c r="N119" s="56"/>
      <c r="O119" s="56"/>
    </row>
    <row r="120" spans="2:15" x14ac:dyDescent="0.15">
      <c r="B120" s="48"/>
      <c r="C120" s="49"/>
      <c r="D120" s="49" t="str">
        <f>IFERROR(VLOOKUP($C120,烤漆色號編碼!$A:$C,2,FALSE),"-")</f>
        <v>-</v>
      </c>
      <c r="E120" s="49" t="str">
        <f>IFERROR(VLOOKUP($C120,烤漆色號編碼!$A:$C,3,FALSE),"-")</f>
        <v>-</v>
      </c>
      <c r="F120" s="50"/>
      <c r="G120" s="50"/>
      <c r="H120" s="49">
        <f t="shared" si="7"/>
        <v>0</v>
      </c>
      <c r="I120" s="51"/>
      <c r="J120" s="50"/>
      <c r="K120" s="52"/>
      <c r="L120" s="53"/>
      <c r="M120" s="54"/>
      <c r="N120" s="49"/>
      <c r="O120" s="49"/>
    </row>
    <row r="121" spans="2:15" x14ac:dyDescent="0.15">
      <c r="B121" s="55"/>
      <c r="C121" s="56"/>
      <c r="D121" s="56" t="str">
        <f>IFERROR(VLOOKUP($C121,烤漆色號編碼!$A:$C,2,FALSE),"-")</f>
        <v>-</v>
      </c>
      <c r="E121" s="56" t="str">
        <f>IFERROR(VLOOKUP($C121,烤漆色號編碼!$A:$C,3,FALSE),"-")</f>
        <v>-</v>
      </c>
      <c r="F121" s="57"/>
      <c r="G121" s="57"/>
      <c r="H121" s="56">
        <f t="shared" si="7"/>
        <v>0</v>
      </c>
      <c r="I121" s="58"/>
      <c r="J121" s="57"/>
      <c r="K121" s="59"/>
      <c r="L121" s="60"/>
      <c r="M121" s="61"/>
      <c r="N121" s="56"/>
      <c r="O121" s="56"/>
    </row>
    <row r="122" spans="2:15" x14ac:dyDescent="0.15">
      <c r="B122" s="48"/>
      <c r="C122" s="49"/>
      <c r="D122" s="49" t="str">
        <f>IFERROR(VLOOKUP($C122,烤漆色號編碼!$A:$C,2,FALSE),"-")</f>
        <v>-</v>
      </c>
      <c r="E122" s="49" t="str">
        <f>IFERROR(VLOOKUP($C122,烤漆色號編碼!$A:$C,3,FALSE),"-")</f>
        <v>-</v>
      </c>
      <c r="F122" s="50"/>
      <c r="G122" s="50"/>
      <c r="H122" s="49">
        <f t="shared" si="7"/>
        <v>0</v>
      </c>
      <c r="I122" s="51"/>
      <c r="J122" s="50"/>
      <c r="K122" s="52"/>
      <c r="L122" s="53"/>
      <c r="M122" s="54"/>
      <c r="N122" s="49"/>
      <c r="O122" s="49"/>
    </row>
    <row r="123" spans="2:15" x14ac:dyDescent="0.15">
      <c r="B123" s="55"/>
      <c r="C123" s="56"/>
      <c r="D123" s="56" t="str">
        <f>IFERROR(VLOOKUP($C123,烤漆色號編碼!$A:$C,2,FALSE),"-")</f>
        <v>-</v>
      </c>
      <c r="E123" s="56" t="str">
        <f>IFERROR(VLOOKUP($C123,烤漆色號編碼!$A:$C,3,FALSE),"-")</f>
        <v>-</v>
      </c>
      <c r="F123" s="57"/>
      <c r="G123" s="57"/>
      <c r="H123" s="56">
        <f t="shared" si="7"/>
        <v>0</v>
      </c>
      <c r="I123" s="58"/>
      <c r="J123" s="57"/>
      <c r="K123" s="59"/>
      <c r="L123" s="60"/>
      <c r="M123" s="61"/>
      <c r="N123" s="56"/>
      <c r="O123" s="56"/>
    </row>
    <row r="124" spans="2:15" x14ac:dyDescent="0.15">
      <c r="B124" s="48"/>
      <c r="C124" s="49"/>
      <c r="D124" s="49" t="str">
        <f>IFERROR(VLOOKUP($C124,烤漆色號編碼!$A:$C,2,FALSE),"-")</f>
        <v>-</v>
      </c>
      <c r="E124" s="49" t="str">
        <f>IFERROR(VLOOKUP($C124,烤漆色號編碼!$A:$C,3,FALSE),"-")</f>
        <v>-</v>
      </c>
      <c r="F124" s="50"/>
      <c r="G124" s="50"/>
      <c r="H124" s="49">
        <f t="shared" si="7"/>
        <v>0</v>
      </c>
      <c r="I124" s="51"/>
      <c r="J124" s="50"/>
      <c r="K124" s="52"/>
      <c r="L124" s="53"/>
      <c r="M124" s="54"/>
      <c r="N124" s="49"/>
      <c r="O124" s="49"/>
    </row>
    <row r="125" spans="2:15" x14ac:dyDescent="0.15">
      <c r="B125" s="55"/>
      <c r="C125" s="56"/>
      <c r="D125" s="56" t="str">
        <f>IFERROR(VLOOKUP($C125,烤漆色號編碼!$A:$C,2,FALSE),"-")</f>
        <v>-</v>
      </c>
      <c r="E125" s="56" t="str">
        <f>IFERROR(VLOOKUP($C125,烤漆色號編碼!$A:$C,3,FALSE),"-")</f>
        <v>-</v>
      </c>
      <c r="F125" s="57"/>
      <c r="G125" s="57"/>
      <c r="H125" s="56">
        <f t="shared" si="7"/>
        <v>0</v>
      </c>
      <c r="I125" s="58"/>
      <c r="J125" s="57"/>
      <c r="K125" s="59"/>
      <c r="L125" s="60"/>
      <c r="M125" s="61"/>
      <c r="N125" s="56"/>
      <c r="O125" s="56"/>
    </row>
    <row r="126" spans="2:15" x14ac:dyDescent="0.15">
      <c r="B126" s="48"/>
      <c r="C126" s="49"/>
      <c r="D126" s="49" t="str">
        <f>IFERROR(VLOOKUP($C126,烤漆色號編碼!$A:$C,2,FALSE),"-")</f>
        <v>-</v>
      </c>
      <c r="E126" s="49" t="str">
        <f>IFERROR(VLOOKUP($C126,烤漆色號編碼!$A:$C,3,FALSE),"-")</f>
        <v>-</v>
      </c>
      <c r="F126" s="50"/>
      <c r="G126" s="50"/>
      <c r="H126" s="49">
        <f t="shared" si="7"/>
        <v>0</v>
      </c>
      <c r="I126" s="51"/>
      <c r="J126" s="50"/>
      <c r="K126" s="52"/>
      <c r="L126" s="53"/>
      <c r="M126" s="54"/>
      <c r="N126" s="49"/>
      <c r="O126" s="49"/>
    </row>
    <row r="127" spans="2:15" x14ac:dyDescent="0.15">
      <c r="B127" s="55"/>
      <c r="C127" s="56"/>
      <c r="D127" s="56" t="str">
        <f>IFERROR(VLOOKUP($C127,烤漆色號編碼!$A:$C,2,FALSE),"-")</f>
        <v>-</v>
      </c>
      <c r="E127" s="56" t="str">
        <f>IFERROR(VLOOKUP($C127,烤漆色號編碼!$A:$C,3,FALSE),"-")</f>
        <v>-</v>
      </c>
      <c r="F127" s="57"/>
      <c r="G127" s="57"/>
      <c r="H127" s="56">
        <f t="shared" si="7"/>
        <v>0</v>
      </c>
      <c r="I127" s="58"/>
      <c r="J127" s="57"/>
      <c r="K127" s="59"/>
      <c r="L127" s="60"/>
      <c r="M127" s="61"/>
      <c r="N127" s="56"/>
      <c r="O127" s="56"/>
    </row>
    <row r="128" spans="2:15" x14ac:dyDescent="0.15">
      <c r="B128" s="48"/>
      <c r="C128" s="49"/>
      <c r="D128" s="49"/>
      <c r="E128" s="49"/>
      <c r="F128" s="50"/>
      <c r="G128" s="50"/>
      <c r="H128" s="49"/>
      <c r="I128" s="51"/>
      <c r="J128" s="50"/>
      <c r="K128" s="52"/>
      <c r="L128" s="53"/>
      <c r="M128" s="54"/>
      <c r="N128" s="49"/>
      <c r="O128" s="49"/>
    </row>
    <row r="129" spans="2:15" x14ac:dyDescent="0.15">
      <c r="B129" s="55"/>
      <c r="C129" s="56"/>
      <c r="D129" s="56"/>
      <c r="E129" s="56"/>
      <c r="F129" s="57"/>
      <c r="G129" s="57"/>
      <c r="H129" s="56"/>
      <c r="I129" s="58"/>
      <c r="J129" s="57"/>
      <c r="K129" s="59"/>
      <c r="L129" s="60"/>
      <c r="M129" s="61"/>
      <c r="N129" s="56"/>
      <c r="O129" s="56"/>
    </row>
    <row r="130" spans="2:15" x14ac:dyDescent="0.15">
      <c r="B130" s="48"/>
      <c r="C130" s="49"/>
      <c r="D130" s="49"/>
      <c r="E130" s="49"/>
      <c r="F130" s="50"/>
      <c r="G130" s="50"/>
      <c r="H130" s="49"/>
      <c r="I130" s="51"/>
      <c r="J130" s="50"/>
      <c r="K130" s="52"/>
      <c r="L130" s="53"/>
      <c r="M130" s="54"/>
      <c r="N130" s="49"/>
      <c r="O130" s="49"/>
    </row>
    <row r="131" spans="2:15" x14ac:dyDescent="0.15">
      <c r="B131" s="55"/>
      <c r="C131" s="56"/>
      <c r="D131" s="56"/>
      <c r="E131" s="56"/>
      <c r="F131" s="57"/>
      <c r="G131" s="57"/>
      <c r="H131" s="56"/>
      <c r="I131" s="58"/>
      <c r="J131" s="57"/>
      <c r="K131" s="59"/>
      <c r="L131" s="60"/>
      <c r="M131" s="61"/>
      <c r="N131" s="56"/>
      <c r="O131" s="56"/>
    </row>
    <row r="132" spans="2:15" x14ac:dyDescent="0.15">
      <c r="B132" s="48"/>
      <c r="C132" s="49"/>
      <c r="D132" s="49"/>
      <c r="E132" s="49"/>
      <c r="F132" s="50"/>
      <c r="G132" s="50"/>
      <c r="H132" s="49"/>
      <c r="I132" s="51"/>
      <c r="J132" s="50"/>
      <c r="K132" s="52"/>
      <c r="L132" s="53"/>
      <c r="M132" s="54"/>
      <c r="N132" s="49"/>
      <c r="O132" s="49"/>
    </row>
    <row r="133" spans="2:15" x14ac:dyDescent="0.15">
      <c r="B133" s="55"/>
      <c r="C133" s="56"/>
      <c r="D133" s="56"/>
      <c r="E133" s="56"/>
      <c r="F133" s="57"/>
      <c r="G133" s="57"/>
      <c r="H133" s="56"/>
      <c r="I133" s="58"/>
      <c r="J133" s="57"/>
      <c r="K133" s="59"/>
      <c r="L133" s="60"/>
      <c r="M133" s="61"/>
      <c r="N133" s="56"/>
      <c r="O133" s="56"/>
    </row>
    <row r="134" spans="2:15" x14ac:dyDescent="0.15">
      <c r="B134" s="48"/>
      <c r="C134" s="49"/>
      <c r="D134" s="49"/>
      <c r="E134" s="49"/>
      <c r="F134" s="50"/>
      <c r="G134" s="50"/>
      <c r="H134" s="49"/>
      <c r="I134" s="51"/>
      <c r="J134" s="50"/>
      <c r="K134" s="52"/>
      <c r="L134" s="53"/>
      <c r="M134" s="54"/>
      <c r="N134" s="49"/>
      <c r="O134" s="49"/>
    </row>
    <row r="135" spans="2:15" x14ac:dyDescent="0.15">
      <c r="B135" s="55"/>
      <c r="C135" s="56"/>
      <c r="D135" s="56"/>
      <c r="E135" s="56"/>
      <c r="F135" s="57"/>
      <c r="G135" s="57"/>
      <c r="H135" s="56"/>
      <c r="I135" s="58"/>
      <c r="J135" s="57"/>
      <c r="K135" s="59"/>
      <c r="L135" s="60"/>
      <c r="M135" s="61"/>
      <c r="N135" s="56"/>
      <c r="O135" s="56"/>
    </row>
    <row r="136" spans="2:15" x14ac:dyDescent="0.15">
      <c r="B136" s="48"/>
      <c r="C136" s="49"/>
      <c r="D136" s="49"/>
      <c r="E136" s="49"/>
      <c r="F136" s="50"/>
      <c r="G136" s="50"/>
      <c r="H136" s="49"/>
      <c r="I136" s="51"/>
      <c r="J136" s="50"/>
      <c r="K136" s="52"/>
      <c r="L136" s="53"/>
      <c r="M136" s="54"/>
      <c r="N136" s="49"/>
      <c r="O136" s="49"/>
    </row>
    <row r="137" spans="2:15" x14ac:dyDescent="0.15">
      <c r="B137" s="55"/>
      <c r="C137" s="56"/>
      <c r="D137" s="56"/>
      <c r="E137" s="56"/>
      <c r="F137" s="57"/>
      <c r="G137" s="57"/>
      <c r="H137" s="56"/>
      <c r="I137" s="58"/>
      <c r="J137" s="57"/>
      <c r="K137" s="59"/>
      <c r="L137" s="60"/>
      <c r="M137" s="61"/>
      <c r="N137" s="56"/>
      <c r="O137" s="56"/>
    </row>
    <row r="138" spans="2:15" x14ac:dyDescent="0.15">
      <c r="B138" s="48"/>
      <c r="C138" s="49"/>
      <c r="D138" s="49"/>
      <c r="E138" s="49"/>
      <c r="F138" s="50"/>
      <c r="G138" s="50"/>
      <c r="H138" s="49"/>
      <c r="I138" s="51"/>
      <c r="J138" s="50"/>
      <c r="K138" s="52"/>
      <c r="L138" s="53"/>
      <c r="M138" s="54"/>
      <c r="N138" s="49"/>
      <c r="O138" s="49"/>
    </row>
    <row r="139" spans="2:15" x14ac:dyDescent="0.15">
      <c r="B139" s="55"/>
      <c r="C139" s="56"/>
      <c r="D139" s="56"/>
      <c r="E139" s="56"/>
      <c r="F139" s="57"/>
      <c r="G139" s="57"/>
      <c r="H139" s="56"/>
      <c r="I139" s="58"/>
      <c r="J139" s="57"/>
      <c r="K139" s="59"/>
      <c r="L139" s="60"/>
      <c r="M139" s="61"/>
      <c r="N139" s="56"/>
      <c r="O139" s="56"/>
    </row>
    <row r="140" spans="2:15" x14ac:dyDescent="0.15">
      <c r="B140" s="48"/>
      <c r="C140" s="49"/>
      <c r="D140" s="49"/>
      <c r="E140" s="49"/>
      <c r="F140" s="50"/>
      <c r="G140" s="50"/>
      <c r="H140" s="49"/>
      <c r="I140" s="51"/>
      <c r="J140" s="50"/>
      <c r="K140" s="52"/>
      <c r="L140" s="53"/>
      <c r="M140" s="54"/>
      <c r="N140" s="49"/>
      <c r="O140" s="49"/>
    </row>
    <row r="141" spans="2:15" x14ac:dyDescent="0.15">
      <c r="B141" s="55"/>
      <c r="C141" s="56"/>
      <c r="D141" s="56"/>
      <c r="E141" s="56"/>
      <c r="F141" s="57"/>
      <c r="G141" s="57"/>
      <c r="H141" s="56"/>
      <c r="I141" s="58"/>
      <c r="J141" s="57"/>
      <c r="K141" s="59"/>
      <c r="L141" s="60"/>
      <c r="M141" s="61"/>
      <c r="N141" s="56"/>
      <c r="O141" s="56"/>
    </row>
    <row r="142" spans="2:15" x14ac:dyDescent="0.15">
      <c r="B142" s="48"/>
      <c r="C142" s="49"/>
      <c r="D142" s="49"/>
      <c r="E142" s="49"/>
      <c r="F142" s="50"/>
      <c r="G142" s="50"/>
      <c r="H142" s="49"/>
      <c r="I142" s="51"/>
      <c r="J142" s="50"/>
      <c r="K142" s="52"/>
      <c r="L142" s="53"/>
      <c r="M142" s="54"/>
      <c r="N142" s="49"/>
      <c r="O142" s="49"/>
    </row>
    <row r="143" spans="2:15" x14ac:dyDescent="0.15">
      <c r="B143" s="55"/>
      <c r="C143" s="56"/>
      <c r="D143" s="56"/>
      <c r="E143" s="56"/>
      <c r="F143" s="57"/>
      <c r="G143" s="57"/>
      <c r="H143" s="56"/>
      <c r="I143" s="58"/>
      <c r="J143" s="57"/>
      <c r="K143" s="59"/>
      <c r="L143" s="60"/>
      <c r="M143" s="61"/>
      <c r="N143" s="56"/>
      <c r="O143" s="56"/>
    </row>
    <row r="144" spans="2:15" x14ac:dyDescent="0.15">
      <c r="B144" s="48"/>
      <c r="C144" s="49"/>
      <c r="D144" s="49"/>
      <c r="E144" s="49"/>
      <c r="F144" s="50"/>
      <c r="G144" s="50"/>
      <c r="H144" s="49"/>
      <c r="I144" s="51"/>
      <c r="J144" s="50"/>
      <c r="K144" s="52"/>
      <c r="L144" s="53"/>
      <c r="M144" s="54"/>
      <c r="N144" s="49"/>
      <c r="O144" s="49"/>
    </row>
    <row r="145" spans="2:15" x14ac:dyDescent="0.15">
      <c r="B145" s="55"/>
      <c r="C145" s="56"/>
      <c r="D145" s="56"/>
      <c r="E145" s="56"/>
      <c r="F145" s="57"/>
      <c r="G145" s="57"/>
      <c r="H145" s="56"/>
      <c r="I145" s="58"/>
      <c r="J145" s="57"/>
      <c r="K145" s="59"/>
      <c r="L145" s="60"/>
      <c r="M145" s="61"/>
      <c r="N145" s="56"/>
      <c r="O145" s="56"/>
    </row>
    <row r="146" spans="2:15" x14ac:dyDescent="0.15">
      <c r="B146" s="48"/>
      <c r="C146" s="49"/>
      <c r="D146" s="49"/>
      <c r="E146" s="49"/>
      <c r="F146" s="50"/>
      <c r="G146" s="50"/>
      <c r="H146" s="49"/>
      <c r="I146" s="51"/>
      <c r="J146" s="50"/>
      <c r="K146" s="52"/>
      <c r="L146" s="53"/>
      <c r="M146" s="54"/>
      <c r="N146" s="49"/>
      <c r="O146" s="49"/>
    </row>
    <row r="147" spans="2:15" x14ac:dyDescent="0.15">
      <c r="B147" s="55"/>
      <c r="C147" s="56"/>
      <c r="D147" s="56"/>
      <c r="E147" s="56"/>
      <c r="F147" s="57"/>
      <c r="G147" s="57"/>
      <c r="H147" s="56"/>
      <c r="I147" s="58"/>
      <c r="J147" s="57"/>
      <c r="K147" s="59"/>
      <c r="L147" s="60"/>
      <c r="M147" s="61"/>
      <c r="N147" s="56"/>
      <c r="O147" s="56"/>
    </row>
    <row r="148" spans="2:15" x14ac:dyDescent="0.15">
      <c r="B148" s="48"/>
      <c r="C148" s="49"/>
      <c r="D148" s="49"/>
      <c r="E148" s="49"/>
      <c r="F148" s="50"/>
      <c r="G148" s="50"/>
      <c r="H148" s="49"/>
      <c r="I148" s="51"/>
      <c r="J148" s="50"/>
      <c r="K148" s="52"/>
      <c r="L148" s="53"/>
      <c r="M148" s="54"/>
      <c r="N148" s="49"/>
      <c r="O148" s="49"/>
    </row>
    <row r="149" spans="2:15" x14ac:dyDescent="0.15">
      <c r="B149" s="55"/>
      <c r="C149" s="56"/>
      <c r="D149" s="56"/>
      <c r="E149" s="56"/>
      <c r="F149" s="57"/>
      <c r="G149" s="57"/>
      <c r="H149" s="56"/>
      <c r="I149" s="58"/>
      <c r="J149" s="57"/>
      <c r="K149" s="59"/>
      <c r="L149" s="60"/>
      <c r="M149" s="61"/>
      <c r="N149" s="56"/>
      <c r="O149" s="56"/>
    </row>
    <row r="150" spans="2:15" x14ac:dyDescent="0.15">
      <c r="B150" s="48"/>
      <c r="C150" s="49"/>
      <c r="D150" s="49"/>
      <c r="E150" s="49"/>
      <c r="F150" s="50"/>
      <c r="G150" s="50"/>
      <c r="H150" s="49"/>
      <c r="I150" s="51"/>
      <c r="J150" s="50"/>
      <c r="K150" s="52"/>
      <c r="L150" s="53"/>
      <c r="M150" s="54"/>
      <c r="N150" s="49"/>
      <c r="O150" s="49"/>
    </row>
    <row r="151" spans="2:15" x14ac:dyDescent="0.15">
      <c r="B151" s="55"/>
      <c r="C151" s="56"/>
      <c r="D151" s="56"/>
      <c r="E151" s="56"/>
      <c r="F151" s="57"/>
      <c r="G151" s="57"/>
      <c r="H151" s="56"/>
      <c r="I151" s="58"/>
      <c r="J151" s="57"/>
      <c r="K151" s="59"/>
      <c r="L151" s="60"/>
      <c r="M151" s="61"/>
      <c r="N151" s="56"/>
      <c r="O151" s="56"/>
    </row>
    <row r="152" spans="2:15" x14ac:dyDescent="0.15">
      <c r="B152" s="48"/>
      <c r="C152" s="49"/>
      <c r="D152" s="49"/>
      <c r="E152" s="49"/>
      <c r="F152" s="50"/>
      <c r="G152" s="50"/>
      <c r="H152" s="49"/>
      <c r="I152" s="51"/>
      <c r="J152" s="50"/>
      <c r="K152" s="52"/>
      <c r="L152" s="53"/>
      <c r="M152" s="54"/>
      <c r="N152" s="49"/>
      <c r="O152" s="49"/>
    </row>
    <row r="153" spans="2:15" x14ac:dyDescent="0.15">
      <c r="B153" s="55"/>
      <c r="C153" s="56"/>
      <c r="D153" s="56"/>
      <c r="E153" s="56"/>
      <c r="F153" s="57"/>
      <c r="G153" s="57"/>
      <c r="H153" s="56"/>
      <c r="I153" s="58"/>
      <c r="J153" s="57"/>
      <c r="K153" s="59"/>
      <c r="L153" s="60"/>
      <c r="M153" s="61"/>
      <c r="N153" s="56"/>
      <c r="O153" s="56"/>
    </row>
    <row r="154" spans="2:15" x14ac:dyDescent="0.15">
      <c r="B154" s="48"/>
      <c r="C154" s="49"/>
      <c r="D154" s="49"/>
      <c r="E154" s="49"/>
      <c r="F154" s="50"/>
      <c r="G154" s="50"/>
      <c r="H154" s="49"/>
      <c r="I154" s="51"/>
      <c r="J154" s="50"/>
      <c r="K154" s="52"/>
      <c r="L154" s="53"/>
      <c r="M154" s="54"/>
      <c r="N154" s="49"/>
      <c r="O154" s="49"/>
    </row>
    <row r="155" spans="2:15" x14ac:dyDescent="0.15">
      <c r="B155" s="55"/>
      <c r="C155" s="56"/>
      <c r="D155" s="56"/>
      <c r="E155" s="56"/>
      <c r="F155" s="57"/>
      <c r="G155" s="57"/>
      <c r="H155" s="56"/>
      <c r="I155" s="58"/>
      <c r="J155" s="57"/>
      <c r="K155" s="59"/>
      <c r="L155" s="60"/>
      <c r="M155" s="61"/>
      <c r="N155" s="56"/>
      <c r="O155" s="56"/>
    </row>
    <row r="156" spans="2:15" x14ac:dyDescent="0.15">
      <c r="B156" s="48"/>
      <c r="C156" s="49"/>
      <c r="D156" s="49"/>
      <c r="E156" s="49"/>
      <c r="F156" s="50"/>
      <c r="G156" s="50"/>
      <c r="H156" s="49"/>
      <c r="I156" s="51"/>
      <c r="J156" s="50"/>
      <c r="K156" s="52"/>
      <c r="L156" s="53"/>
      <c r="M156" s="54"/>
      <c r="N156" s="49"/>
      <c r="O156" s="49"/>
    </row>
    <row r="157" spans="2:15" x14ac:dyDescent="0.15">
      <c r="B157" s="55"/>
      <c r="C157" s="56"/>
      <c r="D157" s="56"/>
      <c r="E157" s="56"/>
      <c r="F157" s="57"/>
      <c r="G157" s="57"/>
      <c r="H157" s="56"/>
      <c r="I157" s="58"/>
      <c r="J157" s="57"/>
      <c r="K157" s="59"/>
      <c r="L157" s="60"/>
      <c r="M157" s="61"/>
      <c r="N157" s="56"/>
      <c r="O157" s="56"/>
    </row>
    <row r="158" spans="2:15" x14ac:dyDescent="0.15">
      <c r="B158" s="48"/>
      <c r="C158" s="49"/>
      <c r="D158" s="49"/>
      <c r="E158" s="49"/>
      <c r="F158" s="50"/>
      <c r="G158" s="50"/>
      <c r="H158" s="49"/>
      <c r="I158" s="51"/>
      <c r="J158" s="50"/>
      <c r="K158" s="52"/>
      <c r="L158" s="53"/>
      <c r="M158" s="54"/>
      <c r="N158" s="49"/>
      <c r="O158" s="49"/>
    </row>
    <row r="159" spans="2:15" x14ac:dyDescent="0.15">
      <c r="B159" s="55"/>
      <c r="C159" s="56"/>
      <c r="D159" s="56"/>
      <c r="E159" s="56"/>
      <c r="F159" s="57"/>
      <c r="G159" s="57"/>
      <c r="H159" s="56"/>
      <c r="I159" s="58"/>
      <c r="J159" s="57"/>
      <c r="K159" s="59"/>
      <c r="L159" s="60"/>
      <c r="M159" s="61"/>
      <c r="N159" s="56"/>
      <c r="O159" s="56"/>
    </row>
    <row r="160" spans="2:15" x14ac:dyDescent="0.15">
      <c r="B160" s="48"/>
      <c r="C160" s="49"/>
      <c r="D160" s="49"/>
      <c r="E160" s="49"/>
      <c r="F160" s="50"/>
      <c r="G160" s="50"/>
      <c r="H160" s="49"/>
      <c r="I160" s="51"/>
      <c r="J160" s="50"/>
      <c r="K160" s="52"/>
      <c r="L160" s="53"/>
      <c r="M160" s="54"/>
      <c r="N160" s="49"/>
      <c r="O160" s="49"/>
    </row>
    <row r="161" spans="2:15" x14ac:dyDescent="0.15">
      <c r="B161" s="55"/>
      <c r="C161" s="56"/>
      <c r="D161" s="56"/>
      <c r="E161" s="56"/>
      <c r="F161" s="57"/>
      <c r="G161" s="57"/>
      <c r="H161" s="56"/>
      <c r="I161" s="58"/>
      <c r="J161" s="57"/>
      <c r="K161" s="59"/>
      <c r="L161" s="60"/>
      <c r="M161" s="61"/>
      <c r="N161" s="56"/>
      <c r="O161" s="56"/>
    </row>
    <row r="162" spans="2:15" x14ac:dyDescent="0.15">
      <c r="B162" s="48"/>
      <c r="C162" s="49"/>
      <c r="D162" s="49"/>
      <c r="E162" s="49"/>
      <c r="F162" s="50"/>
      <c r="G162" s="50"/>
      <c r="H162" s="49"/>
      <c r="I162" s="51"/>
      <c r="J162" s="50"/>
      <c r="K162" s="52"/>
      <c r="L162" s="53"/>
      <c r="M162" s="54"/>
      <c r="N162" s="49"/>
      <c r="O162" s="49"/>
    </row>
    <row r="163" spans="2:15" x14ac:dyDescent="0.15">
      <c r="B163" s="55"/>
      <c r="C163" s="56"/>
      <c r="D163" s="56"/>
      <c r="E163" s="56"/>
      <c r="F163" s="57"/>
      <c r="G163" s="57"/>
      <c r="H163" s="56"/>
      <c r="I163" s="58"/>
      <c r="J163" s="57"/>
      <c r="K163" s="59"/>
      <c r="L163" s="60"/>
      <c r="M163" s="61"/>
      <c r="N163" s="56"/>
      <c r="O163" s="56"/>
    </row>
    <row r="164" spans="2:15" x14ac:dyDescent="0.15">
      <c r="B164" s="48"/>
      <c r="C164" s="49"/>
      <c r="D164" s="49"/>
      <c r="E164" s="49"/>
      <c r="F164" s="50"/>
      <c r="G164" s="50"/>
      <c r="H164" s="49"/>
      <c r="I164" s="51"/>
      <c r="J164" s="50"/>
      <c r="K164" s="52"/>
      <c r="L164" s="53"/>
      <c r="M164" s="54"/>
      <c r="N164" s="49"/>
      <c r="O164" s="49"/>
    </row>
    <row r="165" spans="2:15" x14ac:dyDescent="0.15">
      <c r="B165" s="55"/>
      <c r="C165" s="56"/>
      <c r="D165" s="56"/>
      <c r="E165" s="56"/>
      <c r="F165" s="57"/>
      <c r="G165" s="57"/>
      <c r="H165" s="56"/>
      <c r="I165" s="58"/>
      <c r="J165" s="57"/>
      <c r="K165" s="59"/>
      <c r="L165" s="60"/>
      <c r="M165" s="61"/>
      <c r="N165" s="56"/>
      <c r="O165" s="56"/>
    </row>
    <row r="166" spans="2:15" x14ac:dyDescent="0.15">
      <c r="B166" s="48"/>
      <c r="C166" s="49"/>
      <c r="D166" s="49"/>
      <c r="E166" s="49"/>
      <c r="F166" s="50"/>
      <c r="G166" s="50"/>
      <c r="H166" s="49"/>
      <c r="I166" s="51"/>
      <c r="J166" s="50"/>
      <c r="K166" s="52"/>
      <c r="L166" s="53"/>
      <c r="M166" s="54"/>
      <c r="N166" s="49"/>
      <c r="O166" s="49"/>
    </row>
    <row r="167" spans="2:15" x14ac:dyDescent="0.15">
      <c r="B167" s="55"/>
      <c r="C167" s="56"/>
      <c r="D167" s="56"/>
      <c r="E167" s="56"/>
      <c r="F167" s="57"/>
      <c r="G167" s="57"/>
      <c r="H167" s="56"/>
      <c r="I167" s="58"/>
      <c r="J167" s="57"/>
      <c r="K167" s="59"/>
      <c r="L167" s="60"/>
      <c r="M167" s="61"/>
      <c r="N167" s="56"/>
      <c r="O167" s="56"/>
    </row>
    <row r="168" spans="2:15" x14ac:dyDescent="0.15">
      <c r="B168" s="48"/>
      <c r="C168" s="49"/>
      <c r="D168" s="49"/>
      <c r="E168" s="49"/>
      <c r="F168" s="50"/>
      <c r="G168" s="50"/>
      <c r="H168" s="49"/>
      <c r="I168" s="51"/>
      <c r="J168" s="50"/>
      <c r="K168" s="52"/>
      <c r="L168" s="53"/>
      <c r="M168" s="54"/>
      <c r="N168" s="49"/>
      <c r="O168" s="49"/>
    </row>
    <row r="169" spans="2:15" x14ac:dyDescent="0.15">
      <c r="B169" s="55"/>
      <c r="C169" s="56"/>
      <c r="D169" s="56"/>
      <c r="E169" s="56"/>
      <c r="F169" s="57"/>
      <c r="G169" s="57"/>
      <c r="H169" s="56"/>
      <c r="I169" s="58"/>
      <c r="J169" s="57"/>
      <c r="K169" s="59"/>
      <c r="L169" s="60"/>
      <c r="M169" s="61"/>
      <c r="N169" s="56"/>
      <c r="O169" s="56"/>
    </row>
    <row r="170" spans="2:15" x14ac:dyDescent="0.15">
      <c r="B170" s="48"/>
      <c r="C170" s="49"/>
      <c r="D170" s="49"/>
      <c r="E170" s="49"/>
      <c r="F170" s="50"/>
      <c r="G170" s="50"/>
      <c r="H170" s="49"/>
      <c r="I170" s="51"/>
      <c r="J170" s="50"/>
      <c r="K170" s="52"/>
      <c r="L170" s="53"/>
      <c r="M170" s="54"/>
      <c r="N170" s="49"/>
      <c r="O170" s="49"/>
    </row>
    <row r="171" spans="2:15" x14ac:dyDescent="0.15">
      <c r="B171" s="55"/>
      <c r="C171" s="56"/>
      <c r="D171" s="56"/>
      <c r="E171" s="56"/>
      <c r="F171" s="57"/>
      <c r="G171" s="57"/>
      <c r="H171" s="56"/>
      <c r="I171" s="58"/>
      <c r="J171" s="57"/>
      <c r="K171" s="59"/>
      <c r="L171" s="60"/>
      <c r="M171" s="61"/>
      <c r="N171" s="56"/>
      <c r="O171" s="56"/>
    </row>
    <row r="172" spans="2:15" x14ac:dyDescent="0.15">
      <c r="B172" s="48"/>
      <c r="C172" s="49"/>
      <c r="D172" s="49"/>
      <c r="E172" s="49"/>
      <c r="F172" s="50"/>
      <c r="G172" s="50"/>
      <c r="H172" s="49"/>
      <c r="I172" s="51"/>
      <c r="J172" s="50"/>
      <c r="K172" s="52"/>
      <c r="L172" s="53"/>
      <c r="M172" s="54"/>
      <c r="N172" s="49"/>
      <c r="O172" s="49"/>
    </row>
    <row r="173" spans="2:15" x14ac:dyDescent="0.15">
      <c r="B173" s="55"/>
      <c r="C173" s="56"/>
      <c r="D173" s="56"/>
      <c r="E173" s="56"/>
      <c r="F173" s="57"/>
      <c r="G173" s="57"/>
      <c r="H173" s="56"/>
      <c r="I173" s="58"/>
      <c r="J173" s="57"/>
      <c r="K173" s="59"/>
      <c r="L173" s="60"/>
      <c r="M173" s="61"/>
      <c r="N173" s="56"/>
      <c r="O173" s="56"/>
    </row>
    <row r="174" spans="2:15" x14ac:dyDescent="0.15">
      <c r="B174" s="48"/>
      <c r="C174" s="49"/>
      <c r="D174" s="49"/>
      <c r="E174" s="49"/>
      <c r="F174" s="50"/>
      <c r="G174" s="50"/>
      <c r="H174" s="49"/>
      <c r="I174" s="51"/>
      <c r="J174" s="50"/>
      <c r="K174" s="52"/>
      <c r="L174" s="53"/>
      <c r="M174" s="54"/>
      <c r="N174" s="49"/>
      <c r="O174" s="49"/>
    </row>
    <row r="175" spans="2:15" x14ac:dyDescent="0.15">
      <c r="B175" s="55"/>
      <c r="C175" s="56"/>
      <c r="D175" s="56"/>
      <c r="E175" s="56"/>
      <c r="F175" s="57"/>
      <c r="G175" s="57"/>
      <c r="H175" s="56"/>
      <c r="I175" s="58"/>
      <c r="J175" s="57"/>
      <c r="K175" s="59"/>
      <c r="L175" s="60"/>
      <c r="M175" s="61"/>
      <c r="N175" s="56"/>
      <c r="O175" s="56"/>
    </row>
    <row r="176" spans="2:15" x14ac:dyDescent="0.15">
      <c r="B176" s="48"/>
      <c r="C176" s="49"/>
      <c r="D176" s="49"/>
      <c r="E176" s="49"/>
      <c r="F176" s="50"/>
      <c r="G176" s="50"/>
      <c r="H176" s="49"/>
      <c r="I176" s="51"/>
      <c r="J176" s="50"/>
      <c r="K176" s="52"/>
      <c r="L176" s="53"/>
      <c r="M176" s="54"/>
      <c r="N176" s="49"/>
      <c r="O176" s="49"/>
    </row>
    <row r="177" spans="2:15" x14ac:dyDescent="0.15">
      <c r="B177" s="55"/>
      <c r="C177" s="56"/>
      <c r="D177" s="56"/>
      <c r="E177" s="56"/>
      <c r="F177" s="57"/>
      <c r="G177" s="57"/>
      <c r="H177" s="56"/>
      <c r="I177" s="58"/>
      <c r="J177" s="57"/>
      <c r="K177" s="59"/>
      <c r="L177" s="60"/>
      <c r="M177" s="61"/>
      <c r="N177" s="56"/>
      <c r="O177" s="56"/>
    </row>
    <row r="178" spans="2:15" x14ac:dyDescent="0.15">
      <c r="B178" s="48"/>
      <c r="C178" s="49"/>
      <c r="D178" s="49"/>
      <c r="E178" s="49"/>
      <c r="F178" s="50"/>
      <c r="G178" s="50"/>
      <c r="H178" s="49"/>
      <c r="I178" s="51"/>
      <c r="J178" s="50"/>
      <c r="K178" s="52"/>
      <c r="L178" s="53"/>
      <c r="M178" s="54"/>
      <c r="N178" s="49"/>
      <c r="O178" s="49"/>
    </row>
    <row r="179" spans="2:15" x14ac:dyDescent="0.15">
      <c r="B179" s="55"/>
      <c r="C179" s="56"/>
      <c r="D179" s="56"/>
      <c r="E179" s="56"/>
      <c r="F179" s="57"/>
      <c r="G179" s="57"/>
      <c r="H179" s="56"/>
      <c r="I179" s="58"/>
      <c r="J179" s="57"/>
      <c r="K179" s="59"/>
      <c r="L179" s="60"/>
      <c r="M179" s="61"/>
      <c r="N179" s="56"/>
      <c r="O179" s="56"/>
    </row>
    <row r="180" spans="2:15" x14ac:dyDescent="0.15">
      <c r="B180" s="48"/>
      <c r="C180" s="49"/>
      <c r="D180" s="49"/>
      <c r="E180" s="49"/>
      <c r="F180" s="50"/>
      <c r="G180" s="50"/>
      <c r="H180" s="49"/>
      <c r="I180" s="51"/>
      <c r="J180" s="50"/>
      <c r="K180" s="52"/>
      <c r="L180" s="53"/>
      <c r="M180" s="54"/>
      <c r="N180" s="49"/>
      <c r="O180" s="49"/>
    </row>
    <row r="181" spans="2:15" x14ac:dyDescent="0.15">
      <c r="B181" s="55"/>
      <c r="C181" s="56"/>
      <c r="D181" s="56"/>
      <c r="E181" s="56"/>
      <c r="F181" s="57"/>
      <c r="G181" s="57"/>
      <c r="H181" s="56"/>
      <c r="I181" s="58"/>
      <c r="J181" s="57"/>
      <c r="K181" s="59"/>
      <c r="L181" s="60"/>
      <c r="M181" s="61"/>
      <c r="N181" s="56"/>
      <c r="O181" s="56"/>
    </row>
    <row r="182" spans="2:15" x14ac:dyDescent="0.15">
      <c r="B182" s="48"/>
      <c r="C182" s="49"/>
      <c r="D182" s="49"/>
      <c r="E182" s="49"/>
      <c r="F182" s="50"/>
      <c r="G182" s="50"/>
      <c r="H182" s="49"/>
      <c r="I182" s="51"/>
      <c r="J182" s="50"/>
      <c r="K182" s="52"/>
      <c r="L182" s="53"/>
      <c r="M182" s="54"/>
      <c r="N182" s="49"/>
      <c r="O182" s="49"/>
    </row>
    <row r="183" spans="2:15" x14ac:dyDescent="0.15">
      <c r="B183" s="55"/>
      <c r="C183" s="56"/>
      <c r="D183" s="56"/>
      <c r="E183" s="56"/>
      <c r="F183" s="57"/>
      <c r="G183" s="57"/>
      <c r="H183" s="56"/>
      <c r="I183" s="58"/>
      <c r="J183" s="57"/>
      <c r="K183" s="59"/>
      <c r="L183" s="60"/>
      <c r="M183" s="61"/>
      <c r="N183" s="56"/>
      <c r="O183" s="56"/>
    </row>
    <row r="184" spans="2:15" x14ac:dyDescent="0.15">
      <c r="B184" s="48"/>
      <c r="C184" s="49"/>
      <c r="D184" s="49"/>
      <c r="E184" s="49"/>
      <c r="F184" s="50"/>
      <c r="G184" s="50"/>
      <c r="H184" s="49"/>
      <c r="I184" s="51"/>
      <c r="J184" s="50"/>
      <c r="K184" s="52"/>
      <c r="L184" s="53"/>
      <c r="M184" s="54"/>
      <c r="N184" s="49"/>
      <c r="O184" s="49"/>
    </row>
    <row r="185" spans="2:15" x14ac:dyDescent="0.15">
      <c r="B185" s="55"/>
      <c r="C185" s="56"/>
      <c r="D185" s="56"/>
      <c r="E185" s="56"/>
      <c r="F185" s="57"/>
      <c r="G185" s="57"/>
      <c r="H185" s="56"/>
      <c r="I185" s="58"/>
      <c r="J185" s="57"/>
      <c r="K185" s="59"/>
      <c r="L185" s="60"/>
      <c r="M185" s="61"/>
      <c r="N185" s="56"/>
      <c r="O185" s="56"/>
    </row>
    <row r="186" spans="2:15" x14ac:dyDescent="0.15">
      <c r="B186" s="48"/>
      <c r="C186" s="49"/>
      <c r="D186" s="49"/>
      <c r="E186" s="49"/>
      <c r="F186" s="50"/>
      <c r="G186" s="50"/>
      <c r="H186" s="49"/>
      <c r="I186" s="51"/>
      <c r="J186" s="50"/>
      <c r="K186" s="52"/>
      <c r="L186" s="53"/>
      <c r="M186" s="54"/>
      <c r="N186" s="49"/>
      <c r="O186" s="49"/>
    </row>
    <row r="187" spans="2:15" x14ac:dyDescent="0.15">
      <c r="B187" s="55"/>
      <c r="C187" s="56"/>
      <c r="D187" s="56"/>
      <c r="E187" s="56"/>
      <c r="F187" s="57"/>
      <c r="G187" s="57"/>
      <c r="H187" s="56"/>
      <c r="I187" s="58"/>
      <c r="J187" s="57"/>
      <c r="K187" s="59"/>
      <c r="L187" s="60"/>
      <c r="M187" s="61"/>
      <c r="N187" s="56"/>
      <c r="O187" s="56"/>
    </row>
    <row r="188" spans="2:15" x14ac:dyDescent="0.15">
      <c r="B188" s="48"/>
      <c r="C188" s="49"/>
      <c r="D188" s="49"/>
      <c r="E188" s="49"/>
      <c r="F188" s="50"/>
      <c r="G188" s="50"/>
      <c r="H188" s="49"/>
      <c r="I188" s="51"/>
      <c r="J188" s="50"/>
      <c r="K188" s="52"/>
      <c r="L188" s="53"/>
      <c r="M188" s="54"/>
      <c r="N188" s="49"/>
      <c r="O188" s="49"/>
    </row>
    <row r="189" spans="2:15" x14ac:dyDescent="0.15">
      <c r="B189" s="55"/>
      <c r="C189" s="56"/>
      <c r="D189" s="56"/>
      <c r="E189" s="56"/>
      <c r="F189" s="57"/>
      <c r="G189" s="57"/>
      <c r="H189" s="56"/>
      <c r="I189" s="58"/>
      <c r="J189" s="57"/>
      <c r="K189" s="59"/>
      <c r="L189" s="60"/>
      <c r="M189" s="61"/>
      <c r="N189" s="56"/>
      <c r="O189" s="56"/>
    </row>
    <row r="190" spans="2:15" x14ac:dyDescent="0.15">
      <c r="B190" s="48"/>
      <c r="C190" s="49"/>
      <c r="D190" s="49"/>
      <c r="E190" s="49"/>
      <c r="F190" s="50"/>
      <c r="G190" s="50"/>
      <c r="H190" s="49"/>
      <c r="I190" s="51"/>
      <c r="J190" s="50"/>
      <c r="K190" s="52"/>
      <c r="L190" s="53"/>
      <c r="M190" s="54"/>
      <c r="N190" s="49"/>
      <c r="O190" s="49"/>
    </row>
    <row r="191" spans="2:15" x14ac:dyDescent="0.15">
      <c r="B191" s="55"/>
      <c r="C191" s="56"/>
      <c r="D191" s="56"/>
      <c r="E191" s="56"/>
      <c r="F191" s="57"/>
      <c r="G191" s="57"/>
      <c r="H191" s="56"/>
      <c r="I191" s="58"/>
      <c r="J191" s="57"/>
      <c r="K191" s="59"/>
      <c r="L191" s="60"/>
      <c r="M191" s="61"/>
      <c r="N191" s="56"/>
      <c r="O191" s="56"/>
    </row>
    <row r="192" spans="2:15" x14ac:dyDescent="0.15">
      <c r="B192" s="48"/>
      <c r="C192" s="49"/>
      <c r="D192" s="49"/>
      <c r="E192" s="49"/>
      <c r="F192" s="50"/>
      <c r="G192" s="50"/>
      <c r="H192" s="49"/>
      <c r="I192" s="51"/>
      <c r="J192" s="50"/>
      <c r="K192" s="52"/>
      <c r="L192" s="53"/>
      <c r="M192" s="54"/>
      <c r="N192" s="49"/>
      <c r="O192" s="49"/>
    </row>
    <row r="193" spans="2:15" x14ac:dyDescent="0.15">
      <c r="B193" s="55"/>
      <c r="C193" s="56"/>
      <c r="D193" s="56"/>
      <c r="E193" s="56"/>
      <c r="F193" s="57"/>
      <c r="G193" s="57"/>
      <c r="H193" s="56"/>
      <c r="I193" s="58"/>
      <c r="J193" s="57"/>
      <c r="K193" s="59"/>
      <c r="L193" s="60"/>
      <c r="M193" s="61"/>
      <c r="N193" s="56"/>
      <c r="O193" s="56"/>
    </row>
    <row r="194" spans="2:15" x14ac:dyDescent="0.15">
      <c r="B194" s="48"/>
      <c r="C194" s="49"/>
      <c r="D194" s="49"/>
      <c r="E194" s="49"/>
      <c r="F194" s="50"/>
      <c r="G194" s="50"/>
      <c r="H194" s="49"/>
      <c r="I194" s="51"/>
      <c r="J194" s="50"/>
      <c r="K194" s="52"/>
      <c r="L194" s="53"/>
      <c r="M194" s="54"/>
      <c r="N194" s="49"/>
      <c r="O194" s="49"/>
    </row>
    <row r="195" spans="2:15" x14ac:dyDescent="0.15">
      <c r="B195" s="55"/>
      <c r="C195" s="56"/>
      <c r="D195" s="56"/>
      <c r="E195" s="56"/>
      <c r="F195" s="57"/>
      <c r="G195" s="57"/>
      <c r="H195" s="56"/>
      <c r="I195" s="58"/>
      <c r="J195" s="57"/>
      <c r="K195" s="59"/>
      <c r="L195" s="60"/>
      <c r="M195" s="61"/>
      <c r="N195" s="56"/>
      <c r="O195" s="56"/>
    </row>
    <row r="196" spans="2:15" x14ac:dyDescent="0.15">
      <c r="B196" s="48"/>
      <c r="C196" s="49"/>
      <c r="D196" s="49"/>
      <c r="E196" s="49"/>
      <c r="F196" s="50"/>
      <c r="G196" s="50"/>
      <c r="H196" s="49"/>
      <c r="I196" s="51"/>
      <c r="J196" s="50"/>
      <c r="K196" s="52"/>
      <c r="L196" s="53"/>
      <c r="M196" s="54"/>
      <c r="N196" s="49"/>
      <c r="O196" s="49"/>
    </row>
    <row r="197" spans="2:15" x14ac:dyDescent="0.15">
      <c r="B197" s="55"/>
      <c r="C197" s="56"/>
      <c r="D197" s="56"/>
      <c r="E197" s="56"/>
      <c r="F197" s="57"/>
      <c r="G197" s="57"/>
      <c r="H197" s="56"/>
      <c r="I197" s="58"/>
      <c r="J197" s="57"/>
      <c r="K197" s="59"/>
      <c r="L197" s="60"/>
      <c r="M197" s="61"/>
      <c r="N197" s="56"/>
      <c r="O197" s="56"/>
    </row>
    <row r="198" spans="2:15" x14ac:dyDescent="0.15">
      <c r="B198" s="48"/>
      <c r="C198" s="49"/>
      <c r="D198" s="49"/>
      <c r="E198" s="49"/>
      <c r="F198" s="50"/>
      <c r="G198" s="50"/>
      <c r="H198" s="49"/>
      <c r="I198" s="51"/>
      <c r="J198" s="50"/>
      <c r="K198" s="52"/>
      <c r="L198" s="53"/>
      <c r="M198" s="54"/>
      <c r="N198" s="49"/>
      <c r="O198" s="49"/>
    </row>
    <row r="199" spans="2:15" x14ac:dyDescent="0.15">
      <c r="B199" s="55"/>
      <c r="C199" s="56"/>
      <c r="D199" s="56"/>
      <c r="E199" s="56"/>
      <c r="F199" s="57"/>
      <c r="G199" s="57"/>
      <c r="H199" s="56"/>
      <c r="I199" s="58"/>
      <c r="J199" s="57"/>
      <c r="K199" s="59"/>
      <c r="L199" s="60"/>
      <c r="M199" s="61"/>
      <c r="N199" s="56"/>
      <c r="O199" s="56"/>
    </row>
    <row r="200" spans="2:15" x14ac:dyDescent="0.15">
      <c r="B200" s="48"/>
      <c r="C200" s="49"/>
      <c r="D200" s="49"/>
      <c r="E200" s="49"/>
      <c r="F200" s="50"/>
      <c r="G200" s="50"/>
      <c r="H200" s="49"/>
      <c r="I200" s="51"/>
      <c r="J200" s="50"/>
      <c r="K200" s="52"/>
      <c r="L200" s="53"/>
      <c r="M200" s="54"/>
      <c r="N200" s="49"/>
      <c r="O200" s="49"/>
    </row>
    <row r="201" spans="2:15" x14ac:dyDescent="0.15">
      <c r="B201" s="55"/>
      <c r="C201" s="56"/>
      <c r="D201" s="56"/>
      <c r="E201" s="56"/>
      <c r="F201" s="57"/>
      <c r="G201" s="57"/>
      <c r="H201" s="56"/>
      <c r="I201" s="58"/>
      <c r="J201" s="57"/>
      <c r="K201" s="59"/>
      <c r="L201" s="60"/>
      <c r="M201" s="61"/>
      <c r="N201" s="56"/>
      <c r="O201" s="56"/>
    </row>
    <row r="202" spans="2:15" x14ac:dyDescent="0.15">
      <c r="B202" s="48"/>
      <c r="C202" s="49"/>
      <c r="D202" s="49"/>
      <c r="E202" s="49"/>
      <c r="F202" s="50"/>
      <c r="G202" s="50"/>
      <c r="H202" s="49"/>
      <c r="I202" s="51"/>
      <c r="J202" s="50"/>
      <c r="K202" s="52"/>
      <c r="L202" s="53"/>
      <c r="M202" s="54"/>
      <c r="N202" s="49"/>
      <c r="O202" s="49"/>
    </row>
    <row r="203" spans="2:15" x14ac:dyDescent="0.15">
      <c r="B203" s="55"/>
      <c r="C203" s="56"/>
      <c r="D203" s="56"/>
      <c r="E203" s="56"/>
      <c r="F203" s="57"/>
      <c r="G203" s="57"/>
      <c r="H203" s="56"/>
      <c r="I203" s="58"/>
      <c r="J203" s="57"/>
      <c r="K203" s="59"/>
      <c r="L203" s="60"/>
      <c r="M203" s="61"/>
      <c r="N203" s="56"/>
      <c r="O203" s="56"/>
    </row>
    <row r="204" spans="2:15" x14ac:dyDescent="0.15">
      <c r="B204" s="48"/>
      <c r="C204" s="49"/>
      <c r="D204" s="49"/>
      <c r="E204" s="49"/>
      <c r="F204" s="50"/>
      <c r="G204" s="50"/>
      <c r="H204" s="49"/>
      <c r="I204" s="51"/>
      <c r="J204" s="50"/>
      <c r="K204" s="52"/>
      <c r="L204" s="53"/>
      <c r="M204" s="54"/>
      <c r="N204" s="49"/>
      <c r="O204" s="49"/>
    </row>
    <row r="205" spans="2:15" x14ac:dyDescent="0.15">
      <c r="B205" s="55"/>
      <c r="C205" s="56"/>
      <c r="D205" s="56"/>
      <c r="E205" s="56"/>
      <c r="F205" s="57"/>
      <c r="G205" s="57"/>
      <c r="H205" s="56"/>
      <c r="I205" s="58"/>
      <c r="J205" s="57"/>
      <c r="K205" s="59"/>
      <c r="L205" s="60"/>
      <c r="M205" s="61"/>
      <c r="N205" s="56"/>
      <c r="O205" s="56"/>
    </row>
    <row r="206" spans="2:15" x14ac:dyDescent="0.15">
      <c r="B206" s="48"/>
      <c r="C206" s="49"/>
      <c r="D206" s="49"/>
      <c r="E206" s="49"/>
      <c r="F206" s="50"/>
      <c r="G206" s="50"/>
      <c r="H206" s="49"/>
      <c r="I206" s="51"/>
      <c r="J206" s="50"/>
      <c r="K206" s="52"/>
      <c r="L206" s="53"/>
      <c r="M206" s="54"/>
      <c r="N206" s="49"/>
      <c r="O206" s="49"/>
    </row>
    <row r="207" spans="2:15" x14ac:dyDescent="0.15">
      <c r="B207" s="55"/>
      <c r="C207" s="56"/>
      <c r="D207" s="56"/>
      <c r="E207" s="56"/>
      <c r="F207" s="57"/>
      <c r="G207" s="57"/>
      <c r="H207" s="56"/>
      <c r="I207" s="58"/>
      <c r="J207" s="57"/>
      <c r="K207" s="59"/>
      <c r="L207" s="60"/>
      <c r="M207" s="61"/>
      <c r="N207" s="56"/>
      <c r="O207" s="56"/>
    </row>
    <row r="208" spans="2:15" x14ac:dyDescent="0.15">
      <c r="B208" s="48"/>
      <c r="C208" s="49"/>
      <c r="D208" s="49"/>
      <c r="E208" s="49"/>
      <c r="F208" s="50"/>
      <c r="G208" s="50"/>
      <c r="H208" s="49"/>
      <c r="I208" s="51"/>
      <c r="J208" s="50"/>
      <c r="K208" s="52"/>
      <c r="L208" s="53"/>
      <c r="M208" s="54"/>
      <c r="N208" s="49"/>
      <c r="O208" s="49"/>
    </row>
    <row r="209" spans="2:15" x14ac:dyDescent="0.15">
      <c r="B209" s="55"/>
      <c r="C209" s="56"/>
      <c r="D209" s="56"/>
      <c r="E209" s="56"/>
      <c r="F209" s="57"/>
      <c r="G209" s="57"/>
      <c r="H209" s="56"/>
      <c r="I209" s="58"/>
      <c r="J209" s="57"/>
      <c r="K209" s="59"/>
      <c r="L209" s="60"/>
      <c r="M209" s="61"/>
      <c r="N209" s="56"/>
      <c r="O209" s="56"/>
    </row>
    <row r="210" spans="2:15" x14ac:dyDescent="0.15">
      <c r="B210" s="48"/>
      <c r="C210" s="49"/>
      <c r="D210" s="49"/>
      <c r="E210" s="49"/>
      <c r="F210" s="50"/>
      <c r="G210" s="50"/>
      <c r="H210" s="49"/>
      <c r="I210" s="51"/>
      <c r="J210" s="50"/>
      <c r="K210" s="52"/>
      <c r="L210" s="53"/>
      <c r="M210" s="54"/>
      <c r="N210" s="49"/>
      <c r="O210" s="49"/>
    </row>
    <row r="211" spans="2:15" x14ac:dyDescent="0.15">
      <c r="B211" s="55"/>
      <c r="C211" s="56"/>
      <c r="D211" s="56"/>
      <c r="E211" s="56"/>
      <c r="F211" s="57"/>
      <c r="G211" s="57"/>
      <c r="H211" s="56"/>
      <c r="I211" s="58"/>
      <c r="J211" s="57"/>
      <c r="K211" s="59"/>
      <c r="L211" s="60"/>
      <c r="M211" s="61"/>
      <c r="N211" s="56"/>
      <c r="O211" s="56"/>
    </row>
    <row r="212" spans="2:15" x14ac:dyDescent="0.15">
      <c r="B212" s="48"/>
      <c r="C212" s="49"/>
      <c r="D212" s="49"/>
      <c r="E212" s="49"/>
      <c r="F212" s="50"/>
      <c r="G212" s="50"/>
      <c r="H212" s="49"/>
      <c r="I212" s="51"/>
      <c r="J212" s="50"/>
      <c r="K212" s="52"/>
      <c r="L212" s="53"/>
      <c r="M212" s="54"/>
      <c r="N212" s="49"/>
      <c r="O212" s="49"/>
    </row>
    <row r="213" spans="2:15" x14ac:dyDescent="0.15">
      <c r="B213" s="55"/>
      <c r="C213" s="56"/>
      <c r="D213" s="56"/>
      <c r="E213" s="56"/>
      <c r="F213" s="57"/>
      <c r="G213" s="57"/>
      <c r="H213" s="56"/>
      <c r="I213" s="58"/>
      <c r="J213" s="57"/>
      <c r="K213" s="59"/>
      <c r="L213" s="60"/>
      <c r="M213" s="61"/>
      <c r="N213" s="56"/>
      <c r="O213" s="56"/>
    </row>
    <row r="214" spans="2:15" x14ac:dyDescent="0.15">
      <c r="B214" s="48"/>
      <c r="C214" s="49"/>
      <c r="D214" s="49"/>
      <c r="E214" s="49"/>
      <c r="F214" s="50"/>
      <c r="G214" s="50"/>
      <c r="H214" s="49"/>
      <c r="I214" s="51"/>
      <c r="J214" s="50"/>
      <c r="K214" s="52"/>
      <c r="L214" s="53"/>
      <c r="M214" s="54"/>
      <c r="N214" s="49"/>
      <c r="O214" s="49"/>
    </row>
    <row r="215" spans="2:15" x14ac:dyDescent="0.15">
      <c r="B215" s="55"/>
      <c r="C215" s="56"/>
      <c r="D215" s="56"/>
      <c r="E215" s="56"/>
      <c r="F215" s="57"/>
      <c r="G215" s="57"/>
      <c r="H215" s="56"/>
      <c r="I215" s="58"/>
      <c r="J215" s="57"/>
      <c r="K215" s="59"/>
      <c r="L215" s="60"/>
      <c r="M215" s="61"/>
      <c r="N215" s="56"/>
      <c r="O215" s="56"/>
    </row>
    <row r="216" spans="2:15" x14ac:dyDescent="0.15">
      <c r="B216" s="48"/>
      <c r="C216" s="49"/>
      <c r="D216" s="49"/>
      <c r="E216" s="49"/>
      <c r="F216" s="50"/>
      <c r="G216" s="50"/>
      <c r="H216" s="49"/>
      <c r="I216" s="51"/>
      <c r="J216" s="50"/>
      <c r="K216" s="52"/>
      <c r="L216" s="53"/>
      <c r="M216" s="54"/>
      <c r="N216" s="49"/>
      <c r="O216" s="49"/>
    </row>
    <row r="217" spans="2:15" x14ac:dyDescent="0.15">
      <c r="B217" s="55"/>
      <c r="C217" s="56"/>
      <c r="D217" s="56"/>
      <c r="E217" s="56"/>
      <c r="F217" s="57"/>
      <c r="G217" s="57"/>
      <c r="H217" s="56"/>
      <c r="I217" s="58"/>
      <c r="J217" s="57"/>
      <c r="K217" s="59"/>
      <c r="L217" s="60"/>
      <c r="M217" s="61"/>
      <c r="N217" s="56"/>
      <c r="O217" s="56"/>
    </row>
    <row r="218" spans="2:15" x14ac:dyDescent="0.15">
      <c r="B218" s="48"/>
      <c r="C218" s="49"/>
      <c r="D218" s="49"/>
      <c r="E218" s="49"/>
      <c r="F218" s="50"/>
      <c r="G218" s="50"/>
      <c r="H218" s="49"/>
      <c r="I218" s="51"/>
      <c r="J218" s="50"/>
      <c r="K218" s="52"/>
      <c r="L218" s="53"/>
      <c r="M218" s="54"/>
      <c r="N218" s="49"/>
      <c r="O218" s="49"/>
    </row>
    <row r="219" spans="2:15" x14ac:dyDescent="0.15">
      <c r="B219" s="55"/>
      <c r="C219" s="56"/>
      <c r="D219" s="56"/>
      <c r="E219" s="56"/>
      <c r="F219" s="57"/>
      <c r="G219" s="57"/>
      <c r="H219" s="56"/>
      <c r="I219" s="58"/>
      <c r="J219" s="57"/>
      <c r="K219" s="59"/>
      <c r="L219" s="60"/>
      <c r="M219" s="61"/>
      <c r="N219" s="56"/>
      <c r="O219" s="56"/>
    </row>
    <row r="220" spans="2:15" x14ac:dyDescent="0.15">
      <c r="B220" s="48"/>
      <c r="C220" s="49"/>
      <c r="D220" s="49"/>
      <c r="E220" s="49"/>
      <c r="F220" s="50"/>
      <c r="G220" s="50"/>
      <c r="H220" s="49"/>
      <c r="I220" s="51"/>
      <c r="J220" s="50"/>
      <c r="K220" s="52"/>
      <c r="L220" s="53"/>
      <c r="M220" s="54"/>
      <c r="N220" s="49"/>
      <c r="O220" s="49"/>
    </row>
    <row r="221" spans="2:15" x14ac:dyDescent="0.15">
      <c r="B221" s="55"/>
      <c r="C221" s="56"/>
      <c r="D221" s="56"/>
      <c r="E221" s="56"/>
      <c r="F221" s="57"/>
      <c r="G221" s="57"/>
      <c r="H221" s="56"/>
      <c r="I221" s="58"/>
      <c r="J221" s="57"/>
      <c r="K221" s="59"/>
      <c r="L221" s="60"/>
      <c r="M221" s="61"/>
      <c r="N221" s="56"/>
      <c r="O221" s="56"/>
    </row>
    <row r="222" spans="2:15" x14ac:dyDescent="0.15">
      <c r="B222" s="48"/>
      <c r="C222" s="49"/>
      <c r="D222" s="49"/>
      <c r="E222" s="49"/>
      <c r="F222" s="50"/>
      <c r="G222" s="50"/>
      <c r="H222" s="49"/>
      <c r="I222" s="51"/>
      <c r="J222" s="50"/>
      <c r="K222" s="52"/>
      <c r="L222" s="53"/>
      <c r="M222" s="54"/>
      <c r="N222" s="49"/>
      <c r="O222" s="49"/>
    </row>
    <row r="223" spans="2:15" x14ac:dyDescent="0.15">
      <c r="B223" s="55"/>
      <c r="C223" s="56"/>
      <c r="D223" s="56"/>
      <c r="E223" s="56"/>
      <c r="F223" s="57"/>
      <c r="G223" s="57"/>
      <c r="H223" s="56"/>
      <c r="I223" s="58"/>
      <c r="J223" s="57"/>
      <c r="K223" s="59"/>
      <c r="L223" s="60"/>
      <c r="M223" s="61"/>
      <c r="N223" s="56"/>
      <c r="O223" s="56"/>
    </row>
    <row r="224" spans="2:15" x14ac:dyDescent="0.15">
      <c r="B224" s="48"/>
      <c r="C224" s="49"/>
      <c r="D224" s="49"/>
      <c r="E224" s="49"/>
      <c r="F224" s="50"/>
      <c r="G224" s="50"/>
      <c r="H224" s="49"/>
      <c r="I224" s="51"/>
      <c r="J224" s="50"/>
      <c r="K224" s="52"/>
      <c r="L224" s="53"/>
      <c r="M224" s="54"/>
      <c r="N224" s="49"/>
      <c r="O224" s="49"/>
    </row>
    <row r="225" spans="2:15" x14ac:dyDescent="0.15">
      <c r="B225" s="55"/>
      <c r="C225" s="56"/>
      <c r="D225" s="56"/>
      <c r="E225" s="56"/>
      <c r="F225" s="57"/>
      <c r="G225" s="57"/>
      <c r="H225" s="56"/>
      <c r="I225" s="58"/>
      <c r="J225" s="57"/>
      <c r="K225" s="59"/>
      <c r="L225" s="60"/>
      <c r="M225" s="61"/>
      <c r="N225" s="56"/>
      <c r="O225" s="56"/>
    </row>
    <row r="226" spans="2:15" x14ac:dyDescent="0.15">
      <c r="B226" s="48"/>
      <c r="C226" s="49"/>
      <c r="D226" s="49"/>
      <c r="E226" s="49"/>
      <c r="F226" s="50"/>
      <c r="G226" s="50"/>
      <c r="H226" s="49"/>
      <c r="I226" s="51"/>
      <c r="J226" s="50"/>
      <c r="K226" s="52"/>
      <c r="L226" s="53"/>
      <c r="M226" s="54"/>
      <c r="N226" s="49"/>
      <c r="O226" s="49"/>
    </row>
    <row r="227" spans="2:15" x14ac:dyDescent="0.15">
      <c r="B227" s="55"/>
      <c r="C227" s="56"/>
      <c r="D227" s="56"/>
      <c r="E227" s="56"/>
      <c r="F227" s="57"/>
      <c r="G227" s="57"/>
      <c r="H227" s="56"/>
      <c r="I227" s="58"/>
      <c r="J227" s="57"/>
      <c r="K227" s="59"/>
      <c r="L227" s="60"/>
      <c r="M227" s="61"/>
      <c r="N227" s="56"/>
      <c r="O227" s="56"/>
    </row>
    <row r="228" spans="2:15" x14ac:dyDescent="0.15">
      <c r="B228" s="48"/>
      <c r="C228" s="49"/>
      <c r="D228" s="49"/>
      <c r="E228" s="49"/>
      <c r="F228" s="50"/>
      <c r="G228" s="50"/>
      <c r="H228" s="49"/>
      <c r="I228" s="51"/>
      <c r="J228" s="50"/>
      <c r="K228" s="52"/>
      <c r="L228" s="53"/>
      <c r="M228" s="54"/>
      <c r="N228" s="49"/>
      <c r="O228" s="49"/>
    </row>
    <row r="229" spans="2:15" x14ac:dyDescent="0.15">
      <c r="B229" s="55"/>
      <c r="C229" s="56"/>
      <c r="D229" s="56"/>
      <c r="E229" s="56"/>
      <c r="F229" s="57"/>
      <c r="G229" s="57"/>
      <c r="H229" s="56"/>
      <c r="I229" s="58"/>
      <c r="J229" s="57"/>
      <c r="K229" s="59"/>
      <c r="L229" s="60"/>
      <c r="M229" s="61"/>
      <c r="N229" s="56"/>
      <c r="O229" s="56"/>
    </row>
    <row r="230" spans="2:15" x14ac:dyDescent="0.15">
      <c r="B230" s="48"/>
      <c r="C230" s="49"/>
      <c r="D230" s="49"/>
      <c r="E230" s="49"/>
      <c r="F230" s="50"/>
      <c r="G230" s="50"/>
      <c r="H230" s="49"/>
      <c r="I230" s="51"/>
      <c r="J230" s="50"/>
      <c r="K230" s="52"/>
      <c r="L230" s="53"/>
      <c r="M230" s="54"/>
      <c r="N230" s="49"/>
      <c r="O230" s="49"/>
    </row>
    <row r="231" spans="2:15" x14ac:dyDescent="0.15">
      <c r="B231" s="55"/>
      <c r="C231" s="56"/>
      <c r="D231" s="56"/>
      <c r="E231" s="56"/>
      <c r="F231" s="57"/>
      <c r="G231" s="57"/>
      <c r="H231" s="56"/>
      <c r="I231" s="58"/>
      <c r="J231" s="57"/>
      <c r="K231" s="59"/>
      <c r="L231" s="60"/>
      <c r="M231" s="61"/>
      <c r="N231" s="56"/>
      <c r="O231" s="56"/>
    </row>
    <row r="232" spans="2:15" x14ac:dyDescent="0.15">
      <c r="B232" s="48"/>
      <c r="C232" s="49"/>
      <c r="D232" s="49"/>
      <c r="E232" s="49"/>
      <c r="F232" s="50"/>
      <c r="G232" s="50"/>
      <c r="H232" s="49"/>
      <c r="I232" s="51"/>
      <c r="J232" s="50"/>
      <c r="K232" s="52"/>
      <c r="L232" s="53"/>
      <c r="M232" s="54"/>
      <c r="N232" s="49"/>
      <c r="O232" s="49"/>
    </row>
    <row r="233" spans="2:15" x14ac:dyDescent="0.15">
      <c r="B233" s="55"/>
      <c r="C233" s="56"/>
      <c r="D233" s="56"/>
      <c r="E233" s="56"/>
      <c r="F233" s="57"/>
      <c r="G233" s="57"/>
      <c r="H233" s="56"/>
      <c r="I233" s="58"/>
      <c r="J233" s="57"/>
      <c r="K233" s="59"/>
      <c r="L233" s="60"/>
      <c r="M233" s="61"/>
      <c r="N233" s="56"/>
      <c r="O233" s="56"/>
    </row>
    <row r="234" spans="2:15" x14ac:dyDescent="0.15">
      <c r="B234" s="48"/>
      <c r="C234" s="49"/>
      <c r="D234" s="49"/>
      <c r="E234" s="49"/>
      <c r="F234" s="50"/>
      <c r="G234" s="50"/>
      <c r="H234" s="49"/>
      <c r="I234" s="51"/>
      <c r="J234" s="50"/>
      <c r="K234" s="52"/>
      <c r="L234" s="53"/>
      <c r="M234" s="54"/>
      <c r="N234" s="49"/>
      <c r="O234" s="49"/>
    </row>
    <row r="235" spans="2:15" x14ac:dyDescent="0.15">
      <c r="B235" s="55"/>
      <c r="C235" s="56"/>
      <c r="D235" s="56"/>
      <c r="E235" s="56"/>
      <c r="F235" s="57"/>
      <c r="G235" s="57"/>
      <c r="H235" s="56"/>
      <c r="I235" s="58"/>
      <c r="J235" s="57"/>
      <c r="K235" s="59"/>
      <c r="L235" s="60"/>
      <c r="M235" s="61"/>
      <c r="N235" s="56"/>
      <c r="O235" s="56"/>
    </row>
    <row r="236" spans="2:15" x14ac:dyDescent="0.15">
      <c r="B236" s="48"/>
      <c r="C236" s="49"/>
      <c r="D236" s="49"/>
      <c r="E236" s="49"/>
      <c r="F236" s="50"/>
      <c r="G236" s="50"/>
      <c r="H236" s="49"/>
      <c r="I236" s="51"/>
      <c r="J236" s="50"/>
      <c r="K236" s="52"/>
      <c r="L236" s="53"/>
      <c r="M236" s="54"/>
      <c r="N236" s="49"/>
      <c r="O236" s="49"/>
    </row>
    <row r="237" spans="2:15" x14ac:dyDescent="0.15">
      <c r="B237" s="55"/>
      <c r="C237" s="56"/>
      <c r="D237" s="56"/>
      <c r="E237" s="56"/>
      <c r="F237" s="57"/>
      <c r="G237" s="57"/>
      <c r="H237" s="56"/>
      <c r="I237" s="58"/>
      <c r="J237" s="57"/>
      <c r="K237" s="59"/>
      <c r="L237" s="60"/>
      <c r="M237" s="61"/>
      <c r="N237" s="56"/>
      <c r="O237" s="56"/>
    </row>
    <row r="238" spans="2:15" x14ac:dyDescent="0.15">
      <c r="B238" s="48"/>
      <c r="C238" s="49"/>
      <c r="D238" s="49"/>
      <c r="E238" s="49"/>
      <c r="F238" s="50"/>
      <c r="G238" s="50"/>
      <c r="H238" s="49"/>
      <c r="I238" s="51"/>
      <c r="J238" s="50"/>
      <c r="K238" s="52"/>
      <c r="L238" s="53"/>
      <c r="M238" s="54"/>
      <c r="N238" s="49"/>
      <c r="O238" s="49"/>
    </row>
    <row r="239" spans="2:15" x14ac:dyDescent="0.15">
      <c r="B239" s="55"/>
      <c r="C239" s="56"/>
      <c r="D239" s="56"/>
      <c r="E239" s="56"/>
      <c r="F239" s="57"/>
      <c r="G239" s="57"/>
      <c r="H239" s="56"/>
      <c r="I239" s="58"/>
      <c r="J239" s="57"/>
      <c r="K239" s="59"/>
      <c r="L239" s="60"/>
      <c r="M239" s="61"/>
      <c r="N239" s="56"/>
      <c r="O239" s="56"/>
    </row>
    <row r="240" spans="2:15" x14ac:dyDescent="0.15">
      <c r="B240" s="48"/>
      <c r="C240" s="49"/>
      <c r="D240" s="49"/>
      <c r="E240" s="49"/>
      <c r="F240" s="50"/>
      <c r="G240" s="50"/>
      <c r="H240" s="49"/>
      <c r="I240" s="51"/>
      <c r="J240" s="50"/>
      <c r="K240" s="52"/>
      <c r="L240" s="53"/>
      <c r="M240" s="54"/>
      <c r="N240" s="49"/>
      <c r="O240" s="49"/>
    </row>
    <row r="241" spans="2:15" x14ac:dyDescent="0.15">
      <c r="B241" s="55"/>
      <c r="C241" s="56"/>
      <c r="D241" s="56"/>
      <c r="E241" s="56"/>
      <c r="F241" s="57"/>
      <c r="G241" s="57"/>
      <c r="H241" s="56"/>
      <c r="I241" s="58"/>
      <c r="J241" s="57"/>
      <c r="K241" s="59"/>
      <c r="L241" s="60"/>
      <c r="M241" s="61"/>
      <c r="N241" s="56"/>
      <c r="O241" s="56"/>
    </row>
    <row r="242" spans="2:15" x14ac:dyDescent="0.15">
      <c r="B242" s="48"/>
      <c r="C242" s="49"/>
      <c r="D242" s="49"/>
      <c r="E242" s="49"/>
      <c r="F242" s="50"/>
      <c r="G242" s="50"/>
      <c r="H242" s="49"/>
      <c r="I242" s="51"/>
      <c r="J242" s="50"/>
      <c r="K242" s="52"/>
      <c r="L242" s="53"/>
      <c r="M242" s="54"/>
      <c r="N242" s="49"/>
      <c r="O242" s="49"/>
    </row>
    <row r="243" spans="2:15" x14ac:dyDescent="0.15">
      <c r="B243" s="55"/>
      <c r="C243" s="56"/>
      <c r="D243" s="56"/>
      <c r="E243" s="56"/>
      <c r="F243" s="57"/>
      <c r="G243" s="57"/>
      <c r="H243" s="56"/>
      <c r="I243" s="58"/>
      <c r="J243" s="57"/>
      <c r="K243" s="59"/>
      <c r="L243" s="60"/>
      <c r="M243" s="61"/>
      <c r="N243" s="56"/>
      <c r="O243" s="56"/>
    </row>
    <row r="244" spans="2:15" x14ac:dyDescent="0.15">
      <c r="B244" s="48"/>
      <c r="C244" s="49"/>
      <c r="D244" s="49"/>
      <c r="E244" s="49"/>
      <c r="F244" s="50"/>
      <c r="G244" s="50"/>
      <c r="H244" s="49"/>
      <c r="I244" s="51"/>
      <c r="J244" s="50"/>
      <c r="K244" s="52"/>
      <c r="L244" s="53"/>
      <c r="M244" s="54"/>
      <c r="N244" s="49"/>
      <c r="O244" s="49"/>
    </row>
    <row r="245" spans="2:15" x14ac:dyDescent="0.15">
      <c r="B245" s="55"/>
      <c r="C245" s="56"/>
      <c r="D245" s="56"/>
      <c r="E245" s="56"/>
      <c r="F245" s="57"/>
      <c r="G245" s="57"/>
      <c r="H245" s="56"/>
      <c r="I245" s="58"/>
      <c r="J245" s="57"/>
      <c r="K245" s="59"/>
      <c r="L245" s="60"/>
      <c r="M245" s="61"/>
      <c r="N245" s="56"/>
      <c r="O245" s="56"/>
    </row>
    <row r="246" spans="2:15" x14ac:dyDescent="0.15">
      <c r="B246" s="48"/>
      <c r="C246" s="49"/>
      <c r="D246" s="49"/>
      <c r="E246" s="49"/>
      <c r="F246" s="50"/>
      <c r="G246" s="50"/>
      <c r="H246" s="49"/>
      <c r="I246" s="51"/>
      <c r="J246" s="50"/>
      <c r="K246" s="52"/>
      <c r="L246" s="53"/>
      <c r="M246" s="54"/>
      <c r="N246" s="49"/>
      <c r="O246" s="49"/>
    </row>
    <row r="247" spans="2:15" x14ac:dyDescent="0.15">
      <c r="B247" s="55"/>
      <c r="C247" s="56"/>
      <c r="D247" s="56"/>
      <c r="E247" s="56"/>
      <c r="F247" s="57"/>
      <c r="G247" s="57"/>
      <c r="H247" s="56"/>
      <c r="I247" s="58"/>
      <c r="J247" s="57"/>
      <c r="K247" s="59"/>
      <c r="L247" s="60"/>
      <c r="M247" s="61"/>
      <c r="N247" s="56"/>
      <c r="O247" s="56"/>
    </row>
    <row r="248" spans="2:15" x14ac:dyDescent="0.15">
      <c r="B248" s="48"/>
      <c r="C248" s="49"/>
      <c r="D248" s="49"/>
      <c r="E248" s="49"/>
      <c r="F248" s="50"/>
      <c r="G248" s="50"/>
      <c r="H248" s="49"/>
      <c r="I248" s="51"/>
      <c r="J248" s="50"/>
      <c r="K248" s="52"/>
      <c r="L248" s="53"/>
      <c r="M248" s="54"/>
      <c r="N248" s="49"/>
      <c r="O248" s="49"/>
    </row>
    <row r="249" spans="2:15" x14ac:dyDescent="0.15">
      <c r="B249" s="55"/>
      <c r="C249" s="56"/>
      <c r="D249" s="56"/>
      <c r="E249" s="56"/>
      <c r="F249" s="57"/>
      <c r="G249" s="57"/>
      <c r="H249" s="56"/>
      <c r="I249" s="58"/>
      <c r="J249" s="57"/>
      <c r="K249" s="59"/>
      <c r="L249" s="60"/>
      <c r="M249" s="61"/>
      <c r="N249" s="56"/>
      <c r="O249" s="56"/>
    </row>
    <row r="250" spans="2:15" x14ac:dyDescent="0.15">
      <c r="B250" s="48"/>
      <c r="C250" s="49"/>
      <c r="D250" s="49"/>
      <c r="E250" s="49"/>
      <c r="F250" s="50"/>
      <c r="G250" s="50"/>
      <c r="H250" s="49"/>
      <c r="I250" s="51"/>
      <c r="J250" s="50"/>
      <c r="K250" s="52"/>
      <c r="L250" s="53"/>
      <c r="M250" s="54"/>
      <c r="N250" s="49"/>
      <c r="O250" s="49"/>
    </row>
    <row r="251" spans="2:15" x14ac:dyDescent="0.15">
      <c r="B251" s="55"/>
      <c r="C251" s="56"/>
      <c r="D251" s="56"/>
      <c r="E251" s="56"/>
      <c r="F251" s="57"/>
      <c r="G251" s="57"/>
      <c r="H251" s="56"/>
      <c r="I251" s="58"/>
      <c r="J251" s="57"/>
      <c r="K251" s="59"/>
      <c r="L251" s="60"/>
      <c r="M251" s="61"/>
      <c r="N251" s="56"/>
      <c r="O251" s="56"/>
    </row>
    <row r="252" spans="2:15" x14ac:dyDescent="0.15">
      <c r="B252" s="48"/>
      <c r="C252" s="49"/>
      <c r="D252" s="49"/>
      <c r="E252" s="49"/>
      <c r="F252" s="50"/>
      <c r="G252" s="50"/>
      <c r="H252" s="49"/>
      <c r="I252" s="51"/>
      <c r="J252" s="50"/>
      <c r="K252" s="52"/>
      <c r="L252" s="53"/>
      <c r="M252" s="54"/>
      <c r="N252" s="49"/>
      <c r="O252" s="49"/>
    </row>
    <row r="253" spans="2:15" x14ac:dyDescent="0.15">
      <c r="B253" s="55"/>
      <c r="C253" s="56"/>
      <c r="D253" s="56"/>
      <c r="E253" s="56"/>
      <c r="F253" s="57"/>
      <c r="G253" s="57"/>
      <c r="H253" s="56"/>
      <c r="I253" s="58"/>
      <c r="J253" s="57"/>
      <c r="K253" s="59"/>
      <c r="L253" s="60"/>
      <c r="M253" s="61"/>
      <c r="N253" s="56"/>
      <c r="O253" s="56"/>
    </row>
    <row r="254" spans="2:15" x14ac:dyDescent="0.15">
      <c r="B254" s="48"/>
      <c r="C254" s="49"/>
      <c r="D254" s="49"/>
      <c r="E254" s="49"/>
      <c r="F254" s="50"/>
      <c r="G254" s="50"/>
      <c r="H254" s="49"/>
      <c r="I254" s="51"/>
      <c r="J254" s="50"/>
      <c r="K254" s="52"/>
      <c r="L254" s="53"/>
      <c r="M254" s="54"/>
      <c r="N254" s="49"/>
      <c r="O254" s="49"/>
    </row>
    <row r="255" spans="2:15" x14ac:dyDescent="0.15">
      <c r="B255" s="55"/>
      <c r="C255" s="56"/>
      <c r="D255" s="56"/>
      <c r="E255" s="56"/>
      <c r="F255" s="57"/>
      <c r="G255" s="57"/>
      <c r="H255" s="56"/>
      <c r="I255" s="58"/>
      <c r="J255" s="57"/>
      <c r="K255" s="59"/>
      <c r="L255" s="60"/>
      <c r="M255" s="61"/>
      <c r="N255" s="56"/>
      <c r="O255" s="56"/>
    </row>
    <row r="256" spans="2:15" x14ac:dyDescent="0.15">
      <c r="B256" s="48"/>
      <c r="C256" s="49"/>
      <c r="D256" s="49"/>
      <c r="E256" s="49"/>
      <c r="F256" s="50"/>
      <c r="G256" s="50"/>
      <c r="H256" s="49"/>
      <c r="I256" s="51"/>
      <c r="J256" s="50"/>
      <c r="K256" s="52"/>
      <c r="L256" s="53"/>
      <c r="M256" s="54"/>
      <c r="N256" s="49"/>
      <c r="O256" s="49"/>
    </row>
    <row r="257" spans="2:15" x14ac:dyDescent="0.15">
      <c r="B257" s="55"/>
      <c r="C257" s="56"/>
      <c r="D257" s="56"/>
      <c r="E257" s="56"/>
      <c r="F257" s="57"/>
      <c r="G257" s="57"/>
      <c r="H257" s="56"/>
      <c r="I257" s="58"/>
      <c r="J257" s="57"/>
      <c r="K257" s="59"/>
      <c r="L257" s="60"/>
      <c r="M257" s="61"/>
      <c r="N257" s="56"/>
      <c r="O257" s="56"/>
    </row>
    <row r="258" spans="2:15" x14ac:dyDescent="0.15">
      <c r="B258" s="48"/>
      <c r="C258" s="49"/>
      <c r="D258" s="49"/>
      <c r="E258" s="49"/>
      <c r="F258" s="50"/>
      <c r="G258" s="50"/>
      <c r="H258" s="49"/>
      <c r="I258" s="51"/>
      <c r="J258" s="50"/>
      <c r="K258" s="52"/>
      <c r="L258" s="53"/>
      <c r="M258" s="54"/>
      <c r="N258" s="49"/>
      <c r="O258" s="49"/>
    </row>
    <row r="259" spans="2:15" x14ac:dyDescent="0.15">
      <c r="B259" s="55"/>
      <c r="C259" s="56"/>
      <c r="D259" s="56"/>
      <c r="E259" s="56"/>
      <c r="F259" s="57"/>
      <c r="G259" s="57"/>
      <c r="H259" s="56"/>
      <c r="I259" s="58"/>
      <c r="J259" s="57"/>
      <c r="K259" s="59"/>
      <c r="L259" s="60"/>
      <c r="M259" s="61"/>
      <c r="N259" s="56"/>
      <c r="O259" s="56"/>
    </row>
    <row r="260" spans="2:15" x14ac:dyDescent="0.15">
      <c r="B260" s="48"/>
      <c r="C260" s="49"/>
      <c r="D260" s="49"/>
      <c r="E260" s="49"/>
      <c r="F260" s="50"/>
      <c r="G260" s="50"/>
      <c r="H260" s="49"/>
      <c r="I260" s="51"/>
      <c r="J260" s="50"/>
      <c r="K260" s="52"/>
      <c r="L260" s="53"/>
      <c r="M260" s="54"/>
      <c r="N260" s="49"/>
      <c r="O260" s="49"/>
    </row>
    <row r="261" spans="2:15" x14ac:dyDescent="0.15">
      <c r="B261" s="55"/>
      <c r="C261" s="56"/>
      <c r="D261" s="56"/>
      <c r="E261" s="56"/>
      <c r="F261" s="57"/>
      <c r="G261" s="57"/>
      <c r="H261" s="56"/>
      <c r="I261" s="58"/>
      <c r="J261" s="57"/>
      <c r="K261" s="59"/>
      <c r="L261" s="60"/>
      <c r="M261" s="61"/>
      <c r="N261" s="56"/>
      <c r="O261" s="56"/>
    </row>
    <row r="262" spans="2:15" x14ac:dyDescent="0.15">
      <c r="B262" s="48"/>
      <c r="C262" s="49"/>
      <c r="D262" s="49"/>
      <c r="E262" s="49"/>
      <c r="F262" s="50"/>
      <c r="G262" s="50"/>
      <c r="H262" s="49"/>
      <c r="I262" s="51"/>
      <c r="J262" s="50"/>
      <c r="K262" s="52"/>
      <c r="L262" s="53"/>
      <c r="M262" s="54"/>
      <c r="N262" s="49"/>
      <c r="O262" s="49"/>
    </row>
    <row r="263" spans="2:15" x14ac:dyDescent="0.15">
      <c r="B263" s="55"/>
      <c r="C263" s="56"/>
      <c r="D263" s="56"/>
      <c r="E263" s="56"/>
      <c r="F263" s="57"/>
      <c r="G263" s="57"/>
      <c r="H263" s="56"/>
      <c r="I263" s="58"/>
      <c r="J263" s="57"/>
      <c r="K263" s="59"/>
      <c r="L263" s="60"/>
      <c r="M263" s="61"/>
      <c r="N263" s="56"/>
      <c r="O263" s="56"/>
    </row>
    <row r="264" spans="2:15" x14ac:dyDescent="0.15">
      <c r="B264" s="48"/>
      <c r="C264" s="49"/>
      <c r="D264" s="49"/>
      <c r="E264" s="49"/>
      <c r="F264" s="50"/>
      <c r="G264" s="50"/>
      <c r="H264" s="49"/>
      <c r="I264" s="51"/>
      <c r="J264" s="50"/>
      <c r="K264" s="52"/>
      <c r="L264" s="53"/>
      <c r="M264" s="54"/>
      <c r="N264" s="49"/>
      <c r="O264" s="49"/>
    </row>
    <row r="265" spans="2:15" x14ac:dyDescent="0.15">
      <c r="B265" s="55"/>
      <c r="C265" s="56"/>
      <c r="D265" s="56"/>
      <c r="E265" s="56"/>
      <c r="F265" s="57"/>
      <c r="G265" s="57"/>
      <c r="H265" s="56"/>
      <c r="I265" s="58"/>
      <c r="J265" s="57"/>
      <c r="K265" s="59"/>
      <c r="L265" s="60"/>
      <c r="M265" s="61"/>
      <c r="N265" s="56"/>
      <c r="O265" s="56"/>
    </row>
    <row r="266" spans="2:15" x14ac:dyDescent="0.15">
      <c r="B266" s="48"/>
      <c r="C266" s="49"/>
      <c r="D266" s="49"/>
      <c r="E266" s="49"/>
      <c r="F266" s="50"/>
      <c r="G266" s="50"/>
      <c r="H266" s="49"/>
      <c r="I266" s="51"/>
      <c r="J266" s="50"/>
      <c r="K266" s="52"/>
      <c r="L266" s="53"/>
      <c r="M266" s="54"/>
      <c r="N266" s="49"/>
      <c r="O266" s="49"/>
    </row>
    <row r="267" spans="2:15" x14ac:dyDescent="0.15">
      <c r="B267" s="55"/>
      <c r="C267" s="56"/>
      <c r="D267" s="56"/>
      <c r="E267" s="56"/>
      <c r="F267" s="57"/>
      <c r="G267" s="57"/>
      <c r="H267" s="56"/>
      <c r="I267" s="63"/>
      <c r="J267" s="57"/>
      <c r="K267" s="59"/>
      <c r="L267" s="60"/>
      <c r="M267" s="61"/>
      <c r="N267" s="56"/>
      <c r="O267" s="56"/>
    </row>
    <row r="268" spans="2:15" x14ac:dyDescent="0.15">
      <c r="B268" s="48"/>
      <c r="C268" s="49"/>
      <c r="D268" s="49"/>
      <c r="E268" s="49"/>
      <c r="F268" s="50"/>
      <c r="G268" s="50"/>
      <c r="H268" s="49"/>
      <c r="I268" s="64"/>
      <c r="J268" s="50"/>
      <c r="K268" s="52"/>
      <c r="L268" s="53"/>
      <c r="M268" s="54"/>
      <c r="N268" s="49"/>
      <c r="O268" s="49"/>
    </row>
    <row r="269" spans="2:15" x14ac:dyDescent="0.15">
      <c r="B269" s="55"/>
      <c r="C269" s="56"/>
      <c r="D269" s="56"/>
      <c r="E269" s="56"/>
      <c r="F269" s="57"/>
      <c r="G269" s="57"/>
      <c r="H269" s="56"/>
      <c r="I269" s="63"/>
      <c r="J269" s="57"/>
      <c r="K269" s="59"/>
      <c r="L269" s="60"/>
      <c r="M269" s="61"/>
      <c r="N269" s="56"/>
      <c r="O269" s="56"/>
    </row>
    <row r="270" spans="2:15" x14ac:dyDescent="0.15">
      <c r="B270" s="48"/>
      <c r="C270" s="49"/>
      <c r="D270" s="49"/>
      <c r="E270" s="49"/>
      <c r="F270" s="50"/>
      <c r="G270" s="50"/>
      <c r="H270" s="49"/>
      <c r="I270" s="64"/>
      <c r="J270" s="50"/>
      <c r="K270" s="52"/>
      <c r="L270" s="53"/>
      <c r="M270" s="54"/>
      <c r="N270" s="49"/>
      <c r="O270" s="49"/>
    </row>
    <row r="271" spans="2:15" x14ac:dyDescent="0.15">
      <c r="B271" s="55"/>
      <c r="C271" s="56"/>
      <c r="D271" s="56"/>
      <c r="E271" s="56"/>
      <c r="F271" s="57"/>
      <c r="G271" s="57"/>
      <c r="H271" s="56"/>
      <c r="I271" s="63"/>
      <c r="J271" s="57"/>
      <c r="K271" s="59"/>
      <c r="L271" s="60"/>
      <c r="M271" s="61"/>
      <c r="N271" s="56"/>
      <c r="O271" s="56"/>
    </row>
    <row r="272" spans="2:15" x14ac:dyDescent="0.15">
      <c r="B272" s="48"/>
      <c r="C272" s="49"/>
      <c r="D272" s="49"/>
      <c r="E272" s="49"/>
      <c r="F272" s="50"/>
      <c r="G272" s="50"/>
      <c r="H272" s="49"/>
      <c r="I272" s="64"/>
      <c r="J272" s="50"/>
      <c r="K272" s="52"/>
      <c r="L272" s="53"/>
      <c r="M272" s="54"/>
      <c r="N272" s="49"/>
      <c r="O272" s="49"/>
    </row>
    <row r="273" spans="2:15" x14ac:dyDescent="0.15">
      <c r="B273" s="55"/>
      <c r="C273" s="56"/>
      <c r="D273" s="56"/>
      <c r="E273" s="56"/>
      <c r="F273" s="57"/>
      <c r="G273" s="57"/>
      <c r="H273" s="56"/>
      <c r="I273" s="63"/>
      <c r="J273" s="57"/>
      <c r="K273" s="59"/>
      <c r="L273" s="60"/>
      <c r="M273" s="61"/>
      <c r="N273" s="56"/>
      <c r="O273" s="56"/>
    </row>
    <row r="274" spans="2:15" x14ac:dyDescent="0.15">
      <c r="B274" s="48"/>
      <c r="C274" s="49"/>
      <c r="D274" s="49"/>
      <c r="E274" s="49"/>
      <c r="F274" s="50"/>
      <c r="G274" s="50"/>
      <c r="H274" s="49"/>
      <c r="I274" s="64"/>
      <c r="J274" s="50"/>
      <c r="K274" s="52"/>
      <c r="L274" s="53"/>
      <c r="M274" s="54"/>
      <c r="N274" s="49"/>
      <c r="O274" s="49"/>
    </row>
    <row r="275" spans="2:15" x14ac:dyDescent="0.15">
      <c r="B275" s="55"/>
      <c r="C275" s="56"/>
      <c r="D275" s="56"/>
      <c r="E275" s="56"/>
      <c r="F275" s="57"/>
      <c r="G275" s="57"/>
      <c r="H275" s="56"/>
      <c r="I275" s="63"/>
      <c r="J275" s="57"/>
      <c r="K275" s="59"/>
      <c r="L275" s="60"/>
      <c r="M275" s="61"/>
      <c r="N275" s="56"/>
      <c r="O275" s="56"/>
    </row>
    <row r="276" spans="2:15" x14ac:dyDescent="0.15">
      <c r="B276" s="48"/>
      <c r="C276" s="49"/>
      <c r="D276" s="49"/>
      <c r="E276" s="49"/>
      <c r="F276" s="50"/>
      <c r="G276" s="50"/>
      <c r="H276" s="49"/>
      <c r="I276" s="64"/>
      <c r="J276" s="50"/>
      <c r="K276" s="52"/>
      <c r="L276" s="53"/>
      <c r="M276" s="54"/>
      <c r="N276" s="49"/>
      <c r="O276" s="49"/>
    </row>
    <row r="277" spans="2:15" x14ac:dyDescent="0.15">
      <c r="B277" s="55"/>
      <c r="C277" s="56"/>
      <c r="D277" s="56"/>
      <c r="E277" s="56"/>
      <c r="F277" s="57"/>
      <c r="G277" s="57"/>
      <c r="H277" s="56"/>
      <c r="I277" s="63"/>
      <c r="J277" s="57"/>
      <c r="K277" s="59"/>
      <c r="L277" s="60"/>
      <c r="M277" s="61"/>
      <c r="N277" s="56"/>
      <c r="O277" s="56"/>
    </row>
    <row r="278" spans="2:15" x14ac:dyDescent="0.15">
      <c r="B278" s="48"/>
      <c r="C278" s="49"/>
      <c r="D278" s="49"/>
      <c r="E278" s="49"/>
      <c r="F278" s="50"/>
      <c r="G278" s="50"/>
      <c r="H278" s="49"/>
      <c r="I278" s="64"/>
      <c r="J278" s="50"/>
      <c r="K278" s="52"/>
      <c r="L278" s="53"/>
      <c r="M278" s="54"/>
      <c r="N278" s="49"/>
      <c r="O278" s="49"/>
    </row>
    <row r="279" spans="2:15" x14ac:dyDescent="0.15">
      <c r="B279" s="55"/>
      <c r="C279" s="56"/>
      <c r="D279" s="56"/>
      <c r="E279" s="56"/>
      <c r="F279" s="57"/>
      <c r="G279" s="57"/>
      <c r="H279" s="56"/>
      <c r="I279" s="63"/>
      <c r="J279" s="57"/>
      <c r="K279" s="59"/>
      <c r="L279" s="60"/>
      <c r="M279" s="61"/>
      <c r="N279" s="56"/>
      <c r="O279" s="56"/>
    </row>
    <row r="280" spans="2:15" x14ac:dyDescent="0.15">
      <c r="B280" s="48"/>
      <c r="C280" s="49"/>
      <c r="D280" s="49"/>
      <c r="E280" s="49"/>
      <c r="F280" s="50"/>
      <c r="G280" s="50"/>
      <c r="H280" s="49"/>
      <c r="I280" s="64"/>
      <c r="J280" s="50"/>
      <c r="K280" s="52"/>
      <c r="L280" s="53"/>
      <c r="M280" s="54"/>
      <c r="N280" s="49"/>
      <c r="O280" s="49"/>
    </row>
    <row r="281" spans="2:15" x14ac:dyDescent="0.15">
      <c r="B281" s="55"/>
      <c r="C281" s="56"/>
      <c r="D281" s="56"/>
      <c r="E281" s="56"/>
      <c r="F281" s="57"/>
      <c r="G281" s="57"/>
      <c r="H281" s="56"/>
      <c r="I281" s="63"/>
      <c r="J281" s="57"/>
      <c r="K281" s="59"/>
      <c r="L281" s="60"/>
      <c r="M281" s="61"/>
      <c r="N281" s="56"/>
      <c r="O281" s="56"/>
    </row>
    <row r="282" spans="2:15" x14ac:dyDescent="0.15">
      <c r="B282" s="48"/>
      <c r="C282" s="49"/>
      <c r="D282" s="49"/>
      <c r="E282" s="49"/>
      <c r="F282" s="50"/>
      <c r="G282" s="50"/>
      <c r="H282" s="49"/>
      <c r="I282" s="64"/>
      <c r="J282" s="50"/>
      <c r="K282" s="52"/>
      <c r="L282" s="53"/>
      <c r="M282" s="54"/>
      <c r="N282" s="49"/>
      <c r="O282" s="49"/>
    </row>
    <row r="283" spans="2:15" x14ac:dyDescent="0.15">
      <c r="B283" s="55"/>
      <c r="C283" s="56"/>
      <c r="D283" s="56"/>
      <c r="E283" s="56"/>
      <c r="F283" s="57"/>
      <c r="G283" s="57"/>
      <c r="H283" s="56"/>
      <c r="I283" s="63"/>
      <c r="J283" s="57"/>
      <c r="K283" s="59"/>
      <c r="L283" s="60"/>
      <c r="M283" s="61"/>
      <c r="N283" s="56"/>
      <c r="O283" s="56"/>
    </row>
    <row r="284" spans="2:15" x14ac:dyDescent="0.15">
      <c r="B284" s="48"/>
      <c r="C284" s="49"/>
      <c r="D284" s="49"/>
      <c r="E284" s="49"/>
      <c r="F284" s="50"/>
      <c r="G284" s="50"/>
      <c r="H284" s="49"/>
      <c r="I284" s="64"/>
      <c r="J284" s="50"/>
      <c r="K284" s="52"/>
      <c r="L284" s="53"/>
      <c r="M284" s="54"/>
      <c r="N284" s="49"/>
      <c r="O284" s="49"/>
    </row>
    <row r="285" spans="2:15" x14ac:dyDescent="0.15">
      <c r="B285" s="55"/>
      <c r="C285" s="56"/>
      <c r="D285" s="56"/>
      <c r="E285" s="56"/>
      <c r="F285" s="57"/>
      <c r="G285" s="57"/>
      <c r="H285" s="56"/>
      <c r="I285" s="63"/>
      <c r="J285" s="57"/>
      <c r="K285" s="59"/>
      <c r="L285" s="60"/>
      <c r="M285" s="61"/>
      <c r="N285" s="56"/>
      <c r="O285" s="56"/>
    </row>
    <row r="286" spans="2:15" x14ac:dyDescent="0.15">
      <c r="B286" s="48"/>
      <c r="C286" s="49"/>
      <c r="D286" s="49"/>
      <c r="E286" s="49"/>
      <c r="F286" s="50"/>
      <c r="G286" s="50"/>
      <c r="H286" s="49"/>
      <c r="I286" s="64"/>
      <c r="J286" s="50"/>
      <c r="K286" s="52"/>
      <c r="L286" s="53"/>
      <c r="M286" s="54"/>
      <c r="N286" s="49"/>
      <c r="O286" s="49"/>
    </row>
    <row r="287" spans="2:15" x14ac:dyDescent="0.15">
      <c r="B287" s="55"/>
      <c r="C287" s="56"/>
      <c r="D287" s="56"/>
      <c r="E287" s="56"/>
      <c r="F287" s="57"/>
      <c r="G287" s="57"/>
      <c r="H287" s="56"/>
      <c r="I287" s="63"/>
      <c r="J287" s="57"/>
      <c r="K287" s="59"/>
      <c r="L287" s="60"/>
      <c r="M287" s="61"/>
      <c r="N287" s="56"/>
      <c r="O287" s="56"/>
    </row>
    <row r="288" spans="2:15" x14ac:dyDescent="0.15">
      <c r="B288" s="48"/>
      <c r="C288" s="49"/>
      <c r="D288" s="49"/>
      <c r="E288" s="49"/>
      <c r="F288" s="50"/>
      <c r="G288" s="50"/>
      <c r="H288" s="49"/>
      <c r="I288" s="64"/>
      <c r="J288" s="50"/>
      <c r="K288" s="52"/>
      <c r="L288" s="53"/>
      <c r="M288" s="54"/>
      <c r="N288" s="49"/>
      <c r="O288" s="49"/>
    </row>
    <row r="289" spans="2:15" x14ac:dyDescent="0.15">
      <c r="B289" s="55"/>
      <c r="C289" s="56"/>
      <c r="D289" s="56"/>
      <c r="E289" s="56"/>
      <c r="F289" s="57"/>
      <c r="G289" s="57"/>
      <c r="H289" s="56"/>
      <c r="I289" s="63"/>
      <c r="J289" s="57"/>
      <c r="K289" s="59"/>
      <c r="L289" s="60"/>
      <c r="M289" s="61"/>
      <c r="N289" s="56"/>
      <c r="O289" s="56"/>
    </row>
    <row r="290" spans="2:15" x14ac:dyDescent="0.15">
      <c r="B290" s="48"/>
      <c r="C290" s="49"/>
      <c r="D290" s="49"/>
      <c r="E290" s="49"/>
      <c r="F290" s="50"/>
      <c r="G290" s="50"/>
      <c r="H290" s="49"/>
      <c r="I290" s="64"/>
      <c r="J290" s="50"/>
      <c r="K290" s="52"/>
      <c r="L290" s="53"/>
      <c r="M290" s="54"/>
      <c r="N290" s="49"/>
      <c r="O290" s="49"/>
    </row>
  </sheetData>
  <autoFilter ref="B3:K127" xr:uid="{00000000-0009-0000-0000-000000000000}"/>
  <mergeCells count="7">
    <mergeCell ref="N27:O27"/>
    <mergeCell ref="N31:O31"/>
    <mergeCell ref="N6:O6"/>
    <mergeCell ref="N11:O11"/>
    <mergeCell ref="N15:O15"/>
    <mergeCell ref="N19:O19"/>
    <mergeCell ref="N23:O23"/>
  </mergeCells>
  <conditionalFormatting sqref="E2:E1048576">
    <cfRule type="cellIs" dxfId="15" priority="2" operator="equal">
      <formula>0</formula>
    </cfRule>
  </conditionalFormatting>
  <conditionalFormatting sqref="M4:M290">
    <cfRule type="containsText" dxfId="14" priority="1" operator="containsText" text="不">
      <formula>NOT(ISERROR(SEARCH("不",M4)))</formula>
    </cfRule>
  </conditionalFormatting>
  <dataValidations count="2">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s>
  <hyperlinks>
    <hyperlink ref="I2" location="期初庫存!F2" display="期初庫存" xr:uid="{00000000-0004-0000-0000-000000000000}"/>
    <hyperlink ref="H2" location="當前庫存!D2" display="當前庫存" xr:uid="{00000000-0004-0000-0000-000001000000}"/>
    <hyperlink ref="K2" location="採購入庫!G2" display="採購入庫" xr:uid="{00000000-0004-0000-0000-000002000000}"/>
    <hyperlink ref="L2" location="烤漆色號編碼!A1" display="色號編碼" xr:uid="{00000000-0004-0000-0000-000003000000}"/>
    <hyperlink ref="C2" r:id="rId1" xr:uid="{2C7383C1-1920-B944-A565-6DA19BA035D7}"/>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000-000002000000}">
          <x14:formula1>
            <xm:f>烤漆色號編碼!$A$2:$A$27</xm:f>
          </x14:formula1>
          <xm:sqref>C291:C1048576</xm:sqref>
        </x14:dataValidation>
        <x14:dataValidation type="list" allowBlank="1" showInputMessage="1" showErrorMessage="1" xr:uid="{00000000-0002-0000-0000-000003000000}">
          <x14:formula1>
            <xm:f>烤漆色號編碼!$A$2:$A$36</xm:f>
          </x14:formula1>
          <xm:sqref>C4:C290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X1007"/>
  <sheetViews>
    <sheetView zoomScale="92" workbookViewId="0">
      <selection activeCell="C2" sqref="C2"/>
    </sheetView>
  </sheetViews>
  <sheetFormatPr defaultColWidth="10.05078125" defaultRowHeight="13.5" x14ac:dyDescent="0.15"/>
  <cols>
    <col min="1" max="1" width="2.203125" style="65" customWidth="1"/>
    <col min="2" max="2" width="3.5546875" style="66" bestFit="1" customWidth="1"/>
    <col min="3" max="3" width="10.05078125" style="67" customWidth="1"/>
    <col min="4" max="4" width="9.9296875" style="68" customWidth="1"/>
    <col min="5" max="5" width="9.4375" style="67" customWidth="1"/>
    <col min="6" max="6" width="9.9296875" style="67" customWidth="1"/>
    <col min="7" max="7" width="13.23828125" style="67" customWidth="1"/>
    <col min="8" max="8" width="13.73046875" style="67" customWidth="1"/>
    <col min="9" max="11" width="10.05078125" style="67" customWidth="1"/>
    <col min="12" max="12" width="7.72265625" style="67" customWidth="1"/>
    <col min="13" max="13" width="5.26953125" style="67" customWidth="1"/>
    <col min="14" max="98" width="10.05078125" style="67" customWidth="1"/>
    <col min="99" max="102" width="10.05078125" style="69" customWidth="1"/>
    <col min="103" max="103" width="10.05078125" style="70" bestFit="1" customWidth="1"/>
    <col min="104" max="16384" width="10.05078125" style="70"/>
  </cols>
  <sheetData>
    <row r="1" spans="1:102" s="71" customFormat="1" ht="8.85" customHeight="1" x14ac:dyDescent="0.15">
      <c r="A1" s="72"/>
      <c r="B1" s="73"/>
      <c r="C1" s="73"/>
      <c r="D1" s="74"/>
      <c r="E1" s="73"/>
      <c r="F1" s="73"/>
      <c r="G1" s="73"/>
      <c r="H1" s="73"/>
      <c r="I1" s="73"/>
      <c r="J1" s="72"/>
      <c r="K1" s="72"/>
      <c r="L1" s="75"/>
      <c r="M1" s="72"/>
      <c r="N1" s="76"/>
      <c r="O1" s="76"/>
      <c r="P1" s="76"/>
      <c r="Q1" s="76"/>
      <c r="R1" s="76"/>
      <c r="S1" s="76"/>
      <c r="T1" s="76"/>
      <c r="U1" s="76"/>
      <c r="V1" s="76"/>
      <c r="W1" s="76"/>
      <c r="X1" s="76"/>
      <c r="Y1" s="76"/>
      <c r="Z1" s="76"/>
      <c r="AA1" s="76"/>
      <c r="AB1" s="76"/>
      <c r="AC1" s="76"/>
      <c r="AD1" s="76"/>
      <c r="AE1" s="76"/>
      <c r="AF1" s="76"/>
      <c r="AG1" s="76"/>
      <c r="AH1" s="76"/>
      <c r="AI1" s="76"/>
      <c r="AJ1" s="76"/>
      <c r="AK1" s="76"/>
      <c r="AL1" s="76"/>
      <c r="AM1" s="76"/>
      <c r="AN1" s="76"/>
      <c r="AO1" s="76"/>
      <c r="AP1" s="76"/>
      <c r="AQ1" s="76"/>
      <c r="AR1" s="76"/>
      <c r="AS1" s="76"/>
      <c r="AT1" s="76"/>
      <c r="AU1" s="76"/>
      <c r="AV1" s="76"/>
      <c r="AW1" s="76"/>
      <c r="AX1" s="76"/>
      <c r="AY1" s="76"/>
      <c r="AZ1" s="76"/>
      <c r="BA1" s="76"/>
      <c r="BB1" s="76"/>
      <c r="BC1" s="76"/>
      <c r="BD1" s="76"/>
      <c r="BE1" s="76"/>
      <c r="BF1" s="76"/>
      <c r="BG1" s="76"/>
      <c r="BH1" s="76"/>
      <c r="BI1" s="76"/>
      <c r="BJ1" s="76"/>
      <c r="BK1" s="76"/>
      <c r="BL1" s="76"/>
      <c r="BM1" s="76"/>
      <c r="BN1" s="76"/>
      <c r="BO1" s="76"/>
      <c r="BP1" s="76"/>
      <c r="BQ1" s="76"/>
      <c r="BR1" s="76"/>
      <c r="BS1" s="76"/>
      <c r="BT1" s="76"/>
      <c r="BU1" s="76"/>
      <c r="BV1" s="76"/>
      <c r="BW1" s="76"/>
      <c r="BX1" s="76"/>
      <c r="BY1" s="76"/>
      <c r="BZ1" s="76"/>
      <c r="CA1" s="76"/>
      <c r="CB1" s="76"/>
      <c r="CC1" s="76"/>
      <c r="CD1" s="76"/>
      <c r="CE1" s="76"/>
      <c r="CF1" s="76"/>
      <c r="CG1" s="76"/>
      <c r="CH1" s="76"/>
      <c r="CI1" s="76"/>
      <c r="CJ1" s="76"/>
      <c r="CK1" s="76"/>
      <c r="CL1" s="76"/>
      <c r="CM1" s="76"/>
      <c r="CN1" s="76"/>
      <c r="CO1" s="76"/>
      <c r="CP1" s="76"/>
      <c r="CQ1" s="76"/>
      <c r="CR1" s="76"/>
      <c r="CS1" s="76"/>
      <c r="CT1" s="76"/>
      <c r="CU1" s="77"/>
      <c r="CV1" s="77"/>
      <c r="CW1" s="77"/>
      <c r="CX1" s="77"/>
    </row>
    <row r="2" spans="1:102" s="78" customFormat="1" ht="18" x14ac:dyDescent="0.15">
      <c r="A2" s="72"/>
      <c r="B2" s="79"/>
      <c r="C2" s="80" t="s">
        <v>55</v>
      </c>
      <c r="D2" s="81" t="s">
        <v>3</v>
      </c>
      <c r="E2" s="80" t="s">
        <v>4</v>
      </c>
      <c r="F2" s="80" t="s">
        <v>5</v>
      </c>
      <c r="G2" s="29">
        <f ca="1">TODAY()</f>
        <v>45511</v>
      </c>
      <c r="H2" s="82" t="str">
        <f ca="1">TEXT(WEEKDAY(每日用粉紀錄表!E2,1),"aaaa")</f>
        <v>星期三</v>
      </c>
      <c r="I2" s="83"/>
      <c r="J2" s="84"/>
      <c r="K2" s="84"/>
      <c r="L2" s="85"/>
      <c r="M2" s="84"/>
    </row>
    <row r="3" spans="1:102" s="86" customFormat="1" x14ac:dyDescent="0.15">
      <c r="A3" s="87"/>
      <c r="B3" s="88" t="s">
        <v>56</v>
      </c>
      <c r="C3" s="88" t="s">
        <v>8</v>
      </c>
      <c r="D3" s="88" t="s">
        <v>57</v>
      </c>
      <c r="E3" s="88" t="s">
        <v>9</v>
      </c>
      <c r="F3" s="88" t="s">
        <v>58</v>
      </c>
      <c r="G3" s="88" t="s">
        <v>3</v>
      </c>
      <c r="H3" s="88" t="s">
        <v>59</v>
      </c>
      <c r="I3" s="88" t="s">
        <v>60</v>
      </c>
      <c r="J3" s="88" t="s">
        <v>18</v>
      </c>
      <c r="K3" s="87" t="s">
        <v>61</v>
      </c>
      <c r="L3" s="89" t="s">
        <v>62</v>
      </c>
      <c r="M3" s="87" t="s">
        <v>63</v>
      </c>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0"/>
      <c r="AY3" s="90"/>
      <c r="AZ3" s="90"/>
      <c r="BA3" s="90"/>
      <c r="BB3" s="90"/>
      <c r="BC3" s="90"/>
      <c r="BD3" s="90"/>
      <c r="BE3" s="90"/>
      <c r="BF3" s="90"/>
      <c r="BG3" s="90"/>
      <c r="BH3" s="90"/>
      <c r="BI3" s="90"/>
      <c r="BJ3" s="90"/>
      <c r="BK3" s="90"/>
      <c r="BL3" s="90"/>
      <c r="BM3" s="90"/>
      <c r="BN3" s="90"/>
      <c r="BO3" s="90"/>
      <c r="BP3" s="90"/>
      <c r="BQ3" s="90"/>
      <c r="BR3" s="90"/>
      <c r="BS3" s="90"/>
      <c r="BT3" s="90"/>
      <c r="BU3" s="90"/>
      <c r="BV3" s="90"/>
      <c r="BW3" s="90"/>
      <c r="BX3" s="90"/>
      <c r="BY3" s="90"/>
      <c r="BZ3" s="90"/>
      <c r="CA3" s="90"/>
      <c r="CB3" s="90"/>
      <c r="CC3" s="90"/>
      <c r="CD3" s="90"/>
      <c r="CE3" s="90"/>
      <c r="CF3" s="90"/>
      <c r="CG3" s="90"/>
      <c r="CH3" s="90"/>
      <c r="CI3" s="90"/>
      <c r="CJ3" s="90"/>
      <c r="CK3" s="90"/>
      <c r="CL3" s="90"/>
      <c r="CM3" s="90"/>
      <c r="CN3" s="90"/>
      <c r="CO3" s="90"/>
      <c r="CP3" s="90"/>
      <c r="CQ3" s="90"/>
      <c r="CR3" s="90"/>
      <c r="CS3" s="90"/>
      <c r="CT3" s="90"/>
      <c r="CU3" s="91"/>
      <c r="CV3" s="91"/>
      <c r="CW3" s="91"/>
      <c r="CX3" s="91"/>
    </row>
    <row r="4" spans="1:102" x14ac:dyDescent="0.15">
      <c r="A4" s="87"/>
      <c r="B4" s="92">
        <v>1</v>
      </c>
      <c r="C4" s="93" t="str">
        <f>IF(烤漆色號編碼!A2="","-",烤漆色號編碼!A2)</f>
        <v>DP-11485</v>
      </c>
      <c r="D4" s="94" t="str">
        <f>IF(烤漆色號編碼!C2="","-",烤漆色號編碼!C2)</f>
        <v>白亮光</v>
      </c>
      <c r="E4" s="93" t="str">
        <f>IF(烤漆色號編碼!B2="","-",烤漆色號編碼!B2)</f>
        <v>WE</v>
      </c>
      <c r="F4" s="93">
        <f>SUMIFS(期初庫存!F:F,期初庫存!C:C,C4)-SUMIFS(每日用粉紀錄表!G:G,每日用粉紀錄表!C:C,C4)+SUMIFS(每日用粉紀錄表!I:I,每日用粉紀錄表!C:C,C4)</f>
        <v>0</v>
      </c>
      <c r="G4" s="93">
        <f>SUMIFS(期初庫存!G:G,期初庫存!C:C,C4)+SUMIFS(採購入庫!G:G,採購入庫!D:D,C4)-SUMIFS(每日用粉紀錄表!F:F,每日用粉紀錄表!C:C,C4)</f>
        <v>8</v>
      </c>
      <c r="H4" s="93">
        <v>6</v>
      </c>
      <c r="I4" s="95" t="str">
        <f t="shared" ref="I4:I35" si="0">IF(H4&gt;G4,"採購","否")</f>
        <v>否</v>
      </c>
      <c r="J4" s="93">
        <f>($G4*25)+$F4</f>
        <v>200</v>
      </c>
      <c r="K4" s="93">
        <v>200</v>
      </c>
      <c r="L4" s="96" t="str">
        <f>IF(K4&gt;J4,"多粉",IF(K4&lt;J4,"少粉","正確"))</f>
        <v>正確</v>
      </c>
      <c r="M4" s="97">
        <f>K4-J4</f>
        <v>0</v>
      </c>
    </row>
    <row r="5" spans="1:102" x14ac:dyDescent="0.15">
      <c r="A5" s="87"/>
      <c r="B5" s="98">
        <v>2</v>
      </c>
      <c r="C5" s="99" t="str">
        <f>IF(烤漆色號編碼!A3="","-",烤漆色號編碼!A3)</f>
        <v>DP-1856</v>
      </c>
      <c r="D5" s="100" t="str">
        <f>IF(烤漆色號編碼!C3="","-",烤漆色號編碼!C3)</f>
        <v>灰白</v>
      </c>
      <c r="E5" s="99" t="str">
        <f>IF(烤漆色號編碼!B3="","-",烤漆色號編碼!B3)</f>
        <v>WE1</v>
      </c>
      <c r="F5" s="99">
        <f>SUMIFS(期初庫存!F:F,期初庫存!C:C,C5)-SUMIFS(每日用粉紀錄表!G:G,每日用粉紀錄表!C:C,C5)+SUMIFS(每日用粉紀錄表!I:I,每日用粉紀錄表!C:C,C5)</f>
        <v>13</v>
      </c>
      <c r="G5" s="99">
        <f>SUMIFS(期初庫存!G:G,期初庫存!C:C,C5)+SUMIFS(採購入庫!G:G,採購入庫!D:D,C5)-SUMIFS(每日用粉紀錄表!F:F,每日用粉紀錄表!C:C,C5)</f>
        <v>1</v>
      </c>
      <c r="H5" s="99">
        <v>1</v>
      </c>
      <c r="I5" s="101" t="str">
        <f t="shared" si="0"/>
        <v>否</v>
      </c>
      <c r="J5" s="99">
        <f>($G5*25)+$F5</f>
        <v>38</v>
      </c>
      <c r="K5" s="99">
        <v>37</v>
      </c>
      <c r="L5" s="102" t="str">
        <f>IF(K5&gt;J5,"多粉",IF(K5&lt;J5,"少粉","正確"))</f>
        <v>少粉</v>
      </c>
      <c r="M5" s="103">
        <f>K5-J5</f>
        <v>-1</v>
      </c>
    </row>
    <row r="6" spans="1:102" x14ac:dyDescent="0.15">
      <c r="A6" s="87"/>
      <c r="B6" s="92">
        <v>3</v>
      </c>
      <c r="C6" s="93" t="str">
        <f>IF(烤漆色號編碼!A4="","-",烤漆色號編碼!A4)</f>
        <v>O-5905</v>
      </c>
      <c r="D6" s="94" t="str">
        <f>IF(烤漆色號編碼!C4="","-",烤漆色號編碼!C4)</f>
        <v>黃亮光</v>
      </c>
      <c r="E6" s="93" t="str">
        <f>IF(烤漆色號編碼!B4="","-",烤漆色號編碼!B4)</f>
        <v>YW</v>
      </c>
      <c r="F6" s="93">
        <f>SUMIFS(期初庫存!F:F,期初庫存!C:C,C6)-SUMIFS(每日用粉紀錄表!G:G,每日用粉紀錄表!C:C,C6)+SUMIFS(每日用粉紀錄表!I:I,每日用粉紀錄表!C:C,C6)</f>
        <v>5</v>
      </c>
      <c r="G6" s="93">
        <f>SUMIFS(期初庫存!G:G,期初庫存!C:C,C6)+SUMIFS(採購入庫!G:G,採購入庫!D:D,C6)-SUMIFS(每日用粉紀錄表!F:F,每日用粉紀錄表!C:C,C6)</f>
        <v>0</v>
      </c>
      <c r="H6" s="93">
        <v>2</v>
      </c>
      <c r="I6" s="95" t="str">
        <f t="shared" si="0"/>
        <v>採購</v>
      </c>
      <c r="J6" s="93">
        <f>($G6*25)+$F6</f>
        <v>5</v>
      </c>
      <c r="K6" s="93"/>
      <c r="L6" s="96" t="str">
        <f>IF(K6&gt;J6,"多粉",IF(K6&lt;J6,"少粉","正確"))</f>
        <v>少粉</v>
      </c>
      <c r="M6" s="97">
        <f>K6-J6</f>
        <v>-5</v>
      </c>
    </row>
    <row r="7" spans="1:102" customFormat="1" x14ac:dyDescent="0.15">
      <c r="A7" s="87"/>
      <c r="B7" s="98">
        <v>4</v>
      </c>
      <c r="C7" s="99" t="str">
        <f>IF(烤漆色號編碼!A5="","-",烤漆色號編碼!A5)</f>
        <v>New O-5905</v>
      </c>
      <c r="D7" s="100" t="str">
        <f>IF(烤漆色號編碼!C5="","-",烤漆色號編碼!C5)</f>
        <v>黃亮光</v>
      </c>
      <c r="E7" s="99" t="str">
        <f>IF(烤漆色號編碼!B5="","-",烤漆色號編碼!B5)</f>
        <v>YW</v>
      </c>
      <c r="F7" s="99">
        <f>SUMIFS(期初庫存!F:F,期初庫存!C:C,C7)-SUMIFS(每日用粉紀錄表!G:G,每日用粉紀錄表!C:C,C7)+SUMIFS(每日用粉紀錄表!I:I,每日用粉紀錄表!C:C,C7)</f>
        <v>5</v>
      </c>
      <c r="G7" s="99">
        <f>SUMIFS(期初庫存!G:G,期初庫存!C:C,C7)+SUMIFS(採購入庫!G:G,採購入庫!D:D,C7)-SUMIFS(每日用粉紀錄表!F:F,每日用粉紀錄表!C:C,C7)</f>
        <v>5</v>
      </c>
      <c r="H7" s="99"/>
      <c r="I7" s="101" t="str">
        <f t="shared" si="0"/>
        <v>否</v>
      </c>
      <c r="J7" s="99">
        <f>($G7*25)+$F7</f>
        <v>130</v>
      </c>
      <c r="K7" s="99">
        <v>151</v>
      </c>
      <c r="L7" s="102" t="str">
        <f>IF(K7&gt;J7,"多粉",IF(K7&lt;J7,"少粉","正確"))</f>
        <v>多粉</v>
      </c>
      <c r="M7" s="103">
        <f>K7-J7</f>
        <v>21</v>
      </c>
    </row>
    <row r="8" spans="1:102" x14ac:dyDescent="0.15">
      <c r="A8" s="87"/>
      <c r="B8" s="92">
        <v>5</v>
      </c>
      <c r="C8" s="93" t="str">
        <f>IF(烤漆色號編碼!A6="","-",烤漆色號編碼!A6)</f>
        <v>790-41540H</v>
      </c>
      <c r="D8" s="94" t="str">
        <f>IF(烤漆色號編碼!C6="","-",烤漆色號編碼!C6)</f>
        <v>黃錘紋</v>
      </c>
      <c r="E8" s="93" t="str">
        <f>IF(烤漆色號編碼!B6="","-",烤漆色號編碼!B6)</f>
        <v>YWH</v>
      </c>
      <c r="F8" s="93">
        <f>SUMIFS(期初庫存!F:F,期初庫存!C:C,C8)-SUMIFS(每日用粉紀錄表!G:G,每日用粉紀錄表!C:C,C8)+SUMIFS(每日用粉紀錄表!I:I,每日用粉紀錄表!C:C,C8)</f>
        <v>58</v>
      </c>
      <c r="G8" s="93">
        <f>SUMIFS(期初庫存!G:G,期初庫存!C:C,C8)+SUMIFS(採購入庫!G:G,採購入庫!D:D,C8)-SUMIFS(每日用粉紀錄表!F:F,每日用粉紀錄表!C:C,C8)</f>
        <v>1</v>
      </c>
      <c r="H8" s="93">
        <v>1</v>
      </c>
      <c r="I8" s="95" t="str">
        <f t="shared" si="0"/>
        <v>否</v>
      </c>
      <c r="J8" s="93">
        <f>($G8*25)+$F8</f>
        <v>83</v>
      </c>
      <c r="K8" s="93">
        <v>82</v>
      </c>
      <c r="L8" s="96" t="str">
        <f>IF(K8&gt;J8,"多粉",IF(K8&lt;J8,"少粉","正確"))</f>
        <v>少粉</v>
      </c>
      <c r="M8" s="97">
        <f>K8-J8</f>
        <v>-1</v>
      </c>
    </row>
    <row r="9" spans="1:102" x14ac:dyDescent="0.15">
      <c r="A9" s="87"/>
      <c r="B9" s="98">
        <v>6</v>
      </c>
      <c r="C9" s="99" t="str">
        <f>IF(烤漆色號編碼!A7="","-",烤漆色號編碼!A7)</f>
        <v>780-310AT</v>
      </c>
      <c r="D9" s="100" t="str">
        <f>IF(烤漆色號編碼!C7="","-",烤漆色號編碼!C7)</f>
        <v>紅色</v>
      </c>
      <c r="E9" s="99" t="str">
        <f>IF(烤漆色號編碼!B7="","-",烤漆色號編碼!B7)</f>
        <v>RD</v>
      </c>
      <c r="F9" s="99">
        <f>SUMIFS(期初庫存!F:F,期初庫存!C:C,C9)-SUMIFS(每日用粉紀錄表!G:G,每日用粉紀錄表!C:C,C9)+SUMIFS(每日用粉紀錄表!I:I,每日用粉紀錄表!C:C,C9)</f>
        <v>3</v>
      </c>
      <c r="G9" s="99">
        <f>SUMIFS(期初庫存!G:G,期初庫存!C:C,C9)+SUMIFS(採購入庫!G:G,採購入庫!D:D,C9)-SUMIFS(每日用粉紀錄表!F:F,每日用粉紀錄表!C:C,C9)</f>
        <v>1</v>
      </c>
      <c r="H9" s="99">
        <v>1</v>
      </c>
      <c r="I9" s="101" t="str">
        <f t="shared" si="0"/>
        <v>否</v>
      </c>
      <c r="J9" s="99">
        <f>($G9*25)+$F9</f>
        <v>28</v>
      </c>
      <c r="K9" s="99">
        <v>29</v>
      </c>
      <c r="L9" s="102" t="str">
        <f>IF(K9&gt;J9,"多粉",IF(K9&lt;J9,"少粉","正確"))</f>
        <v>多粉</v>
      </c>
      <c r="M9" s="103">
        <f>K9-J9</f>
        <v>1</v>
      </c>
    </row>
    <row r="10" spans="1:102" x14ac:dyDescent="0.15">
      <c r="A10" s="87"/>
      <c r="B10" s="92">
        <v>7</v>
      </c>
      <c r="C10" s="93" t="str">
        <f>IF(烤漆色號編碼!A8="","-",烤漆色號編碼!A8)</f>
        <v>LT-90442</v>
      </c>
      <c r="D10" s="94" t="str">
        <f>IF(烤漆色號編碼!C8="","-",烤漆色號編碼!C8)</f>
        <v>藍色</v>
      </c>
      <c r="E10" s="93" t="str">
        <f>IF(烤漆色號編碼!B8="","-",烤漆色號編碼!B8)</f>
        <v>BE</v>
      </c>
      <c r="F10" s="93">
        <f>SUMIFS(期初庫存!F:F,期初庫存!C:C,C10)-SUMIFS(每日用粉紀錄表!G:G,每日用粉紀錄表!C:C,C10)+SUMIFS(每日用粉紀錄表!I:I,每日用粉紀錄表!C:C,C10)</f>
        <v>25</v>
      </c>
      <c r="G10" s="93">
        <f>SUMIFS(期初庫存!G:G,期初庫存!C:C,C10)+SUMIFS(採購入庫!G:G,採購入庫!D:D,C10)-SUMIFS(每日用粉紀錄表!F:F,每日用粉紀錄表!C:C,C10)</f>
        <v>0</v>
      </c>
      <c r="H10" s="93">
        <v>1</v>
      </c>
      <c r="I10" s="95" t="str">
        <f t="shared" si="0"/>
        <v>採購</v>
      </c>
      <c r="J10" s="93">
        <f>($G10*25)+$F10</f>
        <v>25</v>
      </c>
      <c r="K10" s="93">
        <v>25</v>
      </c>
      <c r="L10" s="96" t="str">
        <f>IF(K10&gt;J10,"多粉",IF(K10&lt;J10,"少粉","正確"))</f>
        <v>正確</v>
      </c>
      <c r="M10" s="97">
        <f>K10-J10</f>
        <v>0</v>
      </c>
    </row>
    <row r="11" spans="1:102" x14ac:dyDescent="0.15">
      <c r="A11" s="87"/>
      <c r="B11" s="98">
        <v>8</v>
      </c>
      <c r="C11" s="99" t="str">
        <f>IF(烤漆色號編碼!A9="","-",烤漆色號編碼!A9)</f>
        <v>770-739</v>
      </c>
      <c r="D11" s="100" t="str">
        <f>IF(烤漆色號編碼!C9="","-",烤漆色號編碼!C9)</f>
        <v>豔藍-孔雀藍</v>
      </c>
      <c r="E11" s="99" t="str">
        <f>IF(烤漆色號編碼!B9="","-",烤漆色號編碼!B9)</f>
        <v>BEG</v>
      </c>
      <c r="F11" s="99">
        <f>SUMIFS(期初庫存!F:F,期初庫存!C:C,C11)-SUMIFS(每日用粉紀錄表!G:G,每日用粉紀錄表!C:C,C11)+SUMIFS(每日用粉紀錄表!I:I,每日用粉紀錄表!C:C,C11)</f>
        <v>6</v>
      </c>
      <c r="G11" s="99">
        <f>SUMIFS(期初庫存!G:G,期初庫存!C:C,C11)+SUMIFS(採購入庫!G:G,採購入庫!D:D,C11)-SUMIFS(每日用粉紀錄表!F:F,每日用粉紀錄表!C:C,C11)</f>
        <v>1</v>
      </c>
      <c r="H11" s="99">
        <v>1</v>
      </c>
      <c r="I11" s="101" t="str">
        <f t="shared" si="0"/>
        <v>否</v>
      </c>
      <c r="J11" s="99">
        <f>($G11*25)+$F11</f>
        <v>31</v>
      </c>
      <c r="K11" s="99">
        <v>31</v>
      </c>
      <c r="L11" s="102" t="str">
        <f>IF(K11&gt;J11,"多粉",IF(K11&lt;J11,"少粉","正確"))</f>
        <v>正確</v>
      </c>
      <c r="M11" s="103">
        <f>K11-J11</f>
        <v>0</v>
      </c>
    </row>
    <row r="12" spans="1:102" x14ac:dyDescent="0.15">
      <c r="A12" s="87"/>
      <c r="B12" s="92">
        <v>9</v>
      </c>
      <c r="C12" s="93" t="str">
        <f>IF(烤漆色號編碼!A10="","-",烤漆色號編碼!A10)</f>
        <v>4950-502</v>
      </c>
      <c r="D12" s="94" t="str">
        <f>IF(烤漆色號編碼!C10="","-",烤漆色號編碼!C10)</f>
        <v>黑平光</v>
      </c>
      <c r="E12" s="93" t="str">
        <f>IF(烤漆色號編碼!B10="","-",烤漆色號編碼!B10)</f>
        <v>BK</v>
      </c>
      <c r="F12" s="93">
        <f>SUMIFS(期初庫存!F:F,期初庫存!C:C,C12)-SUMIFS(每日用粉紀錄表!G:G,每日用粉紀錄表!C:C,C12)+SUMIFS(每日用粉紀錄表!I:I,每日用粉紀錄表!C:C,C12)</f>
        <v>14</v>
      </c>
      <c r="G12" s="93">
        <f>SUMIFS(期初庫存!G:G,期初庫存!C:C,C12)+SUMIFS(採購入庫!G:G,採購入庫!D:D,C12)-SUMIFS(每日用粉紀錄表!F:F,每日用粉紀錄表!C:C,C12)</f>
        <v>0</v>
      </c>
      <c r="H12" s="93">
        <v>1</v>
      </c>
      <c r="I12" s="95" t="str">
        <f t="shared" si="0"/>
        <v>採購</v>
      </c>
      <c r="J12" s="93">
        <f>($G12*25)+$F12</f>
        <v>14</v>
      </c>
      <c r="K12" s="93">
        <v>14</v>
      </c>
      <c r="L12" s="96" t="str">
        <f>IF(K12&gt;J12,"多粉",IF(K12&lt;J12,"少粉","正確"))</f>
        <v>正確</v>
      </c>
      <c r="M12" s="97">
        <f>K12-J12</f>
        <v>0</v>
      </c>
    </row>
    <row r="13" spans="1:102" x14ac:dyDescent="0.15">
      <c r="A13" s="87"/>
      <c r="B13" s="98">
        <v>10</v>
      </c>
      <c r="C13" s="99" t="str">
        <f>IF(烤漆色號編碼!A11="","-",烤漆色號編碼!A11)</f>
        <v>EN-402T</v>
      </c>
      <c r="D13" s="100" t="str">
        <f>IF(烤漆色號編碼!C11="","-",烤漆色號編碼!C11)</f>
        <v>黑錘紋</v>
      </c>
      <c r="E13" s="99" t="str">
        <f>IF(烤漆色號編碼!B11="","-",烤漆色號編碼!B11)</f>
        <v>BKH</v>
      </c>
      <c r="F13" s="99">
        <f>SUMIFS(期初庫存!F:F,期初庫存!C:C,C13)-SUMIFS(每日用粉紀錄表!G:G,每日用粉紀錄表!C:C,C13)+SUMIFS(每日用粉紀錄表!I:I,每日用粉紀錄表!C:C,C13)</f>
        <v>19</v>
      </c>
      <c r="G13" s="99">
        <f>SUMIFS(期初庫存!G:G,期初庫存!C:C,C13)+SUMIFS(採購入庫!G:G,採購入庫!D:D,C13)-SUMIFS(每日用粉紀錄表!F:F,每日用粉紀錄表!C:C,C13)</f>
        <v>1</v>
      </c>
      <c r="H13" s="104">
        <v>1</v>
      </c>
      <c r="I13" s="101" t="str">
        <f t="shared" si="0"/>
        <v>否</v>
      </c>
      <c r="J13" s="99">
        <f>($G13*25)+$F13</f>
        <v>44</v>
      </c>
      <c r="K13" s="99">
        <v>44</v>
      </c>
      <c r="L13" s="102" t="str">
        <f>IF(K13&gt;J13,"多粉",IF(K13&lt;J13,"少粉","正確"))</f>
        <v>正確</v>
      </c>
      <c r="M13" s="103">
        <f>K13-J13</f>
        <v>0</v>
      </c>
    </row>
    <row r="14" spans="1:102" x14ac:dyDescent="0.15">
      <c r="A14" s="87"/>
      <c r="B14" s="92">
        <v>11</v>
      </c>
      <c r="C14" s="93" t="str">
        <f>IF(烤漆色號編碼!A12="","-",烤漆色號編碼!A12)</f>
        <v>K-91097G</v>
      </c>
      <c r="D14" s="94" t="str">
        <f>IF(烤漆色號編碼!C12="","-",烤漆色號編碼!C12)</f>
        <v>新黑砂</v>
      </c>
      <c r="E14" s="93" t="str">
        <f>IF(烤漆色號編碼!B12="","-",烤漆色號編碼!B12)</f>
        <v>BKS1</v>
      </c>
      <c r="F14" s="93">
        <f>SUMIFS(期初庫存!F:F,期初庫存!C:C,C14)-SUMIFS(每日用粉紀錄表!G:G,每日用粉紀錄表!C:C,C14)+SUMIFS(每日用粉紀錄表!I:I,每日用粉紀錄表!C:C,C14)</f>
        <v>18</v>
      </c>
      <c r="G14" s="93">
        <f>SUMIFS(期初庫存!G:G,期初庫存!C:C,C14)+SUMIFS(採購入庫!G:G,採購入庫!D:D,C14)-SUMIFS(每日用粉紀錄表!F:F,每日用粉紀錄表!C:C,C14)</f>
        <v>16</v>
      </c>
      <c r="H14" s="105">
        <v>6</v>
      </c>
      <c r="I14" s="95" t="str">
        <f t="shared" si="0"/>
        <v>否</v>
      </c>
      <c r="J14" s="93">
        <f>($G14*25)+$F14</f>
        <v>418</v>
      </c>
      <c r="K14" s="93">
        <v>400</v>
      </c>
      <c r="L14" s="96" t="str">
        <f>IF(K14&gt;J14,"多粉",IF(K14&lt;J14,"少粉","正確"))</f>
        <v>少粉</v>
      </c>
      <c r="M14" s="97">
        <f>K14-J14</f>
        <v>-18</v>
      </c>
    </row>
    <row r="15" spans="1:102" x14ac:dyDescent="0.15">
      <c r="A15" s="87"/>
      <c r="B15" s="98">
        <v>12</v>
      </c>
      <c r="C15" s="99" t="str">
        <f>IF(烤漆色號編碼!A13="","-",烤漆色號編碼!A13)</f>
        <v>780-45510H</v>
      </c>
      <c r="D15" s="100" t="str">
        <f>IF(烤漆色號編碼!C13="","-",烤漆色號編碼!C13)</f>
        <v>黑砂</v>
      </c>
      <c r="E15" s="99" t="str">
        <f>IF(烤漆色號編碼!B13="","-",烤漆色號編碼!B13)</f>
        <v>BKS</v>
      </c>
      <c r="F15" s="99">
        <f>SUMIFS(期初庫存!F:F,期初庫存!C:C,C15)-SUMIFS(每日用粉紀錄表!G:G,每日用粉紀錄表!C:C,C15)+SUMIFS(每日用粉紀錄表!I:I,每日用粉紀錄表!C:C,C15)</f>
        <v>0</v>
      </c>
      <c r="G15" s="99">
        <f>SUMIFS(期初庫存!G:G,期初庫存!C:C,C15)+SUMIFS(採購入庫!G:G,採購入庫!D:D,C15)-SUMIFS(每日用粉紀錄表!F:F,每日用粉紀錄表!C:C,C15)</f>
        <v>0</v>
      </c>
      <c r="H15" s="104"/>
      <c r="I15" s="101" t="str">
        <f t="shared" si="0"/>
        <v>否</v>
      </c>
      <c r="J15" s="99">
        <f>($G15*25)+$F15</f>
        <v>0</v>
      </c>
      <c r="K15" s="99"/>
      <c r="L15" s="102" t="str">
        <f>IF(K15&gt;J15,"多粉",IF(K15&lt;J15,"少粉","正確"))</f>
        <v>正確</v>
      </c>
      <c r="M15" s="103">
        <f>K15-J15</f>
        <v>0</v>
      </c>
    </row>
    <row r="16" spans="1:102" x14ac:dyDescent="0.15">
      <c r="A16" s="87"/>
      <c r="B16" s="92">
        <v>13</v>
      </c>
      <c r="C16" s="93" t="str">
        <f>IF(烤漆色號編碼!A14="","-",烤漆色號編碼!A14)</f>
        <v>4605-505</v>
      </c>
      <c r="D16" s="94" t="str">
        <f>IF(烤漆色號編碼!C14="","-",烤漆色號編碼!C14)</f>
        <v>消光黑</v>
      </c>
      <c r="E16" s="93" t="str">
        <f>IF(烤漆色號編碼!B14="","-",烤漆色號編碼!B14)</f>
        <v>EBK</v>
      </c>
      <c r="F16" s="93">
        <f>SUMIFS(期初庫存!F:F,期初庫存!C:C,C16)-SUMIFS(每日用粉紀錄表!G:G,每日用粉紀錄表!C:C,C16)+SUMIFS(每日用粉紀錄表!I:I,每日用粉紀錄表!C:C,C16)</f>
        <v>22</v>
      </c>
      <c r="G16" s="93">
        <f>SUMIFS(期初庫存!G:G,期初庫存!C:C,C16)+SUMIFS(採購入庫!G:G,採購入庫!D:D,C16)-SUMIFS(每日用粉紀錄表!F:F,每日用粉紀錄表!C:C,C16)</f>
        <v>0</v>
      </c>
      <c r="H16" s="105">
        <v>1</v>
      </c>
      <c r="I16" s="95" t="str">
        <f t="shared" si="0"/>
        <v>採購</v>
      </c>
      <c r="J16" s="93">
        <f>($G16*25)+$F16</f>
        <v>22</v>
      </c>
      <c r="K16" s="93">
        <v>22</v>
      </c>
      <c r="L16" s="96" t="str">
        <f>IF(K16&gt;J16,"多粉",IF(K16&lt;J16,"少粉","正確"))</f>
        <v>正確</v>
      </c>
      <c r="M16" s="97">
        <f>K16-J16</f>
        <v>0</v>
      </c>
    </row>
    <row r="17" spans="1:13" x14ac:dyDescent="0.15">
      <c r="A17" s="87"/>
      <c r="B17" s="98">
        <v>14</v>
      </c>
      <c r="C17" s="99" t="str">
        <f>IF(烤漆色號編碼!A15="","-",烤漆色號編碼!A15)</f>
        <v>O-9850GSNB</v>
      </c>
      <c r="D17" s="100" t="str">
        <f>IF(烤漆色號編碼!C15="","-",烤漆色號編碼!C15)</f>
        <v>黑砂閃銀</v>
      </c>
      <c r="E17" s="99" t="str">
        <f>IF(烤漆色號編碼!B15="","-",烤漆色號編碼!B15)</f>
        <v>BKSA</v>
      </c>
      <c r="F17" s="99">
        <f>SUMIFS(期初庫存!F:F,期初庫存!C:C,C17)-SUMIFS(每日用粉紀錄表!G:G,每日用粉紀錄表!C:C,C17)+SUMIFS(每日用粉紀錄表!I:I,每日用粉紀錄表!C:C,C17)</f>
        <v>23</v>
      </c>
      <c r="G17" s="99">
        <f>SUMIFS(期初庫存!G:G,期初庫存!C:C,C17)+SUMIFS(採購入庫!G:G,採購入庫!D:D,C17)-SUMIFS(每日用粉紀錄表!F:F,每日用粉紀錄表!C:C,C17)</f>
        <v>3</v>
      </c>
      <c r="H17" s="104">
        <v>1</v>
      </c>
      <c r="I17" s="101" t="str">
        <f t="shared" si="0"/>
        <v>否</v>
      </c>
      <c r="J17" s="99">
        <f>($G17*25)+$F17</f>
        <v>98</v>
      </c>
      <c r="K17" s="99">
        <v>91</v>
      </c>
      <c r="L17" s="102" t="str">
        <f>IF(K17&gt;J17,"多粉",IF(K17&lt;J17,"少粉","正確"))</f>
        <v>少粉</v>
      </c>
      <c r="M17" s="103">
        <f>K17-J17</f>
        <v>-7</v>
      </c>
    </row>
    <row r="18" spans="1:13" x14ac:dyDescent="0.15">
      <c r="A18" s="87"/>
      <c r="B18" s="92">
        <v>15</v>
      </c>
      <c r="C18" s="93" t="str">
        <f>IF(烤漆色號編碼!A16="","-",烤漆色號編碼!A16)</f>
        <v>K-9287S</v>
      </c>
      <c r="D18" s="94" t="str">
        <f>IF(烤漆色號編碼!C16="","-",烤漆色號編碼!C16)</f>
        <v>黑閃銀</v>
      </c>
      <c r="E18" s="93" t="str">
        <f>IF(烤漆色號編碼!B16="","-",烤漆色號編碼!B16)</f>
        <v>BKSA1</v>
      </c>
      <c r="F18" s="93">
        <f>SUMIFS(期初庫存!F:F,期初庫存!C:C,C18)-SUMIFS(每日用粉紀錄表!G:G,每日用粉紀錄表!C:C,C18)+SUMIFS(每日用粉紀錄表!I:I,每日用粉紀錄表!C:C,C18)</f>
        <v>7</v>
      </c>
      <c r="G18" s="93">
        <f>SUMIFS(期初庫存!G:G,期初庫存!C:C,C18)+SUMIFS(採購入庫!G:G,採購入庫!D:D,C18)-SUMIFS(每日用粉紀錄表!F:F,每日用粉紀錄表!C:C,C18)</f>
        <v>2</v>
      </c>
      <c r="H18" s="105">
        <v>1</v>
      </c>
      <c r="I18" s="95" t="str">
        <f t="shared" si="0"/>
        <v>否</v>
      </c>
      <c r="J18" s="93">
        <f>($G18*25)+$F18</f>
        <v>57</v>
      </c>
      <c r="K18" s="93">
        <v>56</v>
      </c>
      <c r="L18" s="96" t="str">
        <f>IF(K18&gt;J18,"多粉",IF(K18&lt;J18,"少粉","正確"))</f>
        <v>少粉</v>
      </c>
      <c r="M18" s="97">
        <f>K18-J18</f>
        <v>-1</v>
      </c>
    </row>
    <row r="19" spans="1:13" x14ac:dyDescent="0.15">
      <c r="A19" s="87"/>
      <c r="B19" s="98">
        <v>16</v>
      </c>
      <c r="C19" s="99" t="str">
        <f>IF(烤漆色號編碼!A17="","-",烤漆色號編碼!A17)</f>
        <v>EL-0365T</v>
      </c>
      <c r="D19" s="100" t="str">
        <f>IF(烤漆色號編碼!C17="","-",烤漆色號編碼!C17)</f>
        <v>鐵灰砂</v>
      </c>
      <c r="E19" s="99" t="str">
        <f>IF(烤漆色號編碼!B17="","-",烤漆色號編碼!B17)</f>
        <v>IGS</v>
      </c>
      <c r="F19" s="99">
        <f>SUMIFS(期初庫存!F:F,期初庫存!C:C,C19)-SUMIFS(每日用粉紀錄表!G:G,每日用粉紀錄表!C:C,C19)+SUMIFS(每日用粉紀錄表!I:I,每日用粉紀錄表!C:C,C19)</f>
        <v>42</v>
      </c>
      <c r="G19" s="99">
        <f>SUMIFS(期初庫存!G:G,期初庫存!C:C,C19)+SUMIFS(採購入庫!G:G,採購入庫!D:D,C19)-SUMIFS(每日用粉紀錄表!F:F,每日用粉紀錄表!C:C,C19)</f>
        <v>9</v>
      </c>
      <c r="H19" s="104">
        <v>6</v>
      </c>
      <c r="I19" s="101" t="str">
        <f t="shared" si="0"/>
        <v>否</v>
      </c>
      <c r="J19" s="99">
        <f>($G19*25)+$F19</f>
        <v>267</v>
      </c>
      <c r="K19" s="99">
        <v>266</v>
      </c>
      <c r="L19" s="102" t="str">
        <f>IF(K19&gt;J19,"多粉",IF(K19&lt;J19,"少粉","正確"))</f>
        <v>少粉</v>
      </c>
      <c r="M19" s="103">
        <f>K19-J19</f>
        <v>-1</v>
      </c>
    </row>
    <row r="20" spans="1:13" x14ac:dyDescent="0.15">
      <c r="A20" s="87"/>
      <c r="B20" s="92">
        <v>17</v>
      </c>
      <c r="C20" s="93" t="str">
        <f>IF(烤漆色號編碼!A18="","-",烤漆色號編碼!A18)</f>
        <v>O-22170G</v>
      </c>
      <c r="D20" s="94" t="str">
        <f>IF(烤漆色號編碼!C18="","-",烤漆色號編碼!C18)</f>
        <v>深灰砂</v>
      </c>
      <c r="E20" s="93" t="str">
        <f>IF(烤漆色號編碼!B18="","-",烤漆色號編碼!B18)</f>
        <v>DGS</v>
      </c>
      <c r="F20" s="93">
        <f>SUMIFS(期初庫存!F:F,期初庫存!C:C,C20)-SUMIFS(每日用粉紀錄表!G:G,每日用粉紀錄表!C:C,C20)+SUMIFS(每日用粉紀錄表!I:I,每日用粉紀錄表!C:C,C20)</f>
        <v>3</v>
      </c>
      <c r="G20" s="93">
        <f>SUMIFS(期初庫存!G:G,期初庫存!C:C,C20)+SUMIFS(採購入庫!G:G,採購入庫!D:D,C20)-SUMIFS(每日用粉紀錄表!F:F,每日用粉紀錄表!C:C,C20)</f>
        <v>4</v>
      </c>
      <c r="H20" s="105">
        <v>6</v>
      </c>
      <c r="I20" s="95" t="str">
        <f t="shared" si="0"/>
        <v>採購</v>
      </c>
      <c r="J20" s="93">
        <f>($G20*25)+$F20</f>
        <v>103</v>
      </c>
      <c r="K20" s="93">
        <v>102</v>
      </c>
      <c r="L20" s="96" t="str">
        <f>IF(K20&gt;J20,"多粉",IF(K20&lt;J20,"少粉","正確"))</f>
        <v>少粉</v>
      </c>
      <c r="M20" s="97">
        <f>K20-J20</f>
        <v>-1</v>
      </c>
    </row>
    <row r="21" spans="1:13" x14ac:dyDescent="0.15">
      <c r="A21" s="87"/>
      <c r="B21" s="98">
        <v>18</v>
      </c>
      <c r="C21" s="99" t="str">
        <f>IF(烤漆色號編碼!A19="","-",烤漆色號編碼!A19)</f>
        <v>O-200SB</v>
      </c>
      <c r="D21" s="100" t="str">
        <f>IF(烤漆色號編碼!C19="","-",烤漆色號編碼!C19)</f>
        <v>閃銀</v>
      </c>
      <c r="E21" s="99" t="str">
        <f>IF(烤漆色號編碼!B19="","-",烤漆色號編碼!B19)</f>
        <v>SAT</v>
      </c>
      <c r="F21" s="99">
        <f>SUMIFS(期初庫存!F:F,期初庫存!C:C,C21)-SUMIFS(每日用粉紀錄表!G:G,每日用粉紀錄表!C:C,C21)+SUMIFS(每日用粉紀錄表!I:I,每日用粉紀錄表!C:C,C21)</f>
        <v>0</v>
      </c>
      <c r="G21" s="99">
        <f>SUMIFS(期初庫存!G:G,期初庫存!C:C,C21)+SUMIFS(採購入庫!G:G,採購入庫!D:D,C21)-SUMIFS(每日用粉紀錄表!F:F,每日用粉紀錄表!C:C,C21)</f>
        <v>0</v>
      </c>
      <c r="H21" s="104"/>
      <c r="I21" s="101" t="str">
        <f t="shared" si="0"/>
        <v>否</v>
      </c>
      <c r="J21" s="99">
        <f>($G21*25)+$F21</f>
        <v>0</v>
      </c>
      <c r="K21" s="99"/>
      <c r="L21" s="102" t="str">
        <f>IF(K21&gt;J21,"多粉",IF(K21&lt;J21,"少粉","正確"))</f>
        <v>正確</v>
      </c>
      <c r="M21" s="103">
        <f>K21-J21</f>
        <v>0</v>
      </c>
    </row>
    <row r="22" spans="1:13" x14ac:dyDescent="0.15">
      <c r="A22" s="87"/>
      <c r="B22" s="92">
        <v>19</v>
      </c>
      <c r="C22" s="93" t="str">
        <f>IF(烤漆色號編碼!A20="","-",烤漆色號編碼!A20)</f>
        <v>K-5257CSB</v>
      </c>
      <c r="D22" s="94" t="str">
        <f>IF(烤漆色號編碼!C20="","-",烤漆色號編碼!C20)</f>
        <v>新閃銀</v>
      </c>
      <c r="E22" s="93" t="str">
        <f>IF(烤漆色號編碼!B20="","-",烤漆色號編碼!B20)</f>
        <v>SAT1</v>
      </c>
      <c r="F22" s="93">
        <f>SUMIFS(期初庫存!F:F,期初庫存!C:C,C22)-SUMIFS(每日用粉紀錄表!G:G,每日用粉紀錄表!C:C,C22)+SUMIFS(每日用粉紀錄表!I:I,每日用粉紀錄表!C:C,C22)</f>
        <v>29</v>
      </c>
      <c r="G22" s="93">
        <f>SUMIFS(期初庫存!G:G,期初庫存!C:C,C22)+SUMIFS(採購入庫!G:G,採購入庫!D:D,C22)-SUMIFS(每日用粉紀錄表!F:F,每日用粉紀錄表!C:C,C22)</f>
        <v>3</v>
      </c>
      <c r="H22" s="105">
        <v>1</v>
      </c>
      <c r="I22" s="95" t="str">
        <f t="shared" si="0"/>
        <v>否</v>
      </c>
      <c r="J22" s="93">
        <f>($G22*25)+$F22</f>
        <v>104</v>
      </c>
      <c r="K22" s="93">
        <v>104</v>
      </c>
      <c r="L22" s="96" t="str">
        <f>IF(K22&gt;J22,"多粉",IF(K22&lt;J22,"少粉","正確"))</f>
        <v>正確</v>
      </c>
      <c r="M22" s="97">
        <f>K22-J22</f>
        <v>0</v>
      </c>
    </row>
    <row r="23" spans="1:13" x14ac:dyDescent="0.15">
      <c r="A23" s="87"/>
      <c r="B23" s="98">
        <v>20</v>
      </c>
      <c r="C23" s="99" t="str">
        <f>IF(烤漆色號編碼!A21="","-",烤漆色號編碼!A21)</f>
        <v>K-4654</v>
      </c>
      <c r="D23" s="100" t="str">
        <f>IF(烤漆色號編碼!C21="","-",烤漆色號編碼!C21)</f>
        <v>紫色</v>
      </c>
      <c r="E23" s="99" t="str">
        <f>IF(烤漆色號編碼!B21="","-",烤漆色號編碼!B21)</f>
        <v>PEL</v>
      </c>
      <c r="F23" s="99">
        <f>SUMIFS(期初庫存!F:F,期初庫存!C:C,C23)-SUMIFS(每日用粉紀錄表!G:G,每日用粉紀錄表!C:C,C23)+SUMIFS(每日用粉紀錄表!I:I,每日用粉紀錄表!C:C,C23)</f>
        <v>37</v>
      </c>
      <c r="G23" s="99">
        <f>SUMIFS(期初庫存!G:G,期初庫存!C:C,C23)+SUMIFS(採購入庫!G:G,採購入庫!D:D,C23)-SUMIFS(每日用粉紀錄表!F:F,每日用粉紀錄表!C:C,C23)</f>
        <v>2</v>
      </c>
      <c r="H23" s="104">
        <v>1</v>
      </c>
      <c r="I23" s="101" t="str">
        <f t="shared" si="0"/>
        <v>否</v>
      </c>
      <c r="J23" s="99">
        <f>($G23*25)+$F23</f>
        <v>87</v>
      </c>
      <c r="K23" s="99">
        <v>84</v>
      </c>
      <c r="L23" s="102" t="str">
        <f>IF(K23&gt;J23,"多粉",IF(K23&lt;J23,"少粉","正確"))</f>
        <v>少粉</v>
      </c>
      <c r="M23" s="103">
        <f>K23-J23</f>
        <v>-3</v>
      </c>
    </row>
    <row r="24" spans="1:13" x14ac:dyDescent="0.15">
      <c r="A24" s="87"/>
      <c r="B24" s="92">
        <v>21</v>
      </c>
      <c r="C24" s="93" t="str">
        <f>IF(烤漆色號編碼!A22="","-",烤漆色號編碼!A22)</f>
        <v>780-9B65</v>
      </c>
      <c r="D24" s="94" t="str">
        <f>IF(烤漆色號編碼!C22="","-",烤漆色號編碼!C22)</f>
        <v>銀灰</v>
      </c>
      <c r="E24" s="93" t="str">
        <f>IF(烤漆色號編碼!B22="","-",烤漆色號編碼!B22)</f>
        <v>ATG</v>
      </c>
      <c r="F24" s="93">
        <f>SUMIFS(期初庫存!F:F,期初庫存!C:C,C24)-SUMIFS(每日用粉紀錄表!G:G,每日用粉紀錄表!C:C,C24)+SUMIFS(每日用粉紀錄表!I:I,每日用粉紀錄表!C:C,C24)</f>
        <v>0</v>
      </c>
      <c r="G24" s="93">
        <f>SUMIFS(期初庫存!G:G,期初庫存!C:C,C24)+SUMIFS(採購入庫!G:G,採購入庫!D:D,C24)-SUMIFS(每日用粉紀錄表!F:F,每日用粉紀錄表!C:C,C24)</f>
        <v>0</v>
      </c>
      <c r="H24" s="105"/>
      <c r="I24" s="95" t="str">
        <f t="shared" si="0"/>
        <v>否</v>
      </c>
      <c r="J24" s="93">
        <f>($G24*25)+$F24</f>
        <v>0</v>
      </c>
      <c r="K24" s="93"/>
      <c r="L24" s="96" t="str">
        <f>IF(K24&gt;J24,"多粉",IF(K24&lt;J24,"少粉","正確"))</f>
        <v>正確</v>
      </c>
      <c r="M24" s="97">
        <f>K24-J24</f>
        <v>0</v>
      </c>
    </row>
    <row r="25" spans="1:13" x14ac:dyDescent="0.15">
      <c r="A25" s="87"/>
      <c r="B25" s="98">
        <v>22</v>
      </c>
      <c r="C25" s="99" t="str">
        <f>IF(烤漆色號編碼!A23="","-",烤漆色號編碼!A23)</f>
        <v>780-9Q70</v>
      </c>
      <c r="D25" s="100" t="str">
        <f>IF(烤漆色號編碼!C23="","-",烤漆色號編碼!C23)</f>
        <v>銀灰</v>
      </c>
      <c r="E25" s="99" t="str">
        <f>IF(烤漆色號編碼!B23="","-",烤漆色號編碼!B23)</f>
        <v>ATG</v>
      </c>
      <c r="F25" s="99">
        <f>SUMIFS(期初庫存!F:F,期初庫存!C:C,C25)-SUMIFS(每日用粉紀錄表!G:G,每日用粉紀錄表!C:C,C25)+SUMIFS(每日用粉紀錄表!I:I,每日用粉紀錄表!C:C,C25)</f>
        <v>0</v>
      </c>
      <c r="G25" s="99">
        <f>SUMIFS(期初庫存!G:G,期初庫存!C:C,C25)+SUMIFS(採購入庫!G:G,採購入庫!D:D,C25)-SUMIFS(每日用粉紀錄表!F:F,每日用粉紀錄表!C:C,C25)</f>
        <v>0</v>
      </c>
      <c r="H25" s="104"/>
      <c r="I25" s="101" t="str">
        <f t="shared" si="0"/>
        <v>否</v>
      </c>
      <c r="J25" s="99">
        <f>($G25*25)+$F25</f>
        <v>0</v>
      </c>
      <c r="K25" s="99"/>
      <c r="L25" s="102" t="str">
        <f>IF(K25&gt;J25,"多粉",IF(K25&lt;J25,"少粉","正確"))</f>
        <v>正確</v>
      </c>
      <c r="M25" s="103">
        <f>K25-J25</f>
        <v>0</v>
      </c>
    </row>
    <row r="26" spans="1:13" x14ac:dyDescent="0.15">
      <c r="A26" s="87"/>
      <c r="B26" s="92">
        <v>23</v>
      </c>
      <c r="C26" s="93" t="str">
        <f>IF(烤漆色號編碼!A24="","-",烤漆色號編碼!A24)</f>
        <v>780-6902</v>
      </c>
      <c r="D26" s="94" t="str">
        <f>IF(烤漆色號編碼!C24="","-",烤漆色號編碼!C24)</f>
        <v>綠色</v>
      </c>
      <c r="E26" s="93" t="str">
        <f>IF(烤漆色號編碼!B24="","-",烤漆色號編碼!B24)</f>
        <v>GN</v>
      </c>
      <c r="F26" s="93">
        <f>SUMIFS(期初庫存!F:F,期初庫存!C:C,C26)-SUMIFS(每日用粉紀錄表!G:G,每日用粉紀錄表!C:C,C26)+SUMIFS(每日用粉紀錄表!I:I,每日用粉紀錄表!C:C,C26)</f>
        <v>16</v>
      </c>
      <c r="G26" s="93">
        <f>SUMIFS(期初庫存!G:G,期初庫存!C:C,C26)+SUMIFS(採購入庫!G:G,採購入庫!D:D,C26)-SUMIFS(每日用粉紀錄表!F:F,每日用粉紀錄表!C:C,C26)</f>
        <v>3</v>
      </c>
      <c r="H26" s="105">
        <v>1</v>
      </c>
      <c r="I26" s="95" t="str">
        <f t="shared" si="0"/>
        <v>否</v>
      </c>
      <c r="J26" s="93">
        <f>($G26*25)+$F26</f>
        <v>91</v>
      </c>
      <c r="K26" s="93">
        <v>91</v>
      </c>
      <c r="L26" s="96" t="str">
        <f>IF(K26&gt;J26,"多粉",IF(K26&lt;J26,"少粉","正確"))</f>
        <v>正確</v>
      </c>
      <c r="M26" s="97">
        <f>K26-J26</f>
        <v>0</v>
      </c>
    </row>
    <row r="27" spans="1:13" x14ac:dyDescent="0.15">
      <c r="A27" s="87"/>
      <c r="B27" s="98">
        <v>24</v>
      </c>
      <c r="C27" s="99" t="str">
        <f>IF(烤漆色號編碼!A25="","-",烤漆色號編碼!A25)</f>
        <v>A-10067</v>
      </c>
      <c r="D27" s="100" t="str">
        <f>IF(烤漆色號編碼!C25="","-",烤漆色號編碼!C25)</f>
        <v>橘色</v>
      </c>
      <c r="E27" s="99" t="str">
        <f>IF(烤漆色號編碼!B25="","-",烤漆色號編碼!B25)</f>
        <v>OE</v>
      </c>
      <c r="F27" s="99">
        <f>SUMIFS(期初庫存!F:F,期初庫存!C:C,C27)-SUMIFS(每日用粉紀錄表!G:G,每日用粉紀錄表!C:C,C27)+SUMIFS(每日用粉紀錄表!I:I,每日用粉紀錄表!C:C,C27)</f>
        <v>46</v>
      </c>
      <c r="G27" s="99">
        <f>SUMIFS(期初庫存!G:G,期初庫存!C:C,C27)+SUMIFS(採購入庫!G:G,採購入庫!D:D,C27)-SUMIFS(每日用粉紀錄表!F:F,每日用粉紀錄表!C:C,C27)</f>
        <v>2</v>
      </c>
      <c r="H27" s="104">
        <v>1</v>
      </c>
      <c r="I27" s="101" t="str">
        <f t="shared" si="0"/>
        <v>否</v>
      </c>
      <c r="J27" s="99">
        <f>($G27*25)+$F27</f>
        <v>96</v>
      </c>
      <c r="K27" s="99">
        <v>98</v>
      </c>
      <c r="L27" s="102" t="str">
        <f>IF(K27&gt;J27,"多粉",IF(K27&lt;J27,"少粉","正確"))</f>
        <v>多粉</v>
      </c>
      <c r="M27" s="103">
        <f>K27-J27</f>
        <v>2</v>
      </c>
    </row>
    <row r="28" spans="1:13" x14ac:dyDescent="0.15">
      <c r="A28" s="87"/>
      <c r="B28" s="92">
        <v>25</v>
      </c>
      <c r="C28" s="93" t="str">
        <f>IF(烤漆色號編碼!A26="","-",烤漆色號編碼!A26)</f>
        <v>4605-702A</v>
      </c>
      <c r="D28" s="94" t="str">
        <f>IF(烤漆色號編碼!C26="","-",烤漆色號編碼!C26)</f>
        <v>鐵灰</v>
      </c>
      <c r="E28" s="93" t="str">
        <f>IF(烤漆色號編碼!B26="","-",烤漆色號編碼!B26)</f>
        <v>IG</v>
      </c>
      <c r="F28" s="93">
        <f>SUMIFS(期初庫存!F:F,期初庫存!C:C,C28)-SUMIFS(每日用粉紀錄表!G:G,每日用粉紀錄表!C:C,C28)+SUMIFS(每日用粉紀錄表!I:I,每日用粉紀錄表!C:C,C28)</f>
        <v>22</v>
      </c>
      <c r="G28" s="93">
        <f>SUMIFS(期初庫存!G:G,期初庫存!C:C,C28)+SUMIFS(採購入庫!G:G,採購入庫!D:D,C28)-SUMIFS(每日用粉紀錄表!F:F,每日用粉紀錄表!C:C,C28)</f>
        <v>0</v>
      </c>
      <c r="H28" s="105">
        <v>1</v>
      </c>
      <c r="I28" s="95" t="str">
        <f t="shared" si="0"/>
        <v>採購</v>
      </c>
      <c r="J28" s="93">
        <f>($G28*25)+$F28</f>
        <v>22</v>
      </c>
      <c r="K28" s="93">
        <v>22</v>
      </c>
      <c r="L28" s="96" t="str">
        <f>IF(K28&gt;J28,"多粉",IF(K28&lt;J28,"少粉","正確"))</f>
        <v>正確</v>
      </c>
      <c r="M28" s="97">
        <f>K28-J28</f>
        <v>0</v>
      </c>
    </row>
    <row r="29" spans="1:13" x14ac:dyDescent="0.15">
      <c r="A29" s="87"/>
      <c r="B29" s="98">
        <v>26</v>
      </c>
      <c r="C29" s="99" t="str">
        <f>IF(烤漆色號編碼!A27="","-",烤漆色號編碼!A27)</f>
        <v>4900-246</v>
      </c>
      <c r="D29" s="100" t="str">
        <f>IF(烤漆色號編碼!C27="","-",烤漆色號編碼!C27)</f>
        <v>鵝黃色</v>
      </c>
      <c r="E29" s="99" t="str">
        <f>IF(烤漆色號編碼!B27="","-",烤漆色號編碼!B27)</f>
        <v>GYW</v>
      </c>
      <c r="F29" s="99">
        <f>SUMIFS(期初庫存!F:F,期初庫存!C:C,C29)-SUMIFS(每日用粉紀錄表!G:G,每日用粉紀錄表!C:C,C29)+SUMIFS(每日用粉紀錄表!I:I,每日用粉紀錄表!C:C,C29)</f>
        <v>22</v>
      </c>
      <c r="G29" s="99">
        <f>SUMIFS(期初庫存!G:G,期初庫存!C:C,C29)+SUMIFS(採購入庫!G:G,採購入庫!D:D,C29)-SUMIFS(每日用粉紀錄表!F:F,每日用粉紀錄表!C:C,C29)</f>
        <v>0</v>
      </c>
      <c r="H29" s="104">
        <v>1</v>
      </c>
      <c r="I29" s="101" t="str">
        <f t="shared" si="0"/>
        <v>採購</v>
      </c>
      <c r="J29" s="99">
        <f>($G29*25)+$F29</f>
        <v>22</v>
      </c>
      <c r="K29" s="99">
        <v>22</v>
      </c>
      <c r="L29" s="102" t="str">
        <f>IF(K29&gt;J29,"多粉",IF(K29&lt;J29,"少粉","正確"))</f>
        <v>正確</v>
      </c>
      <c r="M29" s="103">
        <f>K29-J29</f>
        <v>0</v>
      </c>
    </row>
    <row r="30" spans="1:13" x14ac:dyDescent="0.15">
      <c r="A30" s="87"/>
      <c r="B30" s="92">
        <v>27</v>
      </c>
      <c r="C30" s="93" t="str">
        <f>IF(烤漆色號編碼!A28="","-",烤漆色號編碼!A28)</f>
        <v>4900-149</v>
      </c>
      <c r="D30" s="94" t="str">
        <f>IF(烤漆色號編碼!C28="","-",烤漆色號編碼!C28)</f>
        <v>粉紅色</v>
      </c>
      <c r="E30" s="93" t="str">
        <f>IF(烤漆色號編碼!B28="","-",烤漆色號編碼!B28)</f>
        <v>PK</v>
      </c>
      <c r="F30" s="93">
        <f>SUMIFS(期初庫存!F:F,期初庫存!C:C,C30)-SUMIFS(每日用粉紀錄表!G:G,每日用粉紀錄表!C:C,C30)+SUMIFS(每日用粉紀錄表!I:I,每日用粉紀錄表!C:C,C30)</f>
        <v>32</v>
      </c>
      <c r="G30" s="93">
        <f>SUMIFS(期初庫存!G:G,期初庫存!C:C,C30)+SUMIFS(採購入庫!G:G,採購入庫!D:D,C30)-SUMIFS(每日用粉紀錄表!F:F,每日用粉紀錄表!C:C,C30)</f>
        <v>0</v>
      </c>
      <c r="H30" s="105">
        <v>1</v>
      </c>
      <c r="I30" s="95" t="str">
        <f t="shared" si="0"/>
        <v>採購</v>
      </c>
      <c r="J30" s="93">
        <f>($G30*25)+$F30</f>
        <v>32</v>
      </c>
      <c r="K30" s="93">
        <v>32</v>
      </c>
      <c r="L30" s="96" t="str">
        <f>IF(K30&gt;J30,"多粉",IF(K30&lt;J30,"少粉","正確"))</f>
        <v>正確</v>
      </c>
      <c r="M30" s="97">
        <f>K30-J30</f>
        <v>0</v>
      </c>
    </row>
    <row r="31" spans="1:13" x14ac:dyDescent="0.15">
      <c r="A31" s="87"/>
      <c r="B31" s="98">
        <v>28</v>
      </c>
      <c r="C31" s="99" t="str">
        <f>IF(烤漆色號編碼!A29="","-",烤漆色號編碼!A29)</f>
        <v>K-5510SCB</v>
      </c>
      <c r="D31" s="100" t="str">
        <f>IF(烤漆色號編碼!C29="","-",烤漆色號編碼!C29)</f>
        <v>黃金閃銀</v>
      </c>
      <c r="E31" s="99" t="str">
        <f>IF(烤漆色號編碼!B29="","-",烤漆色號編碼!B29)</f>
        <v>GSAT</v>
      </c>
      <c r="F31" s="99">
        <f>SUMIFS(期初庫存!F:F,期初庫存!C:C,C31)-SUMIFS(每日用粉紀錄表!G:G,每日用粉紀錄表!C:C,C31)+SUMIFS(每日用粉紀錄表!I:I,每日用粉紀錄表!C:C,C31)</f>
        <v>9</v>
      </c>
      <c r="G31" s="99">
        <f>SUMIFS(期初庫存!G:G,期初庫存!C:C,C31)+SUMIFS(採購入庫!G:G,採購入庫!D:D,C31)-SUMIFS(每日用粉紀錄表!F:F,每日用粉紀錄表!C:C,C31)</f>
        <v>0</v>
      </c>
      <c r="H31" s="104">
        <v>1</v>
      </c>
      <c r="I31" s="101" t="str">
        <f t="shared" si="0"/>
        <v>採購</v>
      </c>
      <c r="J31" s="99">
        <f>($G31*25)+$F31</f>
        <v>9</v>
      </c>
      <c r="K31" s="99">
        <v>9</v>
      </c>
      <c r="L31" s="102" t="str">
        <f>IF(K31&gt;J31,"多粉",IF(K31&lt;J31,"少粉","正確"))</f>
        <v>正確</v>
      </c>
      <c r="M31" s="103">
        <f>K31-J31</f>
        <v>0</v>
      </c>
    </row>
    <row r="32" spans="1:13" x14ac:dyDescent="0.15">
      <c r="A32" s="87"/>
      <c r="B32" s="92">
        <v>29</v>
      </c>
      <c r="C32" s="93" t="str">
        <f>IF(烤漆色號編碼!A30="","-",烤漆色號編碼!A30)</f>
        <v>O-5337H</v>
      </c>
      <c r="D32" s="94" t="str">
        <f>IF(烤漆色號編碼!C30="","-",烤漆色號編碼!C30)</f>
        <v>黃錘紋</v>
      </c>
      <c r="E32" s="93" t="str">
        <f>IF(烤漆色號編碼!B30="","-",烤漆色號編碼!B30)</f>
        <v>YWH</v>
      </c>
      <c r="F32" s="93">
        <f>SUMIFS(期初庫存!F:F,期初庫存!C:C,C32)-SUMIFS(每日用粉紀錄表!G:G,每日用粉紀錄表!C:C,C32)+SUMIFS(每日用粉紀錄表!I:I,每日用粉紀錄表!C:C,C32)</f>
        <v>18</v>
      </c>
      <c r="G32" s="93">
        <v>0</v>
      </c>
      <c r="H32" s="105"/>
      <c r="I32" s="95" t="str">
        <f t="shared" si="0"/>
        <v>否</v>
      </c>
      <c r="J32" s="93">
        <f>($G32*25)+$F32</f>
        <v>18</v>
      </c>
      <c r="K32" s="93">
        <v>18</v>
      </c>
      <c r="L32" s="96" t="str">
        <f>IF(K32&gt;J32,"多粉",IF(K32&lt;J32,"少粉","正確"))</f>
        <v>正確</v>
      </c>
      <c r="M32" s="97">
        <f>K32-J32</f>
        <v>0</v>
      </c>
    </row>
    <row r="33" spans="1:13" x14ac:dyDescent="0.15">
      <c r="A33" s="87"/>
      <c r="B33" s="98">
        <v>30</v>
      </c>
      <c r="C33" s="99" t="str">
        <f>IF(烤漆色號編碼!A31="","-",烤漆色號編碼!A31)</f>
        <v>E-BY112</v>
      </c>
      <c r="D33" s="100" t="str">
        <f>IF(烤漆色號編碼!C31="","-",烤漆色號編碼!C31)</f>
        <v>灰色</v>
      </c>
      <c r="E33" s="99" t="str">
        <f>IF(烤漆色號編碼!B31="","-",烤漆色號編碼!B31)</f>
        <v>ATG</v>
      </c>
      <c r="F33" s="99">
        <f>SUMIFS(期初庫存!F:F,期初庫存!C:C,C33)-SUMIFS(每日用粉紀錄表!G:G,每日用粉紀錄表!C:C,C33)+SUMIFS(每日用粉紀錄表!I:I,每日用粉紀錄表!C:C,C33)</f>
        <v>31</v>
      </c>
      <c r="G33" s="99">
        <v>0</v>
      </c>
      <c r="H33" s="104">
        <v>3</v>
      </c>
      <c r="I33" s="101" t="str">
        <f t="shared" si="0"/>
        <v>採購</v>
      </c>
      <c r="J33" s="99">
        <f>($G33*25)+$F33</f>
        <v>31</v>
      </c>
      <c r="K33" s="99">
        <v>31</v>
      </c>
      <c r="L33" s="102" t="str">
        <f>IF(K33&gt;J33,"多粉",IF(K33&lt;J33,"少粉","正確"))</f>
        <v>正確</v>
      </c>
      <c r="M33" s="103">
        <f>K33-J33</f>
        <v>0</v>
      </c>
    </row>
    <row r="34" spans="1:13" x14ac:dyDescent="0.15">
      <c r="A34" s="87"/>
      <c r="B34" s="92">
        <v>31</v>
      </c>
      <c r="C34" s="93" t="str">
        <f>IF(烤漆色號編碼!A32="","-",烤漆色號編碼!A32)</f>
        <v>-</v>
      </c>
      <c r="D34" s="94" t="str">
        <f>IF(烤漆色號編碼!C32="","-",烤漆色號編碼!C32)</f>
        <v>-</v>
      </c>
      <c r="E34" s="93" t="str">
        <f>IF(烤漆色號編碼!B32="","-",烤漆色號編碼!B32)</f>
        <v>-</v>
      </c>
      <c r="F34" s="93">
        <f>SUMIFS(期初庫存!F:F,期初庫存!C:C,C34)-SUMIFS(每日用粉紀錄表!G:G,每日用粉紀錄表!C:C,C34)+SUMIFS(每日用粉紀錄表!I:I,每日用粉紀錄表!C:C,C34)</f>
        <v>0</v>
      </c>
      <c r="G34" s="93">
        <v>0</v>
      </c>
      <c r="H34" s="105"/>
      <c r="I34" s="95" t="str">
        <f t="shared" si="0"/>
        <v>否</v>
      </c>
      <c r="J34" s="93">
        <f>($G34*25)+$F34</f>
        <v>0</v>
      </c>
      <c r="K34" s="97"/>
      <c r="L34" s="96"/>
      <c r="M34" s="97"/>
    </row>
    <row r="35" spans="1:13" x14ac:dyDescent="0.15">
      <c r="A35" s="87"/>
      <c r="B35" s="98">
        <v>32</v>
      </c>
      <c r="C35" s="99" t="str">
        <f>IF(烤漆色號編碼!A33="","-",烤漆色號編碼!A33)</f>
        <v>-</v>
      </c>
      <c r="D35" s="100" t="str">
        <f>IF(烤漆色號編碼!C33="","-",烤漆色號編碼!C33)</f>
        <v>-</v>
      </c>
      <c r="E35" s="99" t="str">
        <f>IF(烤漆色號編碼!B33="","-",烤漆色號編碼!B33)</f>
        <v>-</v>
      </c>
      <c r="F35" s="99">
        <f>SUMIFS(期初庫存!F:F,期初庫存!C:C,C35)-SUMIFS(每日用粉紀錄表!G:G,每日用粉紀錄表!C:C,C35)+SUMIFS(每日用粉紀錄表!I:I,每日用粉紀錄表!C:C,C35)</f>
        <v>0</v>
      </c>
      <c r="G35" s="99">
        <v>0</v>
      </c>
      <c r="H35" s="104"/>
      <c r="I35" s="101" t="str">
        <f t="shared" si="0"/>
        <v>否</v>
      </c>
      <c r="J35" s="99">
        <f>($G35*25)+$F35</f>
        <v>0</v>
      </c>
      <c r="K35" s="103"/>
      <c r="L35" s="102"/>
      <c r="M35" s="103"/>
    </row>
    <row r="36" spans="1:13" x14ac:dyDescent="0.15">
      <c r="A36" s="87"/>
      <c r="B36" s="92">
        <v>33</v>
      </c>
      <c r="C36" s="93" t="s">
        <v>64</v>
      </c>
      <c r="D36" s="94" t="s">
        <v>65</v>
      </c>
      <c r="E36" s="93" t="str">
        <f>IF(烤漆色號編碼!B34="","-",烤漆色號編碼!B34)</f>
        <v>-</v>
      </c>
      <c r="F36" s="93">
        <f>SUMIFS(期初庫存!F:F,期初庫存!C:C,C36)-SUMIFS(每日用粉紀錄表!G:G,每日用粉紀錄表!C:C,C36)+SUMIFS(每日用粉紀錄表!I:I,每日用粉紀錄表!C:C,C36)</f>
        <v>0</v>
      </c>
      <c r="G36" s="93">
        <v>0</v>
      </c>
      <c r="H36" s="105"/>
      <c r="I36" s="95" t="str">
        <f t="shared" ref="I36:I67" si="1">IF(H36&gt;G36,"採購","否")</f>
        <v>否</v>
      </c>
      <c r="J36" s="93">
        <f>($G36*25)+$F36</f>
        <v>0</v>
      </c>
      <c r="K36" s="97"/>
      <c r="L36" s="96"/>
      <c r="M36" s="97"/>
    </row>
    <row r="37" spans="1:13" x14ac:dyDescent="0.15">
      <c r="A37" s="87"/>
      <c r="B37" s="98">
        <v>34</v>
      </c>
      <c r="C37" s="99" t="s">
        <v>64</v>
      </c>
      <c r="D37" s="100" t="s">
        <v>65</v>
      </c>
      <c r="E37" s="99" t="str">
        <f>IF(烤漆色號編碼!B35="","-",烤漆色號編碼!B35)</f>
        <v>-</v>
      </c>
      <c r="F37" s="99">
        <f>SUMIFS(期初庫存!F:F,期初庫存!C:C,C37)-SUMIFS(每日用粉紀錄表!G:G,每日用粉紀錄表!C:C,C37)+SUMIFS(每日用粉紀錄表!I:I,每日用粉紀錄表!C:C,C37)</f>
        <v>0</v>
      </c>
      <c r="G37" s="99">
        <v>0</v>
      </c>
      <c r="H37" s="104"/>
      <c r="I37" s="101" t="str">
        <f t="shared" si="1"/>
        <v>否</v>
      </c>
      <c r="J37" s="99">
        <f>($G37*25)+$F37</f>
        <v>0</v>
      </c>
      <c r="K37" s="103"/>
      <c r="L37" s="102"/>
      <c r="M37" s="103"/>
    </row>
    <row r="38" spans="1:13" x14ac:dyDescent="0.15">
      <c r="A38" s="87"/>
      <c r="B38" s="92">
        <v>35</v>
      </c>
      <c r="C38" s="93" t="s">
        <v>64</v>
      </c>
      <c r="D38" s="94" t="s">
        <v>65</v>
      </c>
      <c r="E38" s="93" t="str">
        <f>IF(烤漆色號編碼!B36="","-",烤漆色號編碼!B36)</f>
        <v>-</v>
      </c>
      <c r="F38" s="93">
        <f>SUMIFS(期初庫存!F:F,期初庫存!C:C,C38)-SUMIFS(每日用粉紀錄表!G:G,每日用粉紀錄表!C:C,C38)+SUMIFS(每日用粉紀錄表!I:I,每日用粉紀錄表!C:C,C38)</f>
        <v>0</v>
      </c>
      <c r="G38" s="93">
        <v>0</v>
      </c>
      <c r="H38" s="105"/>
      <c r="I38" s="95" t="str">
        <f t="shared" si="1"/>
        <v>否</v>
      </c>
      <c r="J38" s="93">
        <f>($G38*25)+$F38</f>
        <v>0</v>
      </c>
      <c r="K38" s="97"/>
      <c r="L38" s="96"/>
      <c r="M38" s="97"/>
    </row>
    <row r="39" spans="1:13" x14ac:dyDescent="0.15">
      <c r="A39" s="87"/>
      <c r="B39" s="98">
        <v>36</v>
      </c>
      <c r="C39" s="99" t="s">
        <v>64</v>
      </c>
      <c r="D39" s="100" t="s">
        <v>65</v>
      </c>
      <c r="E39" s="99" t="str">
        <f>IF(烤漆色號編碼!B37="","-",烤漆色號編碼!B37)</f>
        <v>-</v>
      </c>
      <c r="F39" s="99">
        <f>SUMIFS(期初庫存!F:F,期初庫存!C:C,C39)-SUMIFS(每日用粉紀錄表!G:G,每日用粉紀錄表!C:C,C39)+SUMIFS(每日用粉紀錄表!I:I,每日用粉紀錄表!C:C,C39)</f>
        <v>0</v>
      </c>
      <c r="G39" s="99">
        <v>0</v>
      </c>
      <c r="H39" s="104"/>
      <c r="I39" s="101" t="str">
        <f t="shared" si="1"/>
        <v>否</v>
      </c>
      <c r="J39" s="99">
        <f>($G39*25)+$F39</f>
        <v>0</v>
      </c>
      <c r="K39" s="103"/>
      <c r="L39" s="102"/>
      <c r="M39" s="103"/>
    </row>
    <row r="40" spans="1:13" x14ac:dyDescent="0.15">
      <c r="A40" s="87"/>
      <c r="B40" s="92">
        <v>37</v>
      </c>
      <c r="C40" s="93" t="s">
        <v>64</v>
      </c>
      <c r="D40" s="94" t="s">
        <v>65</v>
      </c>
      <c r="E40" s="93" t="str">
        <f>IF(烤漆色號編碼!B38="","-",烤漆色號編碼!B38)</f>
        <v>-</v>
      </c>
      <c r="F40" s="93">
        <f>SUMIFS(期初庫存!F:F,期初庫存!C:C,C40)-SUMIFS(每日用粉紀錄表!G:G,每日用粉紀錄表!C:C,C40)+SUMIFS(每日用粉紀錄表!I:I,每日用粉紀錄表!C:C,C40)</f>
        <v>0</v>
      </c>
      <c r="G40" s="93">
        <v>0</v>
      </c>
      <c r="H40" s="105"/>
      <c r="I40" s="95" t="str">
        <f t="shared" si="1"/>
        <v>否</v>
      </c>
      <c r="J40" s="93">
        <f>($G40*25)+$F40</f>
        <v>0</v>
      </c>
      <c r="K40" s="97"/>
      <c r="L40" s="96"/>
      <c r="M40" s="97"/>
    </row>
    <row r="41" spans="1:13" x14ac:dyDescent="0.15">
      <c r="A41" s="87"/>
      <c r="B41" s="98">
        <v>38</v>
      </c>
      <c r="C41" s="99" t="s">
        <v>64</v>
      </c>
      <c r="D41" s="100" t="s">
        <v>65</v>
      </c>
      <c r="E41" s="99" t="str">
        <f>IF(烤漆色號編碼!B39="","-",烤漆色號編碼!B39)</f>
        <v>-</v>
      </c>
      <c r="F41" s="99">
        <f>SUMIFS(期初庫存!F:F,期初庫存!C:C,C41)-SUMIFS(每日用粉紀錄表!G:G,每日用粉紀錄表!C:C,C41)+SUMIFS(每日用粉紀錄表!I:I,每日用粉紀錄表!C:C,C41)</f>
        <v>0</v>
      </c>
      <c r="G41" s="99">
        <v>0</v>
      </c>
      <c r="H41" s="104"/>
      <c r="I41" s="101" t="str">
        <f t="shared" si="1"/>
        <v>否</v>
      </c>
      <c r="J41" s="99">
        <f>($G41*25)+$F41</f>
        <v>0</v>
      </c>
      <c r="K41" s="103"/>
      <c r="L41" s="102"/>
      <c r="M41" s="103"/>
    </row>
    <row r="42" spans="1:13" x14ac:dyDescent="0.15">
      <c r="A42" s="87"/>
      <c r="B42" s="92">
        <v>39</v>
      </c>
      <c r="C42" s="93" t="s">
        <v>64</v>
      </c>
      <c r="D42" s="94" t="s">
        <v>65</v>
      </c>
      <c r="E42" s="93" t="str">
        <f>IF(烤漆色號編碼!B40="","-",烤漆色號編碼!B40)</f>
        <v>-</v>
      </c>
      <c r="F42" s="93">
        <f>SUMIFS(期初庫存!F:F,期初庫存!C:C,C42)-SUMIFS(每日用粉紀錄表!G:G,每日用粉紀錄表!C:C,C42)+SUMIFS(每日用粉紀錄表!I:I,每日用粉紀錄表!C:C,C42)</f>
        <v>0</v>
      </c>
      <c r="G42" s="93">
        <v>0</v>
      </c>
      <c r="H42" s="105"/>
      <c r="I42" s="95" t="str">
        <f t="shared" si="1"/>
        <v>否</v>
      </c>
      <c r="J42" s="93">
        <f>($G42*25)+$F42</f>
        <v>0</v>
      </c>
      <c r="K42" s="97"/>
      <c r="L42" s="96"/>
      <c r="M42" s="97"/>
    </row>
    <row r="43" spans="1:13" x14ac:dyDescent="0.15">
      <c r="A43" s="87"/>
      <c r="B43" s="98">
        <v>40</v>
      </c>
      <c r="C43" s="99" t="s">
        <v>64</v>
      </c>
      <c r="D43" s="100" t="s">
        <v>65</v>
      </c>
      <c r="E43" s="99" t="str">
        <f>IF(烤漆色號編碼!B41="","-",烤漆色號編碼!B41)</f>
        <v>-</v>
      </c>
      <c r="F43" s="99">
        <f>SUMIFS(期初庫存!F:F,期初庫存!C:C,C43)-SUMIFS(每日用粉紀錄表!G:G,每日用粉紀錄表!C:C,C43)+SUMIFS(每日用粉紀錄表!I:I,每日用粉紀錄表!C:C,C43)</f>
        <v>0</v>
      </c>
      <c r="G43" s="99">
        <v>0</v>
      </c>
      <c r="H43" s="104"/>
      <c r="I43" s="101" t="str">
        <f t="shared" si="1"/>
        <v>否</v>
      </c>
      <c r="J43" s="99">
        <f>($G43*25)+$F43</f>
        <v>0</v>
      </c>
      <c r="K43" s="103"/>
      <c r="L43" s="102"/>
      <c r="M43" s="103"/>
    </row>
    <row r="44" spans="1:13" x14ac:dyDescent="0.15">
      <c r="A44" s="87"/>
      <c r="B44" s="92">
        <v>41</v>
      </c>
      <c r="C44" s="93" t="s">
        <v>64</v>
      </c>
      <c r="D44" s="94" t="s">
        <v>65</v>
      </c>
      <c r="E44" s="93" t="str">
        <f>IF(烤漆色號編碼!B42="","-",烤漆色號編碼!B42)</f>
        <v>-</v>
      </c>
      <c r="F44" s="93">
        <f>SUMIFS(期初庫存!F:F,期初庫存!C:C,C44)-SUMIFS(每日用粉紀錄表!G:G,每日用粉紀錄表!C:C,C44)+SUMIFS(每日用粉紀錄表!I:I,每日用粉紀錄表!C:C,C44)</f>
        <v>0</v>
      </c>
      <c r="G44" s="93">
        <v>0</v>
      </c>
      <c r="H44" s="105"/>
      <c r="I44" s="95" t="str">
        <f t="shared" si="1"/>
        <v>否</v>
      </c>
      <c r="J44" s="93">
        <f>($G44*25)+$F44</f>
        <v>0</v>
      </c>
      <c r="K44" s="97"/>
      <c r="L44" s="96"/>
      <c r="M44" s="97"/>
    </row>
    <row r="45" spans="1:13" x14ac:dyDescent="0.15">
      <c r="A45" s="87"/>
      <c r="B45" s="98">
        <v>42</v>
      </c>
      <c r="C45" s="99" t="s">
        <v>64</v>
      </c>
      <c r="D45" s="100" t="s">
        <v>65</v>
      </c>
      <c r="E45" s="99" t="str">
        <f>IF(烤漆色號編碼!B43="","-",烤漆色號編碼!B43)</f>
        <v>-</v>
      </c>
      <c r="F45" s="99">
        <f>SUMIFS(期初庫存!F:F,期初庫存!C:C,C45)-SUMIFS(每日用粉紀錄表!G:G,每日用粉紀錄表!C:C,C45)+SUMIFS(每日用粉紀錄表!I:I,每日用粉紀錄表!C:C,C45)</f>
        <v>0</v>
      </c>
      <c r="G45" s="99">
        <v>0</v>
      </c>
      <c r="H45" s="104"/>
      <c r="I45" s="101" t="str">
        <f t="shared" si="1"/>
        <v>否</v>
      </c>
      <c r="J45" s="99">
        <f>($G45*25)+$F45</f>
        <v>0</v>
      </c>
      <c r="K45" s="103"/>
      <c r="L45" s="102"/>
      <c r="M45" s="103"/>
    </row>
    <row r="46" spans="1:13" x14ac:dyDescent="0.15">
      <c r="A46" s="87"/>
      <c r="B46" s="92">
        <v>43</v>
      </c>
      <c r="C46" s="93" t="s">
        <v>64</v>
      </c>
      <c r="D46" s="94" t="s">
        <v>65</v>
      </c>
      <c r="E46" s="93" t="str">
        <f>IF(烤漆色號編碼!B44="","-",烤漆色號編碼!B44)</f>
        <v>-</v>
      </c>
      <c r="F46" s="93">
        <f>SUMIFS(期初庫存!F:F,期初庫存!C:C,C46)-SUMIFS(每日用粉紀錄表!G:G,每日用粉紀錄表!C:C,C46)+SUMIFS(每日用粉紀錄表!I:I,每日用粉紀錄表!C:C,C46)</f>
        <v>0</v>
      </c>
      <c r="G46" s="93">
        <v>0</v>
      </c>
      <c r="H46" s="105"/>
      <c r="I46" s="95" t="str">
        <f t="shared" si="1"/>
        <v>否</v>
      </c>
      <c r="J46" s="93">
        <f>($G46*25)+$F46</f>
        <v>0</v>
      </c>
      <c r="K46" s="97"/>
      <c r="L46" s="96"/>
      <c r="M46" s="97"/>
    </row>
    <row r="47" spans="1:13" x14ac:dyDescent="0.15">
      <c r="A47" s="87"/>
      <c r="B47" s="98">
        <v>44</v>
      </c>
      <c r="C47" s="99" t="s">
        <v>64</v>
      </c>
      <c r="D47" s="100" t="s">
        <v>65</v>
      </c>
      <c r="E47" s="99" t="s">
        <v>64</v>
      </c>
      <c r="F47" s="99">
        <f>SUMIFS(期初庫存!F:F,期初庫存!C:C,C47)-SUMIFS(每日用粉紀錄表!G:G,每日用粉紀錄表!C:C,C47)+SUMIFS(每日用粉紀錄表!I:I,每日用粉紀錄表!C:C,C47)</f>
        <v>0</v>
      </c>
      <c r="G47" s="99">
        <v>0</v>
      </c>
      <c r="H47" s="104"/>
      <c r="I47" s="101" t="str">
        <f t="shared" si="1"/>
        <v>否</v>
      </c>
      <c r="J47" s="99">
        <f>($G47*25)+$F47</f>
        <v>0</v>
      </c>
      <c r="K47" s="103"/>
      <c r="L47" s="102"/>
      <c r="M47" s="103"/>
    </row>
    <row r="48" spans="1:13" x14ac:dyDescent="0.15">
      <c r="A48" s="87"/>
      <c r="B48" s="92">
        <v>45</v>
      </c>
      <c r="C48" s="93" t="s">
        <v>64</v>
      </c>
      <c r="D48" s="94" t="s">
        <v>65</v>
      </c>
      <c r="E48" s="93" t="s">
        <v>64</v>
      </c>
      <c r="F48" s="93">
        <f>SUMIFS(期初庫存!F:F,期初庫存!C:C,C48)-SUMIFS(每日用粉紀錄表!G:G,每日用粉紀錄表!C:C,C48)+SUMIFS(每日用粉紀錄表!I:I,每日用粉紀錄表!C:C,C48)</f>
        <v>0</v>
      </c>
      <c r="G48" s="93">
        <v>0</v>
      </c>
      <c r="H48" s="105"/>
      <c r="I48" s="95" t="str">
        <f t="shared" si="1"/>
        <v>否</v>
      </c>
      <c r="J48" s="93">
        <f>($G48*25)+$F48</f>
        <v>0</v>
      </c>
      <c r="K48" s="97"/>
      <c r="L48" s="96"/>
      <c r="M48" s="97"/>
    </row>
    <row r="49" spans="1:13" x14ac:dyDescent="0.15">
      <c r="A49" s="87"/>
      <c r="B49" s="98">
        <v>46</v>
      </c>
      <c r="C49" s="99" t="s">
        <v>64</v>
      </c>
      <c r="D49" s="100" t="s">
        <v>65</v>
      </c>
      <c r="E49" s="99" t="s">
        <v>64</v>
      </c>
      <c r="F49" s="99">
        <f>SUMIFS(期初庫存!F:F,期初庫存!C:C,C49)-SUMIFS(每日用粉紀錄表!G:G,每日用粉紀錄表!C:C,C49)+SUMIFS(每日用粉紀錄表!I:I,每日用粉紀錄表!C:C,C49)</f>
        <v>0</v>
      </c>
      <c r="G49" s="99">
        <v>0</v>
      </c>
      <c r="H49" s="104"/>
      <c r="I49" s="101" t="str">
        <f t="shared" si="1"/>
        <v>否</v>
      </c>
      <c r="J49" s="99">
        <f>($G49*25)+$F49</f>
        <v>0</v>
      </c>
      <c r="K49" s="103"/>
      <c r="L49" s="102"/>
      <c r="M49" s="103"/>
    </row>
    <row r="50" spans="1:13" x14ac:dyDescent="0.15">
      <c r="A50" s="87"/>
      <c r="B50" s="92">
        <v>47</v>
      </c>
      <c r="C50" s="93" t="s">
        <v>64</v>
      </c>
      <c r="D50" s="94" t="s">
        <v>65</v>
      </c>
      <c r="E50" s="93" t="s">
        <v>64</v>
      </c>
      <c r="F50" s="93">
        <f>SUMIFS(期初庫存!F:F,期初庫存!C:C,C50)-SUMIFS(每日用粉紀錄表!G:G,每日用粉紀錄表!C:C,C50)+SUMIFS(每日用粉紀錄表!I:I,每日用粉紀錄表!C:C,C50)</f>
        <v>0</v>
      </c>
      <c r="G50" s="93">
        <v>0</v>
      </c>
      <c r="H50" s="105"/>
      <c r="I50" s="95" t="str">
        <f t="shared" si="1"/>
        <v>否</v>
      </c>
      <c r="J50" s="93">
        <f>($G50*25)+$F50</f>
        <v>0</v>
      </c>
      <c r="K50" s="97"/>
      <c r="L50" s="96"/>
      <c r="M50" s="97"/>
    </row>
    <row r="51" spans="1:13" x14ac:dyDescent="0.15">
      <c r="A51" s="87"/>
      <c r="B51" s="98">
        <v>48</v>
      </c>
      <c r="C51" s="99" t="s">
        <v>64</v>
      </c>
      <c r="D51" s="100" t="s">
        <v>65</v>
      </c>
      <c r="E51" s="99" t="s">
        <v>64</v>
      </c>
      <c r="F51" s="99">
        <f>SUMIFS(期初庫存!F:F,期初庫存!C:C,C51)-SUMIFS(每日用粉紀錄表!G:G,每日用粉紀錄表!C:C,C51)+SUMIFS(每日用粉紀錄表!I:I,每日用粉紀錄表!C:C,C51)</f>
        <v>0</v>
      </c>
      <c r="G51" s="99">
        <v>0</v>
      </c>
      <c r="H51" s="104"/>
      <c r="I51" s="101" t="str">
        <f t="shared" si="1"/>
        <v>否</v>
      </c>
      <c r="J51" s="99">
        <f>($G51*25)+$F51</f>
        <v>0</v>
      </c>
      <c r="K51" s="103"/>
      <c r="L51" s="102"/>
      <c r="M51" s="103"/>
    </row>
    <row r="52" spans="1:13" x14ac:dyDescent="0.15">
      <c r="A52" s="87"/>
      <c r="B52" s="92">
        <v>49</v>
      </c>
      <c r="C52" s="93" t="s">
        <v>64</v>
      </c>
      <c r="D52" s="94" t="s">
        <v>65</v>
      </c>
      <c r="E52" s="93" t="s">
        <v>64</v>
      </c>
      <c r="F52" s="93">
        <f>SUMIFS(期初庫存!F:F,期初庫存!C:C,C52)-SUMIFS(每日用粉紀錄表!G:G,每日用粉紀錄表!C:C,C52)+SUMIFS(每日用粉紀錄表!I:I,每日用粉紀錄表!C:C,C52)</f>
        <v>0</v>
      </c>
      <c r="G52" s="93">
        <v>0</v>
      </c>
      <c r="H52" s="105"/>
      <c r="I52" s="95" t="str">
        <f t="shared" si="1"/>
        <v>否</v>
      </c>
      <c r="J52" s="93">
        <f>($G52*25)+$F52</f>
        <v>0</v>
      </c>
      <c r="K52" s="97"/>
      <c r="L52" s="96"/>
      <c r="M52" s="97"/>
    </row>
    <row r="53" spans="1:13" x14ac:dyDescent="0.15">
      <c r="A53" s="87"/>
      <c r="B53" s="98">
        <v>50</v>
      </c>
      <c r="C53" s="99" t="s">
        <v>64</v>
      </c>
      <c r="D53" s="100" t="s">
        <v>65</v>
      </c>
      <c r="E53" s="99" t="s">
        <v>64</v>
      </c>
      <c r="F53" s="99">
        <f>SUMIFS(期初庫存!F:F,期初庫存!C:C,C53)-SUMIFS(每日用粉紀錄表!G:G,每日用粉紀錄表!C:C,C53)+SUMIFS(每日用粉紀錄表!I:I,每日用粉紀錄表!C:C,C53)</f>
        <v>0</v>
      </c>
      <c r="G53" s="99">
        <v>0</v>
      </c>
      <c r="H53" s="104"/>
      <c r="I53" s="101" t="str">
        <f t="shared" si="1"/>
        <v>否</v>
      </c>
      <c r="J53" s="99">
        <f>($G53*25)+$F53</f>
        <v>0</v>
      </c>
      <c r="K53" s="103"/>
      <c r="L53" s="102"/>
      <c r="M53" s="103"/>
    </row>
    <row r="54" spans="1:13" x14ac:dyDescent="0.15">
      <c r="A54" s="87"/>
      <c r="B54" s="92">
        <v>51</v>
      </c>
      <c r="C54" s="93" t="s">
        <v>64</v>
      </c>
      <c r="D54" s="94" t="s">
        <v>65</v>
      </c>
      <c r="E54" s="93" t="s">
        <v>64</v>
      </c>
      <c r="F54" s="93">
        <f>SUMIFS(期初庫存!F:F,期初庫存!C:C,C54)-SUMIFS(每日用粉紀錄表!G:G,每日用粉紀錄表!C:C,C54)+SUMIFS(每日用粉紀錄表!I:I,每日用粉紀錄表!C:C,C54)</f>
        <v>0</v>
      </c>
      <c r="G54" s="93">
        <v>0</v>
      </c>
      <c r="H54" s="105"/>
      <c r="I54" s="95" t="str">
        <f t="shared" si="1"/>
        <v>否</v>
      </c>
      <c r="J54" s="93">
        <f>($G54*25)+$F54</f>
        <v>0</v>
      </c>
      <c r="K54" s="97"/>
      <c r="L54" s="96"/>
      <c r="M54" s="97"/>
    </row>
    <row r="55" spans="1:13" x14ac:dyDescent="0.15">
      <c r="A55" s="87"/>
      <c r="B55" s="98">
        <v>52</v>
      </c>
      <c r="C55" s="99" t="s">
        <v>64</v>
      </c>
      <c r="D55" s="100" t="s">
        <v>65</v>
      </c>
      <c r="E55" s="99" t="s">
        <v>64</v>
      </c>
      <c r="F55" s="99">
        <f>SUMIFS(期初庫存!F:F,期初庫存!C:C,C55)-SUMIFS(每日用粉紀錄表!G:G,每日用粉紀錄表!C:C,C55)+SUMIFS(每日用粉紀錄表!I:I,每日用粉紀錄表!C:C,C55)</f>
        <v>0</v>
      </c>
      <c r="G55" s="99">
        <v>0</v>
      </c>
      <c r="H55" s="104"/>
      <c r="I55" s="101" t="str">
        <f t="shared" si="1"/>
        <v>否</v>
      </c>
      <c r="J55" s="99">
        <f>($G55*25)+$F55</f>
        <v>0</v>
      </c>
      <c r="K55" s="103"/>
      <c r="L55" s="102"/>
      <c r="M55" s="103"/>
    </row>
    <row r="56" spans="1:13" x14ac:dyDescent="0.15">
      <c r="A56" s="87"/>
      <c r="B56" s="92">
        <v>53</v>
      </c>
      <c r="C56" s="93" t="s">
        <v>64</v>
      </c>
      <c r="D56" s="94" t="s">
        <v>64</v>
      </c>
      <c r="E56" s="93" t="s">
        <v>64</v>
      </c>
      <c r="F56" s="93">
        <f>SUMIFS(期初庫存!F:F,期初庫存!C:C,C56)-SUMIFS(每日用粉紀錄表!G:G,每日用粉紀錄表!C:C,C56)+SUMIFS(每日用粉紀錄表!I:I,每日用粉紀錄表!C:C,C56)</f>
        <v>0</v>
      </c>
      <c r="G56" s="93">
        <v>0</v>
      </c>
      <c r="H56" s="105"/>
      <c r="I56" s="95" t="str">
        <f t="shared" si="1"/>
        <v>否</v>
      </c>
      <c r="J56" s="93">
        <f>($G56*25)+$F56</f>
        <v>0</v>
      </c>
      <c r="K56" s="97"/>
      <c r="L56" s="96"/>
      <c r="M56" s="97"/>
    </row>
    <row r="57" spans="1:13" x14ac:dyDescent="0.15">
      <c r="A57" s="87"/>
      <c r="B57" s="98">
        <v>54</v>
      </c>
      <c r="C57" s="99" t="s">
        <v>64</v>
      </c>
      <c r="D57" s="100" t="s">
        <v>64</v>
      </c>
      <c r="E57" s="99" t="s">
        <v>64</v>
      </c>
      <c r="F57" s="99">
        <f>SUMIFS(期初庫存!F:F,期初庫存!C:C,C57)-SUMIFS(每日用粉紀錄表!G:G,每日用粉紀錄表!C:C,C57)+SUMIFS(每日用粉紀錄表!I:I,每日用粉紀錄表!C:C,C57)</f>
        <v>0</v>
      </c>
      <c r="G57" s="99">
        <v>0</v>
      </c>
      <c r="H57" s="104"/>
      <c r="I57" s="101" t="str">
        <f t="shared" si="1"/>
        <v>否</v>
      </c>
      <c r="J57" s="99">
        <f>($G57*25)+$F57</f>
        <v>0</v>
      </c>
      <c r="K57" s="103"/>
      <c r="L57" s="102"/>
      <c r="M57" s="103"/>
    </row>
    <row r="58" spans="1:13" x14ac:dyDescent="0.15">
      <c r="A58" s="87"/>
      <c r="B58" s="92">
        <v>55</v>
      </c>
      <c r="C58" s="93" t="s">
        <v>64</v>
      </c>
      <c r="D58" s="94" t="s">
        <v>64</v>
      </c>
      <c r="E58" s="93" t="s">
        <v>64</v>
      </c>
      <c r="F58" s="93">
        <f>SUMIFS(期初庫存!F:F,期初庫存!C:C,C58)-SUMIFS(每日用粉紀錄表!G:G,每日用粉紀錄表!C:C,C58)+SUMIFS(每日用粉紀錄表!I:I,每日用粉紀錄表!C:C,C58)</f>
        <v>0</v>
      </c>
      <c r="G58" s="93">
        <v>0</v>
      </c>
      <c r="H58" s="105"/>
      <c r="I58" s="95" t="str">
        <f t="shared" si="1"/>
        <v>否</v>
      </c>
      <c r="J58" s="93">
        <f>($G58*25)+$F58</f>
        <v>0</v>
      </c>
      <c r="K58" s="97"/>
      <c r="L58" s="96"/>
      <c r="M58" s="97"/>
    </row>
    <row r="59" spans="1:13" x14ac:dyDescent="0.15">
      <c r="A59" s="87"/>
      <c r="B59" s="98">
        <v>56</v>
      </c>
      <c r="C59" s="99" t="s">
        <v>64</v>
      </c>
      <c r="D59" s="100" t="s">
        <v>64</v>
      </c>
      <c r="E59" s="99" t="s">
        <v>64</v>
      </c>
      <c r="F59" s="99">
        <f>SUMIFS(期初庫存!F:F,期初庫存!C:C,C59)-SUMIFS(每日用粉紀錄表!G:G,每日用粉紀錄表!C:C,C59)+SUMIFS(每日用粉紀錄表!I:I,每日用粉紀錄表!C:C,C59)</f>
        <v>0</v>
      </c>
      <c r="G59" s="99">
        <v>0</v>
      </c>
      <c r="H59" s="104"/>
      <c r="I59" s="101" t="str">
        <f t="shared" si="1"/>
        <v>否</v>
      </c>
      <c r="J59" s="99">
        <f>($G59*25)+$F59</f>
        <v>0</v>
      </c>
      <c r="K59" s="103"/>
      <c r="L59" s="102"/>
      <c r="M59" s="103"/>
    </row>
    <row r="60" spans="1:13" x14ac:dyDescent="0.15">
      <c r="A60" s="87"/>
      <c r="B60" s="92">
        <v>57</v>
      </c>
      <c r="C60" s="93" t="s">
        <v>64</v>
      </c>
      <c r="D60" s="94" t="s">
        <v>64</v>
      </c>
      <c r="E60" s="93" t="s">
        <v>64</v>
      </c>
      <c r="F60" s="93">
        <f>SUMIFS(期初庫存!F:F,期初庫存!C:C,C60)-SUMIFS(每日用粉紀錄表!G:G,每日用粉紀錄表!C:C,C60)+SUMIFS(每日用粉紀錄表!I:I,每日用粉紀錄表!C:C,C60)</f>
        <v>0</v>
      </c>
      <c r="G60" s="93">
        <v>0</v>
      </c>
      <c r="H60" s="105"/>
      <c r="I60" s="95" t="str">
        <f t="shared" si="1"/>
        <v>否</v>
      </c>
      <c r="J60" s="93">
        <f>($G60*25)+$F60</f>
        <v>0</v>
      </c>
      <c r="K60" s="97"/>
      <c r="L60" s="96"/>
      <c r="M60" s="97"/>
    </row>
    <row r="61" spans="1:13" x14ac:dyDescent="0.15">
      <c r="A61" s="87"/>
      <c r="B61" s="98">
        <v>58</v>
      </c>
      <c r="C61" s="99" t="s">
        <v>64</v>
      </c>
      <c r="D61" s="100" t="s">
        <v>64</v>
      </c>
      <c r="E61" s="99" t="s">
        <v>64</v>
      </c>
      <c r="F61" s="99">
        <f>SUMIFS(期初庫存!F:F,期初庫存!C:C,C61)-SUMIFS(每日用粉紀錄表!G:G,每日用粉紀錄表!C:C,C61)+SUMIFS(每日用粉紀錄表!I:I,每日用粉紀錄表!C:C,C61)</f>
        <v>0</v>
      </c>
      <c r="G61" s="99">
        <v>0</v>
      </c>
      <c r="H61" s="104"/>
      <c r="I61" s="101" t="str">
        <f t="shared" si="1"/>
        <v>否</v>
      </c>
      <c r="J61" s="99">
        <f>($G61*25)+$F61</f>
        <v>0</v>
      </c>
      <c r="K61" s="103"/>
      <c r="L61" s="102"/>
      <c r="M61" s="103"/>
    </row>
    <row r="62" spans="1:13" x14ac:dyDescent="0.15">
      <c r="A62" s="87"/>
      <c r="B62" s="92">
        <v>59</v>
      </c>
      <c r="C62" s="93" t="s">
        <v>64</v>
      </c>
      <c r="D62" s="94" t="s">
        <v>64</v>
      </c>
      <c r="E62" s="93" t="s">
        <v>64</v>
      </c>
      <c r="F62" s="93">
        <f>SUMIFS(期初庫存!F:F,期初庫存!C:C,C62)-SUMIFS(每日用粉紀錄表!G:G,每日用粉紀錄表!C:C,C62)+SUMIFS(每日用粉紀錄表!I:I,每日用粉紀錄表!C:C,C62)</f>
        <v>0</v>
      </c>
      <c r="G62" s="93">
        <v>0</v>
      </c>
      <c r="H62" s="105"/>
      <c r="I62" s="95" t="str">
        <f t="shared" si="1"/>
        <v>否</v>
      </c>
      <c r="J62" s="93">
        <f>($G62*25)+$F62</f>
        <v>0</v>
      </c>
      <c r="K62" s="97"/>
      <c r="L62" s="96"/>
      <c r="M62" s="97"/>
    </row>
    <row r="63" spans="1:13" x14ac:dyDescent="0.15">
      <c r="A63" s="87"/>
      <c r="B63" s="98">
        <v>60</v>
      </c>
      <c r="C63" s="99" t="s">
        <v>64</v>
      </c>
      <c r="D63" s="100" t="s">
        <v>64</v>
      </c>
      <c r="E63" s="99" t="s">
        <v>64</v>
      </c>
      <c r="F63" s="99">
        <f>SUMIFS(期初庫存!F:F,期初庫存!C:C,C63)-SUMIFS(每日用粉紀錄表!G:G,每日用粉紀錄表!C:C,C63)+SUMIFS(每日用粉紀錄表!I:I,每日用粉紀錄表!C:C,C63)</f>
        <v>0</v>
      </c>
      <c r="G63" s="99">
        <v>0</v>
      </c>
      <c r="H63" s="104"/>
      <c r="I63" s="101" t="str">
        <f t="shared" si="1"/>
        <v>否</v>
      </c>
      <c r="J63" s="99">
        <f>($G63*25)+$F63</f>
        <v>0</v>
      </c>
      <c r="K63" s="103"/>
      <c r="L63" s="102"/>
      <c r="M63" s="103"/>
    </row>
    <row r="64" spans="1:13" x14ac:dyDescent="0.15">
      <c r="A64" s="87"/>
      <c r="B64" s="92">
        <v>61</v>
      </c>
      <c r="C64" s="93" t="s">
        <v>64</v>
      </c>
      <c r="D64" s="94" t="s">
        <v>64</v>
      </c>
      <c r="E64" s="93" t="s">
        <v>64</v>
      </c>
      <c r="F64" s="93">
        <f>SUMIFS(期初庫存!F:F,期初庫存!C:C,C64)-SUMIFS(每日用粉紀錄表!G:G,每日用粉紀錄表!C:C,C64)+SUMIFS(每日用粉紀錄表!I:I,每日用粉紀錄表!C:C,C64)</f>
        <v>0</v>
      </c>
      <c r="G64" s="93">
        <v>0</v>
      </c>
      <c r="H64" s="105"/>
      <c r="I64" s="95" t="str">
        <f t="shared" si="1"/>
        <v>否</v>
      </c>
      <c r="J64" s="93">
        <f>($G64*25)+$F64</f>
        <v>0</v>
      </c>
      <c r="K64" s="97"/>
      <c r="L64" s="96"/>
      <c r="M64" s="97"/>
    </row>
    <row r="65" spans="1:13" x14ac:dyDescent="0.15">
      <c r="A65" s="87"/>
      <c r="B65" s="98">
        <v>62</v>
      </c>
      <c r="C65" s="99" t="s">
        <v>64</v>
      </c>
      <c r="D65" s="100" t="s">
        <v>64</v>
      </c>
      <c r="E65" s="99" t="s">
        <v>64</v>
      </c>
      <c r="F65" s="99">
        <f>SUMIFS(期初庫存!F:F,期初庫存!C:C,C65)-SUMIFS(每日用粉紀錄表!G:G,每日用粉紀錄表!C:C,C65)+SUMIFS(每日用粉紀錄表!I:I,每日用粉紀錄表!C:C,C65)</f>
        <v>0</v>
      </c>
      <c r="G65" s="99">
        <v>0</v>
      </c>
      <c r="H65" s="104"/>
      <c r="I65" s="101" t="str">
        <f t="shared" si="1"/>
        <v>否</v>
      </c>
      <c r="J65" s="99">
        <f>($G65*25)+$F65</f>
        <v>0</v>
      </c>
      <c r="K65" s="103"/>
      <c r="L65" s="102"/>
      <c r="M65" s="103"/>
    </row>
    <row r="66" spans="1:13" x14ac:dyDescent="0.15">
      <c r="A66" s="87"/>
      <c r="B66" s="92">
        <v>63</v>
      </c>
      <c r="C66" s="93" t="s">
        <v>64</v>
      </c>
      <c r="D66" s="94" t="s">
        <v>64</v>
      </c>
      <c r="E66" s="93" t="s">
        <v>64</v>
      </c>
      <c r="F66" s="93">
        <f>SUMIFS(期初庫存!F:F,期初庫存!C:C,C66)-SUMIFS(每日用粉紀錄表!G:G,每日用粉紀錄表!C:C,C66)+SUMIFS(每日用粉紀錄表!I:I,每日用粉紀錄表!C:C,C66)</f>
        <v>0</v>
      </c>
      <c r="G66" s="93">
        <v>0</v>
      </c>
      <c r="H66" s="105"/>
      <c r="I66" s="95" t="str">
        <f t="shared" si="1"/>
        <v>否</v>
      </c>
      <c r="J66" s="93">
        <f>($G66*25)+$F66</f>
        <v>0</v>
      </c>
      <c r="K66" s="97"/>
      <c r="L66" s="96"/>
      <c r="M66" s="97"/>
    </row>
    <row r="67" spans="1:13" x14ac:dyDescent="0.15">
      <c r="A67" s="87"/>
      <c r="B67" s="98">
        <v>64</v>
      </c>
      <c r="C67" s="99" t="s">
        <v>64</v>
      </c>
      <c r="D67" s="100" t="s">
        <v>64</v>
      </c>
      <c r="E67" s="99" t="s">
        <v>64</v>
      </c>
      <c r="F67" s="99">
        <f>SUMIFS(期初庫存!F:F,期初庫存!C:C,C67)-SUMIFS(每日用粉紀錄表!G:G,每日用粉紀錄表!C:C,C67)+SUMIFS(每日用粉紀錄表!I:I,每日用粉紀錄表!C:C,C67)</f>
        <v>0</v>
      </c>
      <c r="G67" s="99">
        <v>0</v>
      </c>
      <c r="H67" s="104"/>
      <c r="I67" s="101" t="str">
        <f t="shared" si="1"/>
        <v>否</v>
      </c>
      <c r="J67" s="99">
        <f>($G67*25)+$F67</f>
        <v>0</v>
      </c>
      <c r="K67" s="103"/>
      <c r="L67" s="102"/>
      <c r="M67" s="103"/>
    </row>
    <row r="68" spans="1:13" x14ac:dyDescent="0.15">
      <c r="A68" s="87"/>
      <c r="B68" s="92">
        <v>65</v>
      </c>
      <c r="C68" s="93" t="s">
        <v>64</v>
      </c>
      <c r="D68" s="94" t="s">
        <v>64</v>
      </c>
      <c r="E68" s="93" t="s">
        <v>64</v>
      </c>
      <c r="F68" s="93">
        <f>SUMIFS(期初庫存!F:F,期初庫存!C:C,C68)-SUMIFS(每日用粉紀錄表!G:G,每日用粉紀錄表!C:C,C68)+SUMIFS(每日用粉紀錄表!I:I,每日用粉紀錄表!C:C,C68)</f>
        <v>0</v>
      </c>
      <c r="G68" s="93">
        <v>0</v>
      </c>
      <c r="H68" s="105"/>
      <c r="I68" s="95" t="str">
        <f t="shared" ref="I68:I99" si="2">IF(H68&gt;G68,"採購","否")</f>
        <v>否</v>
      </c>
      <c r="J68" s="93">
        <f t="shared" ref="J68:J103" si="3">($G68*25)+$F68</f>
        <v>0</v>
      </c>
      <c r="K68" s="97"/>
      <c r="L68" s="96"/>
      <c r="M68" s="97"/>
    </row>
    <row r="69" spans="1:13" x14ac:dyDescent="0.15">
      <c r="A69" s="87"/>
      <c r="B69" s="98">
        <v>66</v>
      </c>
      <c r="C69" s="99" t="s">
        <v>64</v>
      </c>
      <c r="D69" s="100" t="s">
        <v>64</v>
      </c>
      <c r="E69" s="99" t="s">
        <v>64</v>
      </c>
      <c r="F69" s="99">
        <f>SUMIFS(期初庫存!F:F,期初庫存!C:C,C69)-SUMIFS(每日用粉紀錄表!G:G,每日用粉紀錄表!C:C,C69)+SUMIFS(每日用粉紀錄表!I:I,每日用粉紀錄表!C:C,C69)</f>
        <v>0</v>
      </c>
      <c r="G69" s="99">
        <v>0</v>
      </c>
      <c r="H69" s="104"/>
      <c r="I69" s="101" t="str">
        <f t="shared" si="2"/>
        <v>否</v>
      </c>
      <c r="J69" s="99">
        <f t="shared" si="3"/>
        <v>0</v>
      </c>
      <c r="K69" s="103"/>
      <c r="L69" s="102"/>
      <c r="M69" s="103"/>
    </row>
    <row r="70" spans="1:13" x14ac:dyDescent="0.15">
      <c r="A70" s="87"/>
      <c r="B70" s="92">
        <v>67</v>
      </c>
      <c r="C70" s="93" t="s">
        <v>64</v>
      </c>
      <c r="D70" s="94" t="s">
        <v>64</v>
      </c>
      <c r="E70" s="93" t="s">
        <v>64</v>
      </c>
      <c r="F70" s="93">
        <f>SUMIFS(期初庫存!F:F,期初庫存!C:C,C70)-SUMIFS(每日用粉紀錄表!G:G,每日用粉紀錄表!C:C,C70)+SUMIFS(每日用粉紀錄表!I:I,每日用粉紀錄表!C:C,C70)</f>
        <v>0</v>
      </c>
      <c r="G70" s="93">
        <v>0</v>
      </c>
      <c r="H70" s="105"/>
      <c r="I70" s="95" t="str">
        <f t="shared" si="2"/>
        <v>否</v>
      </c>
      <c r="J70" s="93">
        <f t="shared" si="3"/>
        <v>0</v>
      </c>
      <c r="K70" s="97"/>
      <c r="L70" s="96"/>
      <c r="M70" s="97"/>
    </row>
    <row r="71" spans="1:13" x14ac:dyDescent="0.15">
      <c r="A71" s="87"/>
      <c r="B71" s="98">
        <v>68</v>
      </c>
      <c r="C71" s="99" t="s">
        <v>64</v>
      </c>
      <c r="D71" s="100" t="s">
        <v>64</v>
      </c>
      <c r="E71" s="99" t="s">
        <v>64</v>
      </c>
      <c r="F71" s="99">
        <f>SUMIFS(期初庫存!F:F,期初庫存!C:C,C71)-SUMIFS(每日用粉紀錄表!G:G,每日用粉紀錄表!C:C,C71)+SUMIFS(每日用粉紀錄表!I:I,每日用粉紀錄表!C:C,C71)</f>
        <v>0</v>
      </c>
      <c r="G71" s="99">
        <v>0</v>
      </c>
      <c r="H71" s="104"/>
      <c r="I71" s="101" t="str">
        <f t="shared" si="2"/>
        <v>否</v>
      </c>
      <c r="J71" s="99">
        <f t="shared" si="3"/>
        <v>0</v>
      </c>
      <c r="K71" s="103"/>
      <c r="L71" s="102"/>
      <c r="M71" s="103"/>
    </row>
    <row r="72" spans="1:13" x14ac:dyDescent="0.15">
      <c r="A72" s="87"/>
      <c r="B72" s="92">
        <v>69</v>
      </c>
      <c r="C72" s="93" t="s">
        <v>64</v>
      </c>
      <c r="D72" s="94" t="s">
        <v>64</v>
      </c>
      <c r="E72" s="93" t="s">
        <v>64</v>
      </c>
      <c r="F72" s="93">
        <f>SUMIFS(期初庫存!F:F,期初庫存!C:C,C72)-SUMIFS(每日用粉紀錄表!G:G,每日用粉紀錄表!C:C,C72)+SUMIFS(每日用粉紀錄表!I:I,每日用粉紀錄表!C:C,C72)</f>
        <v>0</v>
      </c>
      <c r="G72" s="93">
        <v>0</v>
      </c>
      <c r="H72" s="105"/>
      <c r="I72" s="95" t="str">
        <f t="shared" si="2"/>
        <v>否</v>
      </c>
      <c r="J72" s="93">
        <f t="shared" si="3"/>
        <v>0</v>
      </c>
      <c r="K72" s="97"/>
      <c r="L72" s="96"/>
      <c r="M72" s="97"/>
    </row>
    <row r="73" spans="1:13" x14ac:dyDescent="0.15">
      <c r="A73" s="87"/>
      <c r="B73" s="98">
        <v>70</v>
      </c>
      <c r="C73" s="99" t="s">
        <v>64</v>
      </c>
      <c r="D73" s="100" t="s">
        <v>64</v>
      </c>
      <c r="E73" s="99" t="s">
        <v>64</v>
      </c>
      <c r="F73" s="99">
        <f>SUMIFS(期初庫存!F:F,期初庫存!C:C,C73)-SUMIFS(每日用粉紀錄表!G:G,每日用粉紀錄表!C:C,C73)+SUMIFS(每日用粉紀錄表!I:I,每日用粉紀錄表!C:C,C73)</f>
        <v>0</v>
      </c>
      <c r="G73" s="99">
        <v>0</v>
      </c>
      <c r="H73" s="104"/>
      <c r="I73" s="101" t="str">
        <f t="shared" si="2"/>
        <v>否</v>
      </c>
      <c r="J73" s="99">
        <f t="shared" si="3"/>
        <v>0</v>
      </c>
      <c r="K73" s="103"/>
      <c r="L73" s="102"/>
      <c r="M73" s="103"/>
    </row>
    <row r="74" spans="1:13" x14ac:dyDescent="0.15">
      <c r="A74" s="87"/>
      <c r="B74" s="92">
        <v>71</v>
      </c>
      <c r="C74" s="93" t="s">
        <v>64</v>
      </c>
      <c r="D74" s="94" t="s">
        <v>64</v>
      </c>
      <c r="E74" s="93" t="s">
        <v>64</v>
      </c>
      <c r="F74" s="93">
        <f>SUMIFS(期初庫存!F:F,期初庫存!C:C,C74)-SUMIFS(每日用粉紀錄表!G:G,每日用粉紀錄表!C:C,C74)+SUMIFS(每日用粉紀錄表!I:I,每日用粉紀錄表!C:C,C74)</f>
        <v>0</v>
      </c>
      <c r="G74" s="93">
        <v>0</v>
      </c>
      <c r="H74" s="105"/>
      <c r="I74" s="95" t="str">
        <f t="shared" si="2"/>
        <v>否</v>
      </c>
      <c r="J74" s="93">
        <f t="shared" si="3"/>
        <v>0</v>
      </c>
      <c r="K74" s="97"/>
      <c r="L74" s="96"/>
      <c r="M74" s="97"/>
    </row>
    <row r="75" spans="1:13" x14ac:dyDescent="0.15">
      <c r="A75" s="87"/>
      <c r="B75" s="98">
        <v>72</v>
      </c>
      <c r="C75" s="99" t="s">
        <v>64</v>
      </c>
      <c r="D75" s="100" t="s">
        <v>64</v>
      </c>
      <c r="E75" s="99" t="s">
        <v>64</v>
      </c>
      <c r="F75" s="99">
        <f>SUMIFS(期初庫存!F:F,期初庫存!C:C,C75)-SUMIFS(每日用粉紀錄表!G:G,每日用粉紀錄表!C:C,C75)+SUMIFS(每日用粉紀錄表!I:I,每日用粉紀錄表!C:C,C75)</f>
        <v>0</v>
      </c>
      <c r="G75" s="99">
        <v>0</v>
      </c>
      <c r="H75" s="104"/>
      <c r="I75" s="101" t="str">
        <f t="shared" si="2"/>
        <v>否</v>
      </c>
      <c r="J75" s="99">
        <f t="shared" si="3"/>
        <v>0</v>
      </c>
      <c r="K75" s="103"/>
      <c r="L75" s="102"/>
      <c r="M75" s="103"/>
    </row>
    <row r="76" spans="1:13" x14ac:dyDescent="0.15">
      <c r="A76" s="87"/>
      <c r="B76" s="92">
        <v>73</v>
      </c>
      <c r="C76" s="93" t="s">
        <v>64</v>
      </c>
      <c r="D76" s="94" t="s">
        <v>64</v>
      </c>
      <c r="E76" s="93" t="s">
        <v>64</v>
      </c>
      <c r="F76" s="93">
        <f>SUMIFS(期初庫存!F:F,期初庫存!C:C,C76)-SUMIFS(每日用粉紀錄表!G:G,每日用粉紀錄表!C:C,C76)+SUMIFS(每日用粉紀錄表!I:I,每日用粉紀錄表!C:C,C76)</f>
        <v>0</v>
      </c>
      <c r="G76" s="93">
        <v>0</v>
      </c>
      <c r="H76" s="105"/>
      <c r="I76" s="95" t="str">
        <f t="shared" si="2"/>
        <v>否</v>
      </c>
      <c r="J76" s="93">
        <f t="shared" si="3"/>
        <v>0</v>
      </c>
      <c r="K76" s="97"/>
      <c r="L76" s="96"/>
      <c r="M76" s="97"/>
    </row>
    <row r="77" spans="1:13" x14ac:dyDescent="0.15">
      <c r="A77" s="87"/>
      <c r="B77" s="98">
        <v>74</v>
      </c>
      <c r="C77" s="99" t="s">
        <v>64</v>
      </c>
      <c r="D77" s="100" t="s">
        <v>64</v>
      </c>
      <c r="E77" s="99" t="s">
        <v>64</v>
      </c>
      <c r="F77" s="99">
        <f>SUMIFS(期初庫存!F:F,期初庫存!C:C,C77)-SUMIFS(每日用粉紀錄表!G:G,每日用粉紀錄表!C:C,C77)+SUMIFS(每日用粉紀錄表!I:I,每日用粉紀錄表!C:C,C77)</f>
        <v>0</v>
      </c>
      <c r="G77" s="99">
        <v>0</v>
      </c>
      <c r="H77" s="104"/>
      <c r="I77" s="101" t="str">
        <f t="shared" si="2"/>
        <v>否</v>
      </c>
      <c r="J77" s="99">
        <f t="shared" si="3"/>
        <v>0</v>
      </c>
      <c r="K77" s="103"/>
      <c r="L77" s="102"/>
      <c r="M77" s="103"/>
    </row>
    <row r="78" spans="1:13" x14ac:dyDescent="0.15">
      <c r="A78" s="87"/>
      <c r="B78" s="92">
        <v>75</v>
      </c>
      <c r="C78" s="93" t="s">
        <v>64</v>
      </c>
      <c r="D78" s="94" t="s">
        <v>64</v>
      </c>
      <c r="E78" s="93" t="s">
        <v>64</v>
      </c>
      <c r="F78" s="93">
        <f>SUMIFS(期初庫存!F:F,期初庫存!C:C,C78)-SUMIFS(每日用粉紀錄表!G:G,每日用粉紀錄表!C:C,C78)+SUMIFS(每日用粉紀錄表!I:I,每日用粉紀錄表!C:C,C78)</f>
        <v>0</v>
      </c>
      <c r="G78" s="93">
        <v>0</v>
      </c>
      <c r="H78" s="105"/>
      <c r="I78" s="95" t="str">
        <f t="shared" si="2"/>
        <v>否</v>
      </c>
      <c r="J78" s="93">
        <f t="shared" si="3"/>
        <v>0</v>
      </c>
      <c r="K78" s="97"/>
      <c r="L78" s="96"/>
      <c r="M78" s="97"/>
    </row>
    <row r="79" spans="1:13" x14ac:dyDescent="0.15">
      <c r="A79" s="87"/>
      <c r="B79" s="98">
        <v>76</v>
      </c>
      <c r="C79" s="99" t="s">
        <v>64</v>
      </c>
      <c r="D79" s="100" t="s">
        <v>64</v>
      </c>
      <c r="E79" s="99" t="s">
        <v>64</v>
      </c>
      <c r="F79" s="99">
        <f>SUMIFS(期初庫存!F:F,期初庫存!C:C,C79)-SUMIFS(每日用粉紀錄表!G:G,每日用粉紀錄表!C:C,C79)+SUMIFS(每日用粉紀錄表!I:I,每日用粉紀錄表!C:C,C79)</f>
        <v>0</v>
      </c>
      <c r="G79" s="99">
        <v>0</v>
      </c>
      <c r="H79" s="104"/>
      <c r="I79" s="101" t="str">
        <f t="shared" si="2"/>
        <v>否</v>
      </c>
      <c r="J79" s="99">
        <f t="shared" si="3"/>
        <v>0</v>
      </c>
      <c r="K79" s="103"/>
      <c r="L79" s="102"/>
      <c r="M79" s="103"/>
    </row>
    <row r="80" spans="1:13" x14ac:dyDescent="0.15">
      <c r="A80" s="87"/>
      <c r="B80" s="92">
        <v>77</v>
      </c>
      <c r="C80" s="93" t="s">
        <v>64</v>
      </c>
      <c r="D80" s="94" t="s">
        <v>64</v>
      </c>
      <c r="E80" s="93" t="s">
        <v>64</v>
      </c>
      <c r="F80" s="93">
        <f>SUMIFS(期初庫存!F:F,期初庫存!C:C,C80)-SUMIFS(每日用粉紀錄表!G:G,每日用粉紀錄表!C:C,C80)+SUMIFS(每日用粉紀錄表!I:I,每日用粉紀錄表!C:C,C80)</f>
        <v>0</v>
      </c>
      <c r="G80" s="93">
        <v>0</v>
      </c>
      <c r="H80" s="105"/>
      <c r="I80" s="95" t="str">
        <f t="shared" si="2"/>
        <v>否</v>
      </c>
      <c r="J80" s="93">
        <f t="shared" si="3"/>
        <v>0</v>
      </c>
      <c r="K80" s="97"/>
      <c r="L80" s="96"/>
      <c r="M80" s="97"/>
    </row>
    <row r="81" spans="1:13" x14ac:dyDescent="0.15">
      <c r="A81" s="87"/>
      <c r="B81" s="98">
        <v>78</v>
      </c>
      <c r="C81" s="99" t="s">
        <v>64</v>
      </c>
      <c r="D81" s="100" t="s">
        <v>64</v>
      </c>
      <c r="E81" s="99" t="s">
        <v>64</v>
      </c>
      <c r="F81" s="99">
        <f>SUMIFS(期初庫存!F:F,期初庫存!C:C,C81)-SUMIFS(每日用粉紀錄表!G:G,每日用粉紀錄表!C:C,C81)+SUMIFS(每日用粉紀錄表!I:I,每日用粉紀錄表!C:C,C81)</f>
        <v>0</v>
      </c>
      <c r="G81" s="99">
        <v>0</v>
      </c>
      <c r="H81" s="104"/>
      <c r="I81" s="101" t="str">
        <f t="shared" si="2"/>
        <v>否</v>
      </c>
      <c r="J81" s="99">
        <f t="shared" si="3"/>
        <v>0</v>
      </c>
      <c r="K81" s="103"/>
      <c r="L81" s="102"/>
      <c r="M81" s="103"/>
    </row>
    <row r="82" spans="1:13" x14ac:dyDescent="0.15">
      <c r="A82" s="87"/>
      <c r="B82" s="92">
        <v>79</v>
      </c>
      <c r="C82" s="93" t="s">
        <v>64</v>
      </c>
      <c r="D82" s="94" t="s">
        <v>64</v>
      </c>
      <c r="E82" s="93" t="s">
        <v>64</v>
      </c>
      <c r="F82" s="93">
        <f>SUMIFS(期初庫存!F:F,期初庫存!C:C,C82)-SUMIFS(每日用粉紀錄表!G:G,每日用粉紀錄表!C:C,C82)+SUMIFS(每日用粉紀錄表!I:I,每日用粉紀錄表!C:C,C82)</f>
        <v>0</v>
      </c>
      <c r="G82" s="93">
        <v>0</v>
      </c>
      <c r="H82" s="105"/>
      <c r="I82" s="95" t="str">
        <f t="shared" si="2"/>
        <v>否</v>
      </c>
      <c r="J82" s="93">
        <f t="shared" si="3"/>
        <v>0</v>
      </c>
      <c r="K82" s="97"/>
      <c r="L82" s="96"/>
      <c r="M82" s="97"/>
    </row>
    <row r="83" spans="1:13" x14ac:dyDescent="0.15">
      <c r="A83" s="87"/>
      <c r="B83" s="98">
        <v>80</v>
      </c>
      <c r="C83" s="99" t="s">
        <v>64</v>
      </c>
      <c r="D83" s="100" t="s">
        <v>64</v>
      </c>
      <c r="E83" s="99" t="s">
        <v>64</v>
      </c>
      <c r="F83" s="99">
        <f>SUMIFS(期初庫存!F:F,期初庫存!C:C,C83)-SUMIFS(每日用粉紀錄表!G:G,每日用粉紀錄表!C:C,C83)+SUMIFS(每日用粉紀錄表!I:I,每日用粉紀錄表!C:C,C83)</f>
        <v>0</v>
      </c>
      <c r="G83" s="99">
        <v>0</v>
      </c>
      <c r="H83" s="104"/>
      <c r="I83" s="101" t="str">
        <f t="shared" si="2"/>
        <v>否</v>
      </c>
      <c r="J83" s="99">
        <f t="shared" si="3"/>
        <v>0</v>
      </c>
      <c r="K83" s="103"/>
      <c r="L83" s="102"/>
      <c r="M83" s="103"/>
    </row>
    <row r="84" spans="1:13" x14ac:dyDescent="0.15">
      <c r="A84" s="87"/>
      <c r="B84" s="92">
        <v>81</v>
      </c>
      <c r="C84" s="93" t="s">
        <v>64</v>
      </c>
      <c r="D84" s="94" t="s">
        <v>64</v>
      </c>
      <c r="E84" s="93" t="s">
        <v>64</v>
      </c>
      <c r="F84" s="93">
        <f>SUMIFS(期初庫存!F:F,期初庫存!C:C,C84)-SUMIFS(每日用粉紀錄表!G:G,每日用粉紀錄表!C:C,C84)+SUMIFS(每日用粉紀錄表!I:I,每日用粉紀錄表!C:C,C84)</f>
        <v>0</v>
      </c>
      <c r="G84" s="93">
        <v>0</v>
      </c>
      <c r="H84" s="105"/>
      <c r="I84" s="95" t="str">
        <f t="shared" si="2"/>
        <v>否</v>
      </c>
      <c r="J84" s="93">
        <f t="shared" si="3"/>
        <v>0</v>
      </c>
      <c r="K84" s="97"/>
      <c r="L84" s="96"/>
      <c r="M84" s="97"/>
    </row>
    <row r="85" spans="1:13" x14ac:dyDescent="0.15">
      <c r="A85" s="87"/>
      <c r="B85" s="98">
        <v>82</v>
      </c>
      <c r="C85" s="99" t="s">
        <v>64</v>
      </c>
      <c r="D85" s="100" t="s">
        <v>64</v>
      </c>
      <c r="E85" s="99" t="s">
        <v>64</v>
      </c>
      <c r="F85" s="99">
        <f>SUMIFS(期初庫存!F:F,期初庫存!C:C,C85)-SUMIFS(每日用粉紀錄表!G:G,每日用粉紀錄表!C:C,C85)+SUMIFS(每日用粉紀錄表!I:I,每日用粉紀錄表!C:C,C85)</f>
        <v>0</v>
      </c>
      <c r="G85" s="99">
        <v>0</v>
      </c>
      <c r="H85" s="104"/>
      <c r="I85" s="101" t="str">
        <f t="shared" si="2"/>
        <v>否</v>
      </c>
      <c r="J85" s="99">
        <f t="shared" si="3"/>
        <v>0</v>
      </c>
      <c r="K85" s="103"/>
      <c r="L85" s="102"/>
      <c r="M85" s="103"/>
    </row>
    <row r="86" spans="1:13" x14ac:dyDescent="0.15">
      <c r="A86" s="87"/>
      <c r="B86" s="92">
        <v>83</v>
      </c>
      <c r="C86" s="93" t="s">
        <v>64</v>
      </c>
      <c r="D86" s="94" t="s">
        <v>64</v>
      </c>
      <c r="E86" s="93" t="s">
        <v>64</v>
      </c>
      <c r="F86" s="93">
        <f>SUMIFS(期初庫存!F:F,期初庫存!C:C,C86)-SUMIFS(每日用粉紀錄表!G:G,每日用粉紀錄表!C:C,C86)+SUMIFS(每日用粉紀錄表!I:I,每日用粉紀錄表!C:C,C86)</f>
        <v>0</v>
      </c>
      <c r="G86" s="93">
        <v>0</v>
      </c>
      <c r="H86" s="105"/>
      <c r="I86" s="95" t="str">
        <f t="shared" si="2"/>
        <v>否</v>
      </c>
      <c r="J86" s="93">
        <f t="shared" si="3"/>
        <v>0</v>
      </c>
      <c r="K86" s="97"/>
      <c r="L86" s="96"/>
      <c r="M86" s="97"/>
    </row>
    <row r="87" spans="1:13" x14ac:dyDescent="0.15">
      <c r="A87" s="87"/>
      <c r="B87" s="98">
        <v>84</v>
      </c>
      <c r="C87" s="99" t="s">
        <v>64</v>
      </c>
      <c r="D87" s="100" t="s">
        <v>64</v>
      </c>
      <c r="E87" s="99" t="s">
        <v>64</v>
      </c>
      <c r="F87" s="99">
        <f>SUMIFS(期初庫存!F:F,期初庫存!C:C,C87)-SUMIFS(每日用粉紀錄表!G:G,每日用粉紀錄表!C:C,C87)+SUMIFS(每日用粉紀錄表!I:I,每日用粉紀錄表!C:C,C87)</f>
        <v>0</v>
      </c>
      <c r="G87" s="99">
        <v>0</v>
      </c>
      <c r="H87" s="104"/>
      <c r="I87" s="101" t="str">
        <f t="shared" si="2"/>
        <v>否</v>
      </c>
      <c r="J87" s="99">
        <f t="shared" si="3"/>
        <v>0</v>
      </c>
      <c r="K87" s="103"/>
      <c r="L87" s="102"/>
      <c r="M87" s="103"/>
    </row>
    <row r="88" spans="1:13" x14ac:dyDescent="0.15">
      <c r="A88" s="87"/>
      <c r="B88" s="92">
        <v>85</v>
      </c>
      <c r="C88" s="93" t="s">
        <v>64</v>
      </c>
      <c r="D88" s="94" t="s">
        <v>64</v>
      </c>
      <c r="E88" s="93" t="s">
        <v>64</v>
      </c>
      <c r="F88" s="93">
        <f>SUMIFS(期初庫存!F:F,期初庫存!C:C,C88)-SUMIFS(每日用粉紀錄表!G:G,每日用粉紀錄表!C:C,C88)+SUMIFS(每日用粉紀錄表!I:I,每日用粉紀錄表!C:C,C88)</f>
        <v>0</v>
      </c>
      <c r="G88" s="93">
        <v>0</v>
      </c>
      <c r="H88" s="105"/>
      <c r="I88" s="95" t="str">
        <f t="shared" si="2"/>
        <v>否</v>
      </c>
      <c r="J88" s="93">
        <f t="shared" si="3"/>
        <v>0</v>
      </c>
      <c r="K88" s="97"/>
      <c r="L88" s="96"/>
      <c r="M88" s="97"/>
    </row>
    <row r="89" spans="1:13" x14ac:dyDescent="0.15">
      <c r="A89" s="87"/>
      <c r="B89" s="98">
        <v>86</v>
      </c>
      <c r="C89" s="99" t="s">
        <v>64</v>
      </c>
      <c r="D89" s="100" t="s">
        <v>64</v>
      </c>
      <c r="E89" s="99" t="s">
        <v>64</v>
      </c>
      <c r="F89" s="99">
        <f>SUMIFS(期初庫存!F:F,期初庫存!C:C,C89)-SUMIFS(每日用粉紀錄表!G:G,每日用粉紀錄表!C:C,C89)+SUMIFS(每日用粉紀錄表!I:I,每日用粉紀錄表!C:C,C89)</f>
        <v>0</v>
      </c>
      <c r="G89" s="99">
        <v>0</v>
      </c>
      <c r="H89" s="104"/>
      <c r="I89" s="101" t="str">
        <f t="shared" si="2"/>
        <v>否</v>
      </c>
      <c r="J89" s="99">
        <f t="shared" si="3"/>
        <v>0</v>
      </c>
      <c r="K89" s="103"/>
      <c r="L89" s="102"/>
      <c r="M89" s="103"/>
    </row>
    <row r="90" spans="1:13" x14ac:dyDescent="0.15">
      <c r="A90" s="87"/>
      <c r="B90" s="92">
        <v>87</v>
      </c>
      <c r="C90" s="93" t="s">
        <v>64</v>
      </c>
      <c r="D90" s="94" t="s">
        <v>64</v>
      </c>
      <c r="E90" s="93" t="s">
        <v>64</v>
      </c>
      <c r="F90" s="93">
        <f>SUMIFS(期初庫存!F:F,期初庫存!C:C,C90)-SUMIFS(每日用粉紀錄表!G:G,每日用粉紀錄表!C:C,C90)+SUMIFS(每日用粉紀錄表!I:I,每日用粉紀錄表!C:C,C90)</f>
        <v>0</v>
      </c>
      <c r="G90" s="93">
        <v>0</v>
      </c>
      <c r="H90" s="105"/>
      <c r="I90" s="95" t="str">
        <f t="shared" si="2"/>
        <v>否</v>
      </c>
      <c r="J90" s="93">
        <f t="shared" si="3"/>
        <v>0</v>
      </c>
      <c r="K90" s="97"/>
      <c r="L90" s="96"/>
      <c r="M90" s="97"/>
    </row>
    <row r="91" spans="1:13" x14ac:dyDescent="0.15">
      <c r="A91" s="87"/>
      <c r="B91" s="98">
        <v>88</v>
      </c>
      <c r="C91" s="99" t="s">
        <v>64</v>
      </c>
      <c r="D91" s="100" t="s">
        <v>64</v>
      </c>
      <c r="E91" s="99" t="s">
        <v>64</v>
      </c>
      <c r="F91" s="99">
        <f>SUMIFS(期初庫存!F:F,期初庫存!C:C,C91)-SUMIFS(每日用粉紀錄表!G:G,每日用粉紀錄表!C:C,C91)+SUMIFS(每日用粉紀錄表!I:I,每日用粉紀錄表!C:C,C91)</f>
        <v>0</v>
      </c>
      <c r="G91" s="99">
        <v>0</v>
      </c>
      <c r="H91" s="104"/>
      <c r="I91" s="101" t="str">
        <f t="shared" si="2"/>
        <v>否</v>
      </c>
      <c r="J91" s="99">
        <f t="shared" si="3"/>
        <v>0</v>
      </c>
      <c r="K91" s="103"/>
      <c r="L91" s="102"/>
      <c r="M91" s="103"/>
    </row>
    <row r="92" spans="1:13" x14ac:dyDescent="0.15">
      <c r="A92" s="87"/>
      <c r="B92" s="92">
        <v>89</v>
      </c>
      <c r="C92" s="93" t="s">
        <v>64</v>
      </c>
      <c r="D92" s="94" t="s">
        <v>64</v>
      </c>
      <c r="E92" s="93" t="s">
        <v>64</v>
      </c>
      <c r="F92" s="93">
        <f>SUMIFS(期初庫存!F:F,期初庫存!C:C,C92)-SUMIFS(每日用粉紀錄表!G:G,每日用粉紀錄表!C:C,C92)+SUMIFS(每日用粉紀錄表!I:I,每日用粉紀錄表!C:C,C92)</f>
        <v>0</v>
      </c>
      <c r="G92" s="93">
        <v>0</v>
      </c>
      <c r="H92" s="105"/>
      <c r="I92" s="95" t="str">
        <f t="shared" si="2"/>
        <v>否</v>
      </c>
      <c r="J92" s="93">
        <f t="shared" si="3"/>
        <v>0</v>
      </c>
      <c r="K92" s="97"/>
      <c r="L92" s="96"/>
      <c r="M92" s="97"/>
    </row>
    <row r="93" spans="1:13" x14ac:dyDescent="0.15">
      <c r="A93" s="87"/>
      <c r="B93" s="98">
        <v>90</v>
      </c>
      <c r="C93" s="99" t="s">
        <v>64</v>
      </c>
      <c r="D93" s="100" t="s">
        <v>64</v>
      </c>
      <c r="E93" s="99" t="s">
        <v>64</v>
      </c>
      <c r="F93" s="99">
        <f>SUMIFS(期初庫存!F:F,期初庫存!C:C,C93)-SUMIFS(每日用粉紀錄表!G:G,每日用粉紀錄表!C:C,C93)+SUMIFS(每日用粉紀錄表!I:I,每日用粉紀錄表!C:C,C93)</f>
        <v>0</v>
      </c>
      <c r="G93" s="99">
        <v>0</v>
      </c>
      <c r="H93" s="104"/>
      <c r="I93" s="101" t="str">
        <f t="shared" si="2"/>
        <v>否</v>
      </c>
      <c r="J93" s="99">
        <f t="shared" si="3"/>
        <v>0</v>
      </c>
      <c r="K93" s="103"/>
      <c r="L93" s="102"/>
      <c r="M93" s="103"/>
    </row>
    <row r="94" spans="1:13" x14ac:dyDescent="0.15">
      <c r="A94" s="87"/>
      <c r="B94" s="92">
        <v>91</v>
      </c>
      <c r="C94" s="93" t="s">
        <v>64</v>
      </c>
      <c r="D94" s="94" t="s">
        <v>64</v>
      </c>
      <c r="E94" s="93" t="s">
        <v>64</v>
      </c>
      <c r="F94" s="93">
        <f>SUMIFS(期初庫存!F:F,期初庫存!C:C,C94)-SUMIFS(每日用粉紀錄表!G:G,每日用粉紀錄表!C:C,C94)+SUMIFS(每日用粉紀錄表!I:I,每日用粉紀錄表!C:C,C94)</f>
        <v>0</v>
      </c>
      <c r="G94" s="93">
        <v>0</v>
      </c>
      <c r="H94" s="105"/>
      <c r="I94" s="95" t="str">
        <f t="shared" si="2"/>
        <v>否</v>
      </c>
      <c r="J94" s="93">
        <f t="shared" si="3"/>
        <v>0</v>
      </c>
      <c r="K94" s="97"/>
      <c r="L94" s="96"/>
      <c r="M94" s="97"/>
    </row>
    <row r="95" spans="1:13" x14ac:dyDescent="0.15">
      <c r="A95" s="87"/>
      <c r="B95" s="98">
        <v>92</v>
      </c>
      <c r="C95" s="99" t="s">
        <v>64</v>
      </c>
      <c r="D95" s="100" t="s">
        <v>64</v>
      </c>
      <c r="E95" s="99" t="s">
        <v>64</v>
      </c>
      <c r="F95" s="99">
        <f>SUMIFS(期初庫存!F:F,期初庫存!C:C,C95)-SUMIFS(每日用粉紀錄表!G:G,每日用粉紀錄表!C:C,C95)+SUMIFS(每日用粉紀錄表!I:I,每日用粉紀錄表!C:C,C95)</f>
        <v>0</v>
      </c>
      <c r="G95" s="99">
        <v>0</v>
      </c>
      <c r="H95" s="104"/>
      <c r="I95" s="101" t="str">
        <f t="shared" si="2"/>
        <v>否</v>
      </c>
      <c r="J95" s="99">
        <f t="shared" si="3"/>
        <v>0</v>
      </c>
      <c r="K95" s="103"/>
      <c r="L95" s="102"/>
      <c r="M95" s="103"/>
    </row>
    <row r="96" spans="1:13" x14ac:dyDescent="0.15">
      <c r="A96" s="87"/>
      <c r="B96" s="92">
        <v>93</v>
      </c>
      <c r="C96" s="93" t="s">
        <v>64</v>
      </c>
      <c r="D96" s="94" t="s">
        <v>64</v>
      </c>
      <c r="E96" s="93" t="s">
        <v>64</v>
      </c>
      <c r="F96" s="93">
        <f>SUMIFS(期初庫存!F:F,期初庫存!C:C,C96)-SUMIFS(每日用粉紀錄表!G:G,每日用粉紀錄表!C:C,C96)+SUMIFS(每日用粉紀錄表!I:I,每日用粉紀錄表!C:C,C96)</f>
        <v>0</v>
      </c>
      <c r="G96" s="93">
        <v>0</v>
      </c>
      <c r="H96" s="105"/>
      <c r="I96" s="95" t="str">
        <f t="shared" si="2"/>
        <v>否</v>
      </c>
      <c r="J96" s="93">
        <f t="shared" si="3"/>
        <v>0</v>
      </c>
      <c r="K96" s="97"/>
      <c r="L96" s="96"/>
      <c r="M96" s="97"/>
    </row>
    <row r="97" spans="1:13" x14ac:dyDescent="0.15">
      <c r="A97" s="87"/>
      <c r="B97" s="98">
        <v>94</v>
      </c>
      <c r="C97" s="99" t="s">
        <v>64</v>
      </c>
      <c r="D97" s="100" t="s">
        <v>64</v>
      </c>
      <c r="E97" s="99" t="s">
        <v>64</v>
      </c>
      <c r="F97" s="99">
        <f>SUMIFS(期初庫存!F:F,期初庫存!C:C,C97)-SUMIFS(每日用粉紀錄表!G:G,每日用粉紀錄表!C:C,C97)+SUMIFS(每日用粉紀錄表!I:I,每日用粉紀錄表!C:C,C97)</f>
        <v>0</v>
      </c>
      <c r="G97" s="99">
        <v>0</v>
      </c>
      <c r="H97" s="104"/>
      <c r="I97" s="101" t="str">
        <f t="shared" si="2"/>
        <v>否</v>
      </c>
      <c r="J97" s="99">
        <f t="shared" si="3"/>
        <v>0</v>
      </c>
      <c r="K97" s="103"/>
      <c r="L97" s="102"/>
      <c r="M97" s="103"/>
    </row>
    <row r="98" spans="1:13" x14ac:dyDescent="0.15">
      <c r="A98" s="87"/>
      <c r="B98" s="92">
        <v>95</v>
      </c>
      <c r="C98" s="93" t="s">
        <v>64</v>
      </c>
      <c r="D98" s="94" t="s">
        <v>64</v>
      </c>
      <c r="E98" s="93" t="s">
        <v>64</v>
      </c>
      <c r="F98" s="93">
        <f>SUMIFS(期初庫存!F:F,期初庫存!C:C,C98)-SUMIFS(每日用粉紀錄表!G:G,每日用粉紀錄表!C:C,C98)+SUMIFS(每日用粉紀錄表!I:I,每日用粉紀錄表!C:C,C98)</f>
        <v>0</v>
      </c>
      <c r="G98" s="93">
        <v>0</v>
      </c>
      <c r="H98" s="105"/>
      <c r="I98" s="95" t="str">
        <f t="shared" si="2"/>
        <v>否</v>
      </c>
      <c r="J98" s="93">
        <f t="shared" si="3"/>
        <v>0</v>
      </c>
      <c r="K98" s="97"/>
      <c r="L98" s="96"/>
      <c r="M98" s="97"/>
    </row>
    <row r="99" spans="1:13" x14ac:dyDescent="0.15">
      <c r="A99" s="87"/>
      <c r="B99" s="98">
        <v>96</v>
      </c>
      <c r="C99" s="99" t="s">
        <v>64</v>
      </c>
      <c r="D99" s="100" t="s">
        <v>64</v>
      </c>
      <c r="E99" s="99" t="s">
        <v>64</v>
      </c>
      <c r="F99" s="99">
        <f>SUMIFS(期初庫存!F:F,期初庫存!C:C,C99)-SUMIFS(每日用粉紀錄表!G:G,每日用粉紀錄表!C:C,C99)+SUMIFS(每日用粉紀錄表!I:I,每日用粉紀錄表!C:C,C99)</f>
        <v>0</v>
      </c>
      <c r="G99" s="99">
        <v>0</v>
      </c>
      <c r="H99" s="104"/>
      <c r="I99" s="101" t="str">
        <f t="shared" si="2"/>
        <v>否</v>
      </c>
      <c r="J99" s="99">
        <f t="shared" si="3"/>
        <v>0</v>
      </c>
      <c r="K99" s="103"/>
      <c r="L99" s="102"/>
      <c r="M99" s="103"/>
    </row>
    <row r="100" spans="1:13" x14ac:dyDescent="0.15">
      <c r="A100" s="87"/>
      <c r="B100" s="92">
        <v>97</v>
      </c>
      <c r="C100" s="93" t="s">
        <v>64</v>
      </c>
      <c r="D100" s="94" t="s">
        <v>64</v>
      </c>
      <c r="E100" s="93" t="s">
        <v>64</v>
      </c>
      <c r="F100" s="93">
        <f>SUMIFS(期初庫存!F:F,期初庫存!C:C,C100)-SUMIFS(每日用粉紀錄表!G:G,每日用粉紀錄表!C:C,C100)+SUMIFS(每日用粉紀錄表!I:I,每日用粉紀錄表!C:C,C100)</f>
        <v>0</v>
      </c>
      <c r="G100" s="93">
        <v>0</v>
      </c>
      <c r="H100" s="105"/>
      <c r="I100" s="95" t="str">
        <f t="shared" ref="I100:I131" si="4">IF(H100&gt;G100,"採購","否")</f>
        <v>否</v>
      </c>
      <c r="J100" s="93">
        <f t="shared" si="3"/>
        <v>0</v>
      </c>
      <c r="K100" s="97"/>
      <c r="L100" s="96"/>
      <c r="M100" s="97"/>
    </row>
    <row r="101" spans="1:13" x14ac:dyDescent="0.15">
      <c r="A101" s="87"/>
      <c r="B101" s="98">
        <v>98</v>
      </c>
      <c r="C101" s="99" t="s">
        <v>64</v>
      </c>
      <c r="D101" s="100" t="s">
        <v>64</v>
      </c>
      <c r="E101" s="99" t="s">
        <v>64</v>
      </c>
      <c r="F101" s="99">
        <f>SUMIFS(期初庫存!F:F,期初庫存!C:C,C101)-SUMIFS(每日用粉紀錄表!G:G,每日用粉紀錄表!C:C,C101)+SUMIFS(每日用粉紀錄表!I:I,每日用粉紀錄表!C:C,C101)</f>
        <v>0</v>
      </c>
      <c r="G101" s="99">
        <v>0</v>
      </c>
      <c r="H101" s="104"/>
      <c r="I101" s="101" t="str">
        <f t="shared" si="4"/>
        <v>否</v>
      </c>
      <c r="J101" s="99">
        <f t="shared" si="3"/>
        <v>0</v>
      </c>
      <c r="K101" s="103"/>
      <c r="L101" s="102"/>
      <c r="M101" s="103"/>
    </row>
    <row r="102" spans="1:13" x14ac:dyDescent="0.15">
      <c r="A102" s="87"/>
      <c r="B102" s="92">
        <v>99</v>
      </c>
      <c r="C102" s="93" t="s">
        <v>64</v>
      </c>
      <c r="D102" s="94" t="s">
        <v>64</v>
      </c>
      <c r="E102" s="93" t="s">
        <v>64</v>
      </c>
      <c r="F102" s="93">
        <f>SUMIFS(期初庫存!F:F,期初庫存!C:C,C102)-SUMIFS(每日用粉紀錄表!G:G,每日用粉紀錄表!C:C,C102)+SUMIFS(每日用粉紀錄表!I:I,每日用粉紀錄表!C:C,C102)</f>
        <v>0</v>
      </c>
      <c r="G102" s="93">
        <v>0</v>
      </c>
      <c r="H102" s="105"/>
      <c r="I102" s="95" t="str">
        <f t="shared" si="4"/>
        <v>否</v>
      </c>
      <c r="J102" s="93">
        <f t="shared" si="3"/>
        <v>0</v>
      </c>
      <c r="K102" s="97"/>
      <c r="L102" s="96"/>
      <c r="M102" s="97"/>
    </row>
    <row r="103" spans="1:13" x14ac:dyDescent="0.15">
      <c r="A103" s="87"/>
      <c r="B103" s="98">
        <v>100</v>
      </c>
      <c r="C103" s="99" t="s">
        <v>64</v>
      </c>
      <c r="D103" s="100" t="s">
        <v>64</v>
      </c>
      <c r="E103" s="99" t="s">
        <v>64</v>
      </c>
      <c r="F103" s="99">
        <f>SUMIFS(期初庫存!F:F,期初庫存!C:C,C103)-SUMIFS(每日用粉紀錄表!G:G,每日用粉紀錄表!C:C,C103)+SUMIFS(每日用粉紀錄表!I:I,每日用粉紀錄表!C:C,C103)</f>
        <v>0</v>
      </c>
      <c r="G103" s="99">
        <v>0</v>
      </c>
      <c r="H103" s="104"/>
      <c r="I103" s="101" t="str">
        <f t="shared" si="4"/>
        <v>否</v>
      </c>
      <c r="J103" s="99">
        <f t="shared" si="3"/>
        <v>0</v>
      </c>
      <c r="K103" s="103"/>
      <c r="L103" s="102"/>
      <c r="M103" s="103"/>
    </row>
    <row r="104" spans="1:13" x14ac:dyDescent="0.15">
      <c r="A104" s="146"/>
      <c r="B104" s="88">
        <v>101</v>
      </c>
      <c r="C104" s="106" t="s">
        <v>64</v>
      </c>
      <c r="D104" s="107" t="s">
        <v>64</v>
      </c>
      <c r="E104" s="106" t="s">
        <v>64</v>
      </c>
      <c r="F104" s="106" t="s">
        <v>64</v>
      </c>
      <c r="G104" s="106">
        <v>0</v>
      </c>
      <c r="H104" s="147"/>
      <c r="I104" s="108" t="str">
        <f t="shared" ref="I104:I138" si="5">IF(H104&gt;G104,"采购","否")</f>
        <v>否</v>
      </c>
      <c r="J104" s="148"/>
      <c r="K104" s="148"/>
      <c r="L104" s="149"/>
      <c r="M104" s="148"/>
    </row>
    <row r="105" spans="1:13" x14ac:dyDescent="0.15">
      <c r="A105" s="146"/>
      <c r="B105" s="88">
        <v>102</v>
      </c>
      <c r="C105" s="106" t="s">
        <v>64</v>
      </c>
      <c r="D105" s="107" t="s">
        <v>64</v>
      </c>
      <c r="E105" s="106" t="s">
        <v>64</v>
      </c>
      <c r="F105" s="106" t="s">
        <v>64</v>
      </c>
      <c r="G105" s="106">
        <v>0</v>
      </c>
      <c r="H105" s="147"/>
      <c r="I105" s="108" t="str">
        <f t="shared" si="5"/>
        <v>否</v>
      </c>
      <c r="J105" s="148"/>
      <c r="K105" s="148"/>
      <c r="L105" s="149"/>
      <c r="M105" s="148"/>
    </row>
    <row r="106" spans="1:13" x14ac:dyDescent="0.15">
      <c r="A106" s="146"/>
      <c r="B106" s="88">
        <v>103</v>
      </c>
      <c r="C106" s="106" t="s">
        <v>64</v>
      </c>
      <c r="D106" s="107" t="s">
        <v>64</v>
      </c>
      <c r="E106" s="106" t="s">
        <v>64</v>
      </c>
      <c r="F106" s="106" t="s">
        <v>64</v>
      </c>
      <c r="G106" s="106">
        <v>0</v>
      </c>
      <c r="H106" s="147"/>
      <c r="I106" s="108" t="str">
        <f t="shared" si="5"/>
        <v>否</v>
      </c>
      <c r="J106" s="148"/>
      <c r="K106" s="148"/>
      <c r="L106" s="149"/>
      <c r="M106" s="148"/>
    </row>
    <row r="107" spans="1:13" x14ac:dyDescent="0.15">
      <c r="A107" s="146"/>
      <c r="B107" s="88">
        <v>104</v>
      </c>
      <c r="C107" s="106" t="s">
        <v>64</v>
      </c>
      <c r="D107" s="107" t="s">
        <v>64</v>
      </c>
      <c r="E107" s="106" t="s">
        <v>64</v>
      </c>
      <c r="F107" s="106" t="s">
        <v>64</v>
      </c>
      <c r="G107" s="106">
        <v>0</v>
      </c>
      <c r="H107" s="147"/>
      <c r="I107" s="108" t="str">
        <f t="shared" si="5"/>
        <v>否</v>
      </c>
      <c r="J107" s="148"/>
      <c r="K107" s="148"/>
      <c r="L107" s="149"/>
      <c r="M107" s="148"/>
    </row>
    <row r="108" spans="1:13" x14ac:dyDescent="0.15">
      <c r="A108" s="146"/>
      <c r="B108" s="88">
        <v>105</v>
      </c>
      <c r="C108" s="106" t="s">
        <v>64</v>
      </c>
      <c r="D108" s="107" t="s">
        <v>64</v>
      </c>
      <c r="E108" s="106" t="s">
        <v>64</v>
      </c>
      <c r="F108" s="106" t="s">
        <v>64</v>
      </c>
      <c r="G108" s="106">
        <v>0</v>
      </c>
      <c r="H108" s="147"/>
      <c r="I108" s="108" t="str">
        <f t="shared" si="5"/>
        <v>否</v>
      </c>
      <c r="J108" s="148"/>
      <c r="K108" s="148"/>
      <c r="L108" s="149"/>
      <c r="M108" s="148"/>
    </row>
    <row r="109" spans="1:13" x14ac:dyDescent="0.15">
      <c r="A109" s="146"/>
      <c r="B109" s="88">
        <v>106</v>
      </c>
      <c r="C109" s="106" t="s">
        <v>64</v>
      </c>
      <c r="D109" s="107" t="s">
        <v>64</v>
      </c>
      <c r="E109" s="106" t="s">
        <v>64</v>
      </c>
      <c r="F109" s="106" t="s">
        <v>64</v>
      </c>
      <c r="G109" s="106">
        <v>0</v>
      </c>
      <c r="H109" s="147"/>
      <c r="I109" s="108" t="str">
        <f t="shared" si="5"/>
        <v>否</v>
      </c>
      <c r="J109" s="148"/>
      <c r="K109" s="148"/>
      <c r="L109" s="149"/>
      <c r="M109" s="148"/>
    </row>
    <row r="110" spans="1:13" x14ac:dyDescent="0.15">
      <c r="A110" s="146"/>
      <c r="B110" s="88">
        <v>107</v>
      </c>
      <c r="C110" s="106" t="s">
        <v>64</v>
      </c>
      <c r="D110" s="107" t="s">
        <v>64</v>
      </c>
      <c r="E110" s="106" t="s">
        <v>64</v>
      </c>
      <c r="F110" s="106" t="s">
        <v>64</v>
      </c>
      <c r="G110" s="106">
        <v>0</v>
      </c>
      <c r="H110" s="147"/>
      <c r="I110" s="108" t="str">
        <f t="shared" si="5"/>
        <v>否</v>
      </c>
      <c r="J110" s="148"/>
      <c r="K110" s="148"/>
      <c r="L110" s="149"/>
      <c r="M110" s="148"/>
    </row>
    <row r="111" spans="1:13" x14ac:dyDescent="0.15">
      <c r="A111" s="146"/>
      <c r="B111" s="88">
        <v>108</v>
      </c>
      <c r="C111" s="106" t="s">
        <v>64</v>
      </c>
      <c r="D111" s="107" t="s">
        <v>64</v>
      </c>
      <c r="E111" s="106" t="s">
        <v>64</v>
      </c>
      <c r="F111" s="106" t="s">
        <v>64</v>
      </c>
      <c r="G111" s="106">
        <v>0</v>
      </c>
      <c r="H111" s="147"/>
      <c r="I111" s="108" t="str">
        <f t="shared" si="5"/>
        <v>否</v>
      </c>
      <c r="J111" s="148"/>
      <c r="K111" s="148"/>
      <c r="L111" s="149"/>
      <c r="M111" s="148"/>
    </row>
    <row r="112" spans="1:13" x14ac:dyDescent="0.15">
      <c r="A112" s="146"/>
      <c r="B112" s="88">
        <v>109</v>
      </c>
      <c r="C112" s="106" t="s">
        <v>64</v>
      </c>
      <c r="D112" s="107" t="s">
        <v>64</v>
      </c>
      <c r="E112" s="106" t="s">
        <v>64</v>
      </c>
      <c r="F112" s="106" t="s">
        <v>64</v>
      </c>
      <c r="G112" s="106">
        <v>0</v>
      </c>
      <c r="H112" s="147"/>
      <c r="I112" s="108" t="str">
        <f t="shared" si="5"/>
        <v>否</v>
      </c>
      <c r="J112" s="148"/>
      <c r="K112" s="148"/>
      <c r="L112" s="149"/>
      <c r="M112" s="148"/>
    </row>
    <row r="113" spans="1:13" x14ac:dyDescent="0.15">
      <c r="A113" s="146"/>
      <c r="B113" s="88">
        <v>110</v>
      </c>
      <c r="C113" s="106" t="s">
        <v>64</v>
      </c>
      <c r="D113" s="107" t="s">
        <v>64</v>
      </c>
      <c r="E113" s="106" t="s">
        <v>64</v>
      </c>
      <c r="F113" s="106" t="s">
        <v>64</v>
      </c>
      <c r="G113" s="106">
        <v>0</v>
      </c>
      <c r="H113" s="147"/>
      <c r="I113" s="108" t="str">
        <f t="shared" si="5"/>
        <v>否</v>
      </c>
      <c r="J113" s="148"/>
      <c r="K113" s="148"/>
      <c r="L113" s="149"/>
      <c r="M113" s="148"/>
    </row>
    <row r="114" spans="1:13" x14ac:dyDescent="0.15">
      <c r="A114" s="146"/>
      <c r="B114" s="88">
        <v>111</v>
      </c>
      <c r="C114" s="106" t="s">
        <v>64</v>
      </c>
      <c r="D114" s="107" t="s">
        <v>64</v>
      </c>
      <c r="E114" s="106" t="s">
        <v>64</v>
      </c>
      <c r="F114" s="106" t="s">
        <v>64</v>
      </c>
      <c r="G114" s="106">
        <v>0</v>
      </c>
      <c r="H114" s="147"/>
      <c r="I114" s="108" t="str">
        <f t="shared" si="5"/>
        <v>否</v>
      </c>
      <c r="J114" s="148"/>
      <c r="K114" s="148"/>
      <c r="L114" s="149"/>
      <c r="M114" s="148"/>
    </row>
    <row r="115" spans="1:13" x14ac:dyDescent="0.15">
      <c r="A115" s="146"/>
      <c r="B115" s="88">
        <v>112</v>
      </c>
      <c r="C115" s="106" t="s">
        <v>64</v>
      </c>
      <c r="D115" s="107" t="s">
        <v>64</v>
      </c>
      <c r="E115" s="106" t="s">
        <v>64</v>
      </c>
      <c r="F115" s="106" t="s">
        <v>64</v>
      </c>
      <c r="G115" s="106">
        <v>0</v>
      </c>
      <c r="H115" s="147"/>
      <c r="I115" s="108" t="str">
        <f t="shared" si="5"/>
        <v>否</v>
      </c>
      <c r="J115" s="148"/>
      <c r="K115" s="148"/>
      <c r="L115" s="149"/>
      <c r="M115" s="148"/>
    </row>
    <row r="116" spans="1:13" x14ac:dyDescent="0.15">
      <c r="A116" s="146"/>
      <c r="B116" s="88">
        <v>113</v>
      </c>
      <c r="C116" s="106" t="s">
        <v>64</v>
      </c>
      <c r="D116" s="107" t="s">
        <v>64</v>
      </c>
      <c r="E116" s="106" t="s">
        <v>64</v>
      </c>
      <c r="F116" s="106" t="s">
        <v>64</v>
      </c>
      <c r="G116" s="106">
        <v>0</v>
      </c>
      <c r="H116" s="147"/>
      <c r="I116" s="108" t="str">
        <f t="shared" si="5"/>
        <v>否</v>
      </c>
      <c r="J116" s="148"/>
      <c r="K116" s="148"/>
      <c r="L116" s="149"/>
      <c r="M116" s="148"/>
    </row>
    <row r="117" spans="1:13" x14ac:dyDescent="0.15">
      <c r="A117" s="146"/>
      <c r="B117" s="88">
        <v>114</v>
      </c>
      <c r="C117" s="106" t="s">
        <v>64</v>
      </c>
      <c r="D117" s="107" t="s">
        <v>64</v>
      </c>
      <c r="E117" s="106" t="s">
        <v>64</v>
      </c>
      <c r="F117" s="106" t="s">
        <v>64</v>
      </c>
      <c r="G117" s="106">
        <v>0</v>
      </c>
      <c r="H117" s="147"/>
      <c r="I117" s="108" t="str">
        <f t="shared" si="5"/>
        <v>否</v>
      </c>
      <c r="J117" s="148"/>
      <c r="K117" s="148"/>
      <c r="L117" s="149"/>
      <c r="M117" s="148"/>
    </row>
    <row r="118" spans="1:13" x14ac:dyDescent="0.15">
      <c r="A118" s="146"/>
      <c r="B118" s="88">
        <v>115</v>
      </c>
      <c r="C118" s="106" t="s">
        <v>64</v>
      </c>
      <c r="D118" s="107" t="s">
        <v>64</v>
      </c>
      <c r="E118" s="106" t="s">
        <v>64</v>
      </c>
      <c r="F118" s="106" t="s">
        <v>64</v>
      </c>
      <c r="G118" s="106">
        <v>0</v>
      </c>
      <c r="H118" s="147"/>
      <c r="I118" s="108" t="str">
        <f t="shared" si="5"/>
        <v>否</v>
      </c>
      <c r="J118" s="148"/>
      <c r="K118" s="148"/>
      <c r="L118" s="149"/>
      <c r="M118" s="148"/>
    </row>
    <row r="119" spans="1:13" x14ac:dyDescent="0.15">
      <c r="A119" s="146"/>
      <c r="B119" s="88">
        <v>116</v>
      </c>
      <c r="C119" s="106" t="s">
        <v>64</v>
      </c>
      <c r="D119" s="107" t="s">
        <v>64</v>
      </c>
      <c r="E119" s="106" t="s">
        <v>64</v>
      </c>
      <c r="F119" s="106" t="s">
        <v>64</v>
      </c>
      <c r="G119" s="106">
        <v>0</v>
      </c>
      <c r="H119" s="147"/>
      <c r="I119" s="108" t="str">
        <f t="shared" si="5"/>
        <v>否</v>
      </c>
      <c r="J119" s="148"/>
      <c r="K119" s="148"/>
      <c r="L119" s="149"/>
      <c r="M119" s="148"/>
    </row>
    <row r="120" spans="1:13" x14ac:dyDescent="0.15">
      <c r="A120" s="146"/>
      <c r="B120" s="88">
        <v>117</v>
      </c>
      <c r="C120" s="106" t="s">
        <v>64</v>
      </c>
      <c r="D120" s="107" t="s">
        <v>64</v>
      </c>
      <c r="E120" s="106" t="s">
        <v>64</v>
      </c>
      <c r="F120" s="106" t="s">
        <v>64</v>
      </c>
      <c r="G120" s="106">
        <v>0</v>
      </c>
      <c r="H120" s="147"/>
      <c r="I120" s="108" t="str">
        <f t="shared" si="5"/>
        <v>否</v>
      </c>
      <c r="J120" s="148"/>
      <c r="K120" s="148"/>
      <c r="L120" s="149"/>
      <c r="M120" s="148"/>
    </row>
    <row r="121" spans="1:13" x14ac:dyDescent="0.15">
      <c r="A121" s="146"/>
      <c r="B121" s="88">
        <v>118</v>
      </c>
      <c r="C121" s="106" t="s">
        <v>64</v>
      </c>
      <c r="D121" s="107" t="s">
        <v>64</v>
      </c>
      <c r="E121" s="106" t="s">
        <v>64</v>
      </c>
      <c r="F121" s="106" t="s">
        <v>64</v>
      </c>
      <c r="G121" s="106">
        <v>0</v>
      </c>
      <c r="H121" s="147"/>
      <c r="I121" s="108" t="str">
        <f t="shared" si="5"/>
        <v>否</v>
      </c>
      <c r="J121" s="148"/>
      <c r="K121" s="148"/>
      <c r="L121" s="149"/>
      <c r="M121" s="148"/>
    </row>
    <row r="122" spans="1:13" x14ac:dyDescent="0.15">
      <c r="A122" s="146"/>
      <c r="B122" s="88">
        <v>119</v>
      </c>
      <c r="C122" s="106" t="s">
        <v>64</v>
      </c>
      <c r="D122" s="107" t="s">
        <v>64</v>
      </c>
      <c r="E122" s="106" t="s">
        <v>64</v>
      </c>
      <c r="F122" s="106" t="s">
        <v>64</v>
      </c>
      <c r="G122" s="106">
        <v>0</v>
      </c>
      <c r="H122" s="147"/>
      <c r="I122" s="108" t="str">
        <f t="shared" si="5"/>
        <v>否</v>
      </c>
      <c r="J122" s="148"/>
      <c r="K122" s="148"/>
      <c r="L122" s="149"/>
      <c r="M122" s="148"/>
    </row>
    <row r="123" spans="1:13" x14ac:dyDescent="0.15">
      <c r="A123" s="146"/>
      <c r="B123" s="88">
        <v>120</v>
      </c>
      <c r="C123" s="106" t="s">
        <v>64</v>
      </c>
      <c r="D123" s="107" t="s">
        <v>64</v>
      </c>
      <c r="E123" s="106" t="s">
        <v>64</v>
      </c>
      <c r="F123" s="106" t="s">
        <v>64</v>
      </c>
      <c r="G123" s="106">
        <v>0</v>
      </c>
      <c r="H123" s="147"/>
      <c r="I123" s="108" t="str">
        <f t="shared" si="5"/>
        <v>否</v>
      </c>
      <c r="J123" s="148"/>
      <c r="K123" s="148"/>
      <c r="L123" s="149"/>
      <c r="M123" s="148"/>
    </row>
    <row r="124" spans="1:13" x14ac:dyDescent="0.15">
      <c r="A124" s="146"/>
      <c r="B124" s="88">
        <v>121</v>
      </c>
      <c r="C124" s="106" t="s">
        <v>64</v>
      </c>
      <c r="D124" s="107" t="s">
        <v>64</v>
      </c>
      <c r="E124" s="106" t="s">
        <v>64</v>
      </c>
      <c r="F124" s="106" t="s">
        <v>64</v>
      </c>
      <c r="G124" s="106">
        <v>0</v>
      </c>
      <c r="H124" s="147"/>
      <c r="I124" s="108" t="str">
        <f t="shared" si="5"/>
        <v>否</v>
      </c>
      <c r="J124" s="148"/>
      <c r="K124" s="148"/>
      <c r="L124" s="149"/>
      <c r="M124" s="148"/>
    </row>
    <row r="125" spans="1:13" x14ac:dyDescent="0.15">
      <c r="A125" s="146"/>
      <c r="B125" s="88">
        <v>122</v>
      </c>
      <c r="C125" s="106" t="s">
        <v>64</v>
      </c>
      <c r="D125" s="107" t="s">
        <v>64</v>
      </c>
      <c r="E125" s="106" t="s">
        <v>64</v>
      </c>
      <c r="F125" s="106" t="s">
        <v>64</v>
      </c>
      <c r="G125" s="106">
        <v>0</v>
      </c>
      <c r="H125" s="147"/>
      <c r="I125" s="108" t="str">
        <f t="shared" si="5"/>
        <v>否</v>
      </c>
      <c r="J125" s="148"/>
      <c r="K125" s="148"/>
      <c r="L125" s="149"/>
      <c r="M125" s="148"/>
    </row>
    <row r="126" spans="1:13" x14ac:dyDescent="0.15">
      <c r="A126" s="146"/>
      <c r="B126" s="88">
        <v>123</v>
      </c>
      <c r="C126" s="106" t="s">
        <v>64</v>
      </c>
      <c r="D126" s="107" t="s">
        <v>64</v>
      </c>
      <c r="E126" s="106" t="s">
        <v>64</v>
      </c>
      <c r="F126" s="106" t="s">
        <v>64</v>
      </c>
      <c r="G126" s="106">
        <v>0</v>
      </c>
      <c r="H126" s="147"/>
      <c r="I126" s="108" t="str">
        <f t="shared" si="5"/>
        <v>否</v>
      </c>
      <c r="J126" s="148"/>
      <c r="K126" s="148"/>
      <c r="L126" s="149"/>
      <c r="M126" s="148"/>
    </row>
    <row r="127" spans="1:13" x14ac:dyDescent="0.15">
      <c r="A127" s="146"/>
      <c r="B127" s="88">
        <v>124</v>
      </c>
      <c r="C127" s="106" t="s">
        <v>64</v>
      </c>
      <c r="D127" s="107" t="s">
        <v>64</v>
      </c>
      <c r="E127" s="106" t="s">
        <v>64</v>
      </c>
      <c r="F127" s="106" t="s">
        <v>64</v>
      </c>
      <c r="G127" s="106">
        <v>0</v>
      </c>
      <c r="H127" s="147"/>
      <c r="I127" s="108" t="str">
        <f t="shared" si="5"/>
        <v>否</v>
      </c>
      <c r="J127" s="148"/>
      <c r="K127" s="148"/>
      <c r="L127" s="149"/>
      <c r="M127" s="148"/>
    </row>
    <row r="128" spans="1:13" x14ac:dyDescent="0.15">
      <c r="A128" s="146"/>
      <c r="B128" s="88">
        <v>125</v>
      </c>
      <c r="C128" s="106" t="s">
        <v>64</v>
      </c>
      <c r="D128" s="107" t="s">
        <v>64</v>
      </c>
      <c r="E128" s="106" t="s">
        <v>64</v>
      </c>
      <c r="F128" s="106" t="s">
        <v>64</v>
      </c>
      <c r="G128" s="106">
        <v>0</v>
      </c>
      <c r="H128" s="147"/>
      <c r="I128" s="108" t="str">
        <f t="shared" si="5"/>
        <v>否</v>
      </c>
      <c r="J128" s="148"/>
      <c r="K128" s="148"/>
      <c r="L128" s="149"/>
      <c r="M128" s="148"/>
    </row>
    <row r="129" spans="1:13" x14ac:dyDescent="0.15">
      <c r="A129" s="146"/>
      <c r="B129" s="88">
        <v>126</v>
      </c>
      <c r="C129" s="106" t="s">
        <v>64</v>
      </c>
      <c r="D129" s="107" t="s">
        <v>64</v>
      </c>
      <c r="E129" s="106" t="s">
        <v>64</v>
      </c>
      <c r="F129" s="106" t="s">
        <v>64</v>
      </c>
      <c r="G129" s="106">
        <v>0</v>
      </c>
      <c r="H129" s="147"/>
      <c r="I129" s="108" t="str">
        <f t="shared" si="5"/>
        <v>否</v>
      </c>
      <c r="J129" s="148"/>
      <c r="K129" s="148"/>
      <c r="L129" s="149"/>
      <c r="M129" s="148"/>
    </row>
    <row r="130" spans="1:13" x14ac:dyDescent="0.15">
      <c r="A130" s="146"/>
      <c r="B130" s="88">
        <v>127</v>
      </c>
      <c r="C130" s="106" t="s">
        <v>64</v>
      </c>
      <c r="D130" s="107" t="s">
        <v>64</v>
      </c>
      <c r="E130" s="106" t="s">
        <v>64</v>
      </c>
      <c r="F130" s="106" t="s">
        <v>64</v>
      </c>
      <c r="G130" s="106">
        <v>0</v>
      </c>
      <c r="H130" s="147"/>
      <c r="I130" s="108" t="str">
        <f t="shared" si="5"/>
        <v>否</v>
      </c>
      <c r="J130" s="148"/>
      <c r="K130" s="148"/>
      <c r="L130" s="149"/>
      <c r="M130" s="148"/>
    </row>
    <row r="131" spans="1:13" x14ac:dyDescent="0.15">
      <c r="A131" s="146"/>
      <c r="B131" s="88">
        <v>128</v>
      </c>
      <c r="C131" s="106" t="s">
        <v>64</v>
      </c>
      <c r="D131" s="107" t="s">
        <v>64</v>
      </c>
      <c r="E131" s="106" t="s">
        <v>64</v>
      </c>
      <c r="F131" s="106" t="s">
        <v>64</v>
      </c>
      <c r="G131" s="106">
        <v>0</v>
      </c>
      <c r="H131" s="147"/>
      <c r="I131" s="108" t="str">
        <f t="shared" si="5"/>
        <v>否</v>
      </c>
      <c r="J131" s="148"/>
      <c r="K131" s="148"/>
      <c r="L131" s="149"/>
      <c r="M131" s="148"/>
    </row>
    <row r="132" spans="1:13" x14ac:dyDescent="0.15">
      <c r="A132" s="146"/>
      <c r="B132" s="88">
        <v>129</v>
      </c>
      <c r="C132" s="106" t="s">
        <v>64</v>
      </c>
      <c r="D132" s="107" t="s">
        <v>64</v>
      </c>
      <c r="E132" s="106" t="s">
        <v>64</v>
      </c>
      <c r="F132" s="106" t="s">
        <v>64</v>
      </c>
      <c r="G132" s="106">
        <v>0</v>
      </c>
      <c r="H132" s="147"/>
      <c r="I132" s="108" t="str">
        <f t="shared" si="5"/>
        <v>否</v>
      </c>
      <c r="J132" s="148"/>
      <c r="K132" s="148"/>
      <c r="L132" s="149"/>
      <c r="M132" s="148"/>
    </row>
    <row r="133" spans="1:13" x14ac:dyDescent="0.15">
      <c r="A133" s="146"/>
      <c r="B133" s="88">
        <v>130</v>
      </c>
      <c r="C133" s="106" t="s">
        <v>64</v>
      </c>
      <c r="D133" s="107" t="s">
        <v>64</v>
      </c>
      <c r="E133" s="106" t="s">
        <v>64</v>
      </c>
      <c r="F133" s="106" t="s">
        <v>64</v>
      </c>
      <c r="G133" s="106">
        <v>0</v>
      </c>
      <c r="H133" s="147"/>
      <c r="I133" s="108" t="str">
        <f t="shared" si="5"/>
        <v>否</v>
      </c>
      <c r="J133" s="148"/>
      <c r="K133" s="148"/>
      <c r="L133" s="149"/>
      <c r="M133" s="148"/>
    </row>
    <row r="134" spans="1:13" x14ac:dyDescent="0.15">
      <c r="A134" s="146"/>
      <c r="B134" s="88">
        <v>131</v>
      </c>
      <c r="C134" s="106" t="s">
        <v>64</v>
      </c>
      <c r="D134" s="107" t="s">
        <v>64</v>
      </c>
      <c r="E134" s="106" t="s">
        <v>64</v>
      </c>
      <c r="F134" s="106" t="s">
        <v>64</v>
      </c>
      <c r="G134" s="106">
        <v>0</v>
      </c>
      <c r="H134" s="147"/>
      <c r="I134" s="108" t="str">
        <f t="shared" si="5"/>
        <v>否</v>
      </c>
      <c r="J134" s="148"/>
      <c r="K134" s="148"/>
      <c r="L134" s="149"/>
      <c r="M134" s="148"/>
    </row>
    <row r="135" spans="1:13" x14ac:dyDescent="0.15">
      <c r="A135" s="146"/>
      <c r="B135" s="88">
        <v>132</v>
      </c>
      <c r="C135" s="106" t="s">
        <v>64</v>
      </c>
      <c r="D135" s="107" t="s">
        <v>64</v>
      </c>
      <c r="E135" s="106" t="s">
        <v>64</v>
      </c>
      <c r="F135" s="106" t="s">
        <v>64</v>
      </c>
      <c r="G135" s="106">
        <v>0</v>
      </c>
      <c r="H135" s="147"/>
      <c r="I135" s="108" t="str">
        <f t="shared" si="5"/>
        <v>否</v>
      </c>
      <c r="J135" s="148"/>
      <c r="K135" s="148"/>
      <c r="L135" s="149"/>
      <c r="M135" s="148"/>
    </row>
    <row r="136" spans="1:13" x14ac:dyDescent="0.15">
      <c r="A136" s="146"/>
      <c r="B136" s="88">
        <v>133</v>
      </c>
      <c r="C136" s="106" t="s">
        <v>64</v>
      </c>
      <c r="D136" s="107" t="s">
        <v>64</v>
      </c>
      <c r="E136" s="106" t="s">
        <v>64</v>
      </c>
      <c r="F136" s="106" t="s">
        <v>64</v>
      </c>
      <c r="G136" s="106">
        <v>0</v>
      </c>
      <c r="H136" s="147"/>
      <c r="I136" s="108" t="str">
        <f t="shared" si="5"/>
        <v>否</v>
      </c>
      <c r="J136" s="148"/>
      <c r="K136" s="148"/>
      <c r="L136" s="149"/>
      <c r="M136" s="148"/>
    </row>
    <row r="137" spans="1:13" x14ac:dyDescent="0.15">
      <c r="A137" s="146"/>
      <c r="B137" s="88">
        <v>134</v>
      </c>
      <c r="C137" s="106" t="s">
        <v>64</v>
      </c>
      <c r="D137" s="107" t="s">
        <v>64</v>
      </c>
      <c r="E137" s="106" t="s">
        <v>64</v>
      </c>
      <c r="F137" s="106" t="s">
        <v>64</v>
      </c>
      <c r="G137" s="106">
        <v>0</v>
      </c>
      <c r="H137" s="147"/>
      <c r="I137" s="108" t="str">
        <f t="shared" si="5"/>
        <v>否</v>
      </c>
      <c r="J137" s="148"/>
      <c r="K137" s="148"/>
      <c r="L137" s="149"/>
      <c r="M137" s="148"/>
    </row>
    <row r="138" spans="1:13" x14ac:dyDescent="0.15">
      <c r="A138" s="146"/>
      <c r="B138" s="88">
        <v>135</v>
      </c>
      <c r="C138" s="106" t="s">
        <v>64</v>
      </c>
      <c r="D138" s="107" t="s">
        <v>64</v>
      </c>
      <c r="E138" s="106" t="s">
        <v>64</v>
      </c>
      <c r="F138" s="106" t="s">
        <v>64</v>
      </c>
      <c r="G138" s="106">
        <v>0</v>
      </c>
      <c r="H138" s="147"/>
      <c r="I138" s="108" t="str">
        <f t="shared" si="5"/>
        <v>否</v>
      </c>
      <c r="J138" s="148"/>
      <c r="K138" s="148"/>
      <c r="L138" s="149"/>
      <c r="M138" s="148"/>
    </row>
    <row r="139" spans="1:13" x14ac:dyDescent="0.15">
      <c r="A139" s="146"/>
      <c r="B139" s="88">
        <v>136</v>
      </c>
      <c r="C139" s="106" t="s">
        <v>64</v>
      </c>
      <c r="D139" s="107" t="s">
        <v>64</v>
      </c>
      <c r="E139" s="106" t="s">
        <v>64</v>
      </c>
      <c r="F139" s="106" t="s">
        <v>64</v>
      </c>
      <c r="G139" s="106">
        <v>0</v>
      </c>
      <c r="H139" s="147"/>
      <c r="I139" s="108" t="s">
        <v>66</v>
      </c>
      <c r="J139" s="148"/>
      <c r="K139" s="148"/>
      <c r="L139" s="149"/>
      <c r="M139" s="148"/>
    </row>
    <row r="140" spans="1:13" x14ac:dyDescent="0.15">
      <c r="A140" s="146"/>
      <c r="B140" s="88">
        <v>137</v>
      </c>
      <c r="C140" s="106" t="s">
        <v>64</v>
      </c>
      <c r="D140" s="107" t="s">
        <v>64</v>
      </c>
      <c r="E140" s="106" t="s">
        <v>64</v>
      </c>
      <c r="F140" s="106" t="s">
        <v>64</v>
      </c>
      <c r="G140" s="106">
        <v>0</v>
      </c>
      <c r="H140" s="147"/>
      <c r="I140" s="108" t="s">
        <v>66</v>
      </c>
      <c r="J140" s="148"/>
      <c r="K140" s="148"/>
      <c r="L140" s="149"/>
      <c r="M140" s="148"/>
    </row>
    <row r="141" spans="1:13" x14ac:dyDescent="0.15">
      <c r="A141" s="146"/>
      <c r="B141" s="88">
        <v>138</v>
      </c>
      <c r="C141" s="106" t="s">
        <v>64</v>
      </c>
      <c r="D141" s="107" t="s">
        <v>64</v>
      </c>
      <c r="E141" s="106" t="s">
        <v>64</v>
      </c>
      <c r="F141" s="106" t="s">
        <v>64</v>
      </c>
      <c r="G141" s="106">
        <v>0</v>
      </c>
      <c r="H141" s="147"/>
      <c r="I141" s="108" t="s">
        <v>66</v>
      </c>
      <c r="J141" s="148"/>
      <c r="K141" s="148"/>
      <c r="L141" s="149"/>
      <c r="M141" s="148"/>
    </row>
    <row r="142" spans="1:13" x14ac:dyDescent="0.15">
      <c r="A142" s="146"/>
      <c r="B142" s="88">
        <v>139</v>
      </c>
      <c r="C142" s="106" t="s">
        <v>64</v>
      </c>
      <c r="D142" s="107" t="s">
        <v>64</v>
      </c>
      <c r="E142" s="106" t="s">
        <v>64</v>
      </c>
      <c r="F142" s="106" t="s">
        <v>64</v>
      </c>
      <c r="G142" s="106">
        <v>0</v>
      </c>
      <c r="H142" s="147"/>
      <c r="I142" s="108" t="s">
        <v>66</v>
      </c>
      <c r="J142" s="148"/>
      <c r="K142" s="148"/>
      <c r="L142" s="149"/>
      <c r="M142" s="148"/>
    </row>
    <row r="143" spans="1:13" x14ac:dyDescent="0.15">
      <c r="A143" s="146"/>
      <c r="B143" s="88">
        <v>140</v>
      </c>
      <c r="C143" s="106" t="s">
        <v>64</v>
      </c>
      <c r="D143" s="107" t="s">
        <v>64</v>
      </c>
      <c r="E143" s="106" t="s">
        <v>64</v>
      </c>
      <c r="F143" s="106" t="s">
        <v>64</v>
      </c>
      <c r="G143" s="106">
        <v>0</v>
      </c>
      <c r="H143" s="147"/>
      <c r="I143" s="108" t="s">
        <v>66</v>
      </c>
      <c r="J143" s="148"/>
      <c r="K143" s="148"/>
      <c r="L143" s="149"/>
      <c r="M143" s="148"/>
    </row>
    <row r="144" spans="1:13" x14ac:dyDescent="0.15">
      <c r="A144" s="146"/>
      <c r="B144" s="88">
        <v>141</v>
      </c>
      <c r="C144" s="106" t="s">
        <v>64</v>
      </c>
      <c r="D144" s="107" t="s">
        <v>64</v>
      </c>
      <c r="E144" s="106" t="s">
        <v>64</v>
      </c>
      <c r="F144" s="106" t="s">
        <v>64</v>
      </c>
      <c r="G144" s="106">
        <v>0</v>
      </c>
      <c r="H144" s="147"/>
      <c r="I144" s="108" t="s">
        <v>66</v>
      </c>
      <c r="J144" s="148"/>
      <c r="K144" s="148"/>
      <c r="L144" s="149"/>
      <c r="M144" s="148"/>
    </row>
    <row r="145" spans="1:13" x14ac:dyDescent="0.15">
      <c r="A145" s="146"/>
      <c r="B145" s="88">
        <v>142</v>
      </c>
      <c r="C145" s="106" t="s">
        <v>64</v>
      </c>
      <c r="D145" s="107" t="s">
        <v>64</v>
      </c>
      <c r="E145" s="106" t="s">
        <v>64</v>
      </c>
      <c r="F145" s="106" t="s">
        <v>64</v>
      </c>
      <c r="G145" s="106">
        <v>0</v>
      </c>
      <c r="H145" s="147"/>
      <c r="I145" s="108" t="s">
        <v>66</v>
      </c>
      <c r="J145" s="148"/>
      <c r="K145" s="148"/>
      <c r="L145" s="149"/>
      <c r="M145" s="148"/>
    </row>
    <row r="146" spans="1:13" x14ac:dyDescent="0.15">
      <c r="A146" s="146"/>
      <c r="B146" s="88">
        <v>143</v>
      </c>
      <c r="C146" s="106" t="s">
        <v>64</v>
      </c>
      <c r="D146" s="107" t="s">
        <v>64</v>
      </c>
      <c r="E146" s="106" t="s">
        <v>64</v>
      </c>
      <c r="F146" s="106" t="s">
        <v>64</v>
      </c>
      <c r="G146" s="106">
        <v>0</v>
      </c>
      <c r="H146" s="147"/>
      <c r="I146" s="108" t="s">
        <v>66</v>
      </c>
      <c r="J146" s="148"/>
      <c r="K146" s="148"/>
      <c r="L146" s="149"/>
      <c r="M146" s="148"/>
    </row>
    <row r="147" spans="1:13" x14ac:dyDescent="0.15">
      <c r="A147" s="146"/>
      <c r="B147" s="88">
        <v>144</v>
      </c>
      <c r="C147" s="106" t="s">
        <v>64</v>
      </c>
      <c r="D147" s="107" t="s">
        <v>64</v>
      </c>
      <c r="E147" s="106" t="s">
        <v>64</v>
      </c>
      <c r="F147" s="106" t="s">
        <v>64</v>
      </c>
      <c r="G147" s="106">
        <v>0</v>
      </c>
      <c r="H147" s="147"/>
      <c r="I147" s="108" t="s">
        <v>66</v>
      </c>
      <c r="J147" s="148"/>
      <c r="K147" s="148"/>
      <c r="L147" s="149"/>
      <c r="M147" s="148"/>
    </row>
    <row r="148" spans="1:13" x14ac:dyDescent="0.15">
      <c r="A148" s="146"/>
      <c r="B148" s="88">
        <v>145</v>
      </c>
      <c r="C148" s="106" t="s">
        <v>64</v>
      </c>
      <c r="D148" s="107" t="s">
        <v>64</v>
      </c>
      <c r="E148" s="106" t="s">
        <v>64</v>
      </c>
      <c r="F148" s="106" t="s">
        <v>64</v>
      </c>
      <c r="G148" s="106">
        <v>0</v>
      </c>
      <c r="H148" s="147"/>
      <c r="I148" s="108" t="s">
        <v>66</v>
      </c>
      <c r="J148" s="148"/>
      <c r="K148" s="148"/>
      <c r="L148" s="149"/>
      <c r="M148" s="148"/>
    </row>
    <row r="149" spans="1:13" x14ac:dyDescent="0.15">
      <c r="A149" s="146"/>
      <c r="B149" s="88">
        <v>146</v>
      </c>
      <c r="C149" s="106" t="s">
        <v>64</v>
      </c>
      <c r="D149" s="107" t="s">
        <v>64</v>
      </c>
      <c r="E149" s="106" t="s">
        <v>64</v>
      </c>
      <c r="F149" s="106" t="s">
        <v>64</v>
      </c>
      <c r="G149" s="106">
        <v>0</v>
      </c>
      <c r="H149" s="147"/>
      <c r="I149" s="108" t="s">
        <v>66</v>
      </c>
      <c r="J149" s="148"/>
      <c r="K149" s="148"/>
      <c r="L149" s="149"/>
      <c r="M149" s="148"/>
    </row>
    <row r="150" spans="1:13" x14ac:dyDescent="0.15">
      <c r="A150" s="146"/>
      <c r="B150" s="88">
        <v>146</v>
      </c>
      <c r="C150" s="106" t="s">
        <v>64</v>
      </c>
      <c r="D150" s="107" t="s">
        <v>64</v>
      </c>
      <c r="E150" s="106" t="s">
        <v>64</v>
      </c>
      <c r="F150" s="106" t="s">
        <v>64</v>
      </c>
      <c r="G150" s="106">
        <v>0</v>
      </c>
      <c r="H150" s="147"/>
      <c r="I150" s="108" t="s">
        <v>66</v>
      </c>
      <c r="J150" s="148"/>
      <c r="K150" s="148"/>
      <c r="L150" s="149"/>
      <c r="M150" s="148"/>
    </row>
    <row r="151" spans="1:13" x14ac:dyDescent="0.15">
      <c r="A151" s="146"/>
      <c r="B151" s="109">
        <v>146</v>
      </c>
      <c r="C151" s="106" t="s">
        <v>64</v>
      </c>
      <c r="D151" s="107" t="s">
        <v>64</v>
      </c>
      <c r="E151" s="106" t="s">
        <v>64</v>
      </c>
      <c r="F151" s="106" t="s">
        <v>64</v>
      </c>
      <c r="G151" s="106">
        <v>0</v>
      </c>
      <c r="H151" s="147"/>
      <c r="I151" s="108" t="s">
        <v>66</v>
      </c>
      <c r="J151" s="148"/>
      <c r="K151" s="148"/>
      <c r="L151" s="149"/>
      <c r="M151" s="148"/>
    </row>
    <row r="152" spans="1:13" x14ac:dyDescent="0.15">
      <c r="A152" s="146"/>
      <c r="B152" s="109">
        <v>147</v>
      </c>
      <c r="C152" s="106" t="s">
        <v>64</v>
      </c>
      <c r="D152" s="107" t="s">
        <v>64</v>
      </c>
      <c r="E152" s="106" t="s">
        <v>64</v>
      </c>
      <c r="F152" s="106" t="s">
        <v>64</v>
      </c>
      <c r="G152" s="106">
        <v>0</v>
      </c>
      <c r="H152" s="147"/>
      <c r="I152" s="108" t="s">
        <v>66</v>
      </c>
      <c r="J152" s="148"/>
      <c r="K152" s="148"/>
      <c r="L152" s="149"/>
      <c r="M152" s="148"/>
    </row>
    <row r="153" spans="1:13" x14ac:dyDescent="0.15">
      <c r="A153" s="146"/>
      <c r="B153" s="109">
        <v>148</v>
      </c>
      <c r="C153" s="106" t="s">
        <v>64</v>
      </c>
      <c r="D153" s="107" t="s">
        <v>64</v>
      </c>
      <c r="E153" s="106" t="s">
        <v>64</v>
      </c>
      <c r="F153" s="106" t="s">
        <v>64</v>
      </c>
      <c r="G153" s="106">
        <v>0</v>
      </c>
      <c r="H153" s="147"/>
      <c r="I153" s="108" t="s">
        <v>66</v>
      </c>
      <c r="J153" s="148"/>
      <c r="K153" s="148"/>
      <c r="L153" s="149"/>
      <c r="M153" s="148"/>
    </row>
    <row r="154" spans="1:13" x14ac:dyDescent="0.15">
      <c r="A154" s="146"/>
      <c r="B154" s="109">
        <v>149</v>
      </c>
      <c r="C154" s="106" t="s">
        <v>64</v>
      </c>
      <c r="D154" s="107" t="s">
        <v>64</v>
      </c>
      <c r="E154" s="106" t="s">
        <v>64</v>
      </c>
      <c r="F154" s="106" t="s">
        <v>64</v>
      </c>
      <c r="G154" s="106">
        <v>0</v>
      </c>
      <c r="H154" s="147"/>
      <c r="I154" s="108" t="s">
        <v>66</v>
      </c>
      <c r="J154" s="148"/>
      <c r="K154" s="148"/>
      <c r="L154" s="149"/>
      <c r="M154" s="148"/>
    </row>
    <row r="155" spans="1:13" x14ac:dyDescent="0.15">
      <c r="A155" s="146"/>
      <c r="B155" s="109">
        <v>150</v>
      </c>
      <c r="C155" s="106" t="s">
        <v>64</v>
      </c>
      <c r="D155" s="107" t="s">
        <v>64</v>
      </c>
      <c r="E155" s="106" t="s">
        <v>64</v>
      </c>
      <c r="F155" s="106" t="s">
        <v>64</v>
      </c>
      <c r="G155" s="106">
        <v>0</v>
      </c>
      <c r="H155" s="147"/>
      <c r="I155" s="108" t="s">
        <v>66</v>
      </c>
      <c r="J155" s="148"/>
      <c r="K155" s="148"/>
      <c r="L155" s="149"/>
      <c r="M155" s="148"/>
    </row>
    <row r="156" spans="1:13" x14ac:dyDescent="0.15">
      <c r="A156" s="146"/>
      <c r="B156" s="109">
        <v>151</v>
      </c>
      <c r="C156" s="106" t="s">
        <v>64</v>
      </c>
      <c r="D156" s="107" t="s">
        <v>64</v>
      </c>
      <c r="E156" s="106" t="s">
        <v>64</v>
      </c>
      <c r="F156" s="106" t="s">
        <v>64</v>
      </c>
      <c r="G156" s="106">
        <v>0</v>
      </c>
      <c r="H156" s="147"/>
      <c r="I156" s="108" t="s">
        <v>66</v>
      </c>
      <c r="J156" s="148"/>
      <c r="K156" s="148"/>
      <c r="L156" s="149"/>
      <c r="M156" s="148"/>
    </row>
    <row r="157" spans="1:13" x14ac:dyDescent="0.15">
      <c r="A157" s="146"/>
      <c r="B157" s="109">
        <v>152</v>
      </c>
      <c r="C157" s="106" t="s">
        <v>64</v>
      </c>
      <c r="D157" s="107" t="s">
        <v>64</v>
      </c>
      <c r="E157" s="106" t="s">
        <v>64</v>
      </c>
      <c r="F157" s="106" t="s">
        <v>64</v>
      </c>
      <c r="G157" s="106">
        <v>0</v>
      </c>
      <c r="H157" s="147"/>
      <c r="I157" s="108" t="s">
        <v>66</v>
      </c>
      <c r="J157" s="148"/>
      <c r="K157" s="148"/>
      <c r="L157" s="149"/>
      <c r="M157" s="148"/>
    </row>
    <row r="158" spans="1:13" x14ac:dyDescent="0.15">
      <c r="A158" s="146"/>
      <c r="B158" s="109">
        <v>153</v>
      </c>
      <c r="C158" s="106" t="s">
        <v>64</v>
      </c>
      <c r="D158" s="107" t="s">
        <v>64</v>
      </c>
      <c r="E158" s="106" t="s">
        <v>64</v>
      </c>
      <c r="F158" s="106" t="s">
        <v>64</v>
      </c>
      <c r="G158" s="106">
        <v>0</v>
      </c>
      <c r="H158" s="147"/>
      <c r="I158" s="108" t="s">
        <v>66</v>
      </c>
      <c r="J158" s="148"/>
      <c r="K158" s="148"/>
      <c r="L158" s="149"/>
      <c r="M158" s="148"/>
    </row>
    <row r="159" spans="1:13" x14ac:dyDescent="0.15">
      <c r="A159" s="146"/>
      <c r="B159" s="109">
        <v>154</v>
      </c>
      <c r="C159" s="106" t="s">
        <v>64</v>
      </c>
      <c r="D159" s="107" t="s">
        <v>64</v>
      </c>
      <c r="E159" s="106" t="s">
        <v>64</v>
      </c>
      <c r="F159" s="106" t="s">
        <v>64</v>
      </c>
      <c r="G159" s="106">
        <v>0</v>
      </c>
      <c r="H159" s="147"/>
      <c r="I159" s="108" t="s">
        <v>66</v>
      </c>
      <c r="J159" s="148"/>
      <c r="K159" s="148"/>
      <c r="L159" s="149"/>
      <c r="M159" s="148"/>
    </row>
    <row r="160" spans="1:13" x14ac:dyDescent="0.15">
      <c r="A160" s="146"/>
      <c r="B160" s="109">
        <v>155</v>
      </c>
      <c r="C160" s="106" t="s">
        <v>64</v>
      </c>
      <c r="D160" s="107" t="s">
        <v>64</v>
      </c>
      <c r="E160" s="106" t="s">
        <v>64</v>
      </c>
      <c r="F160" s="106" t="s">
        <v>64</v>
      </c>
      <c r="G160" s="106">
        <v>0</v>
      </c>
      <c r="H160" s="147"/>
      <c r="I160" s="108" t="s">
        <v>66</v>
      </c>
      <c r="J160" s="148"/>
      <c r="K160" s="148"/>
      <c r="L160" s="149"/>
      <c r="M160" s="148"/>
    </row>
    <row r="161" spans="1:13" x14ac:dyDescent="0.15">
      <c r="A161" s="146"/>
      <c r="B161" s="109">
        <v>156</v>
      </c>
      <c r="C161" s="106" t="s">
        <v>64</v>
      </c>
      <c r="D161" s="107" t="s">
        <v>64</v>
      </c>
      <c r="E161" s="106" t="s">
        <v>64</v>
      </c>
      <c r="F161" s="106" t="s">
        <v>64</v>
      </c>
      <c r="G161" s="106">
        <v>0</v>
      </c>
      <c r="H161" s="147"/>
      <c r="I161" s="108" t="s">
        <v>66</v>
      </c>
      <c r="J161" s="148"/>
      <c r="K161" s="148"/>
      <c r="L161" s="149"/>
      <c r="M161" s="148"/>
    </row>
    <row r="162" spans="1:13" x14ac:dyDescent="0.15">
      <c r="A162" s="146"/>
      <c r="B162" s="109">
        <v>157</v>
      </c>
      <c r="C162" s="106" t="s">
        <v>64</v>
      </c>
      <c r="D162" s="107" t="s">
        <v>64</v>
      </c>
      <c r="E162" s="106" t="s">
        <v>64</v>
      </c>
      <c r="F162" s="106" t="s">
        <v>64</v>
      </c>
      <c r="G162" s="106">
        <v>0</v>
      </c>
      <c r="H162" s="147"/>
      <c r="I162" s="108" t="s">
        <v>66</v>
      </c>
      <c r="J162" s="148"/>
      <c r="K162" s="148"/>
      <c r="L162" s="149"/>
      <c r="M162" s="148"/>
    </row>
    <row r="163" spans="1:13" x14ac:dyDescent="0.15">
      <c r="A163" s="146"/>
      <c r="B163" s="109">
        <v>158</v>
      </c>
      <c r="C163" s="106" t="s">
        <v>64</v>
      </c>
      <c r="D163" s="107" t="s">
        <v>64</v>
      </c>
      <c r="E163" s="106" t="s">
        <v>64</v>
      </c>
      <c r="F163" s="106" t="s">
        <v>64</v>
      </c>
      <c r="G163" s="106">
        <v>0</v>
      </c>
      <c r="H163" s="147"/>
      <c r="I163" s="108" t="s">
        <v>66</v>
      </c>
      <c r="J163" s="148"/>
      <c r="K163" s="148"/>
      <c r="L163" s="149"/>
      <c r="M163" s="148"/>
    </row>
    <row r="164" spans="1:13" x14ac:dyDescent="0.15">
      <c r="A164" s="146"/>
      <c r="B164" s="109">
        <v>159</v>
      </c>
      <c r="C164" s="106" t="s">
        <v>64</v>
      </c>
      <c r="D164" s="107" t="s">
        <v>64</v>
      </c>
      <c r="E164" s="106" t="s">
        <v>64</v>
      </c>
      <c r="F164" s="106" t="s">
        <v>64</v>
      </c>
      <c r="G164" s="106">
        <v>0</v>
      </c>
      <c r="H164" s="147"/>
      <c r="I164" s="108" t="s">
        <v>66</v>
      </c>
      <c r="J164" s="148"/>
      <c r="K164" s="148"/>
      <c r="L164" s="149"/>
      <c r="M164" s="148"/>
    </row>
    <row r="165" spans="1:13" x14ac:dyDescent="0.15">
      <c r="A165" s="146"/>
      <c r="B165" s="109">
        <v>160</v>
      </c>
      <c r="C165" s="106" t="s">
        <v>64</v>
      </c>
      <c r="D165" s="107" t="s">
        <v>64</v>
      </c>
      <c r="E165" s="106" t="s">
        <v>64</v>
      </c>
      <c r="F165" s="106" t="s">
        <v>64</v>
      </c>
      <c r="G165" s="106">
        <v>0</v>
      </c>
      <c r="H165" s="147"/>
      <c r="I165" s="108" t="s">
        <v>66</v>
      </c>
      <c r="J165" s="148"/>
      <c r="K165" s="148"/>
      <c r="L165" s="149"/>
      <c r="M165" s="148"/>
    </row>
    <row r="166" spans="1:13" x14ac:dyDescent="0.15">
      <c r="A166" s="146"/>
      <c r="B166" s="109">
        <v>161</v>
      </c>
      <c r="C166" s="106" t="s">
        <v>64</v>
      </c>
      <c r="D166" s="107" t="s">
        <v>64</v>
      </c>
      <c r="E166" s="106" t="s">
        <v>64</v>
      </c>
      <c r="F166" s="106" t="s">
        <v>64</v>
      </c>
      <c r="G166" s="106">
        <v>0</v>
      </c>
      <c r="H166" s="147"/>
      <c r="I166" s="108" t="s">
        <v>66</v>
      </c>
      <c r="J166" s="148"/>
      <c r="K166" s="148"/>
      <c r="L166" s="149"/>
      <c r="M166" s="148"/>
    </row>
    <row r="167" spans="1:13" x14ac:dyDescent="0.15">
      <c r="A167" s="146"/>
      <c r="B167" s="109">
        <v>162</v>
      </c>
      <c r="C167" s="106" t="s">
        <v>64</v>
      </c>
      <c r="D167" s="107" t="s">
        <v>64</v>
      </c>
      <c r="E167" s="106" t="s">
        <v>64</v>
      </c>
      <c r="F167" s="106" t="s">
        <v>64</v>
      </c>
      <c r="G167" s="106">
        <v>0</v>
      </c>
      <c r="H167" s="147"/>
      <c r="I167" s="108" t="s">
        <v>66</v>
      </c>
      <c r="J167" s="148"/>
      <c r="K167" s="148"/>
      <c r="L167" s="149"/>
      <c r="M167" s="148"/>
    </row>
    <row r="168" spans="1:13" x14ac:dyDescent="0.15">
      <c r="A168" s="146"/>
      <c r="B168" s="109">
        <v>163</v>
      </c>
      <c r="C168" s="106" t="s">
        <v>64</v>
      </c>
      <c r="D168" s="107" t="s">
        <v>64</v>
      </c>
      <c r="E168" s="106" t="s">
        <v>64</v>
      </c>
      <c r="F168" s="106" t="s">
        <v>64</v>
      </c>
      <c r="G168" s="106">
        <v>0</v>
      </c>
      <c r="H168" s="147"/>
      <c r="I168" s="108" t="s">
        <v>66</v>
      </c>
      <c r="J168" s="148"/>
      <c r="K168" s="148"/>
      <c r="L168" s="149"/>
      <c r="M168" s="148"/>
    </row>
    <row r="169" spans="1:13" x14ac:dyDescent="0.15">
      <c r="A169" s="146"/>
      <c r="B169" s="109">
        <v>164</v>
      </c>
      <c r="C169" s="106" t="s">
        <v>64</v>
      </c>
      <c r="D169" s="107" t="s">
        <v>64</v>
      </c>
      <c r="E169" s="106" t="s">
        <v>64</v>
      </c>
      <c r="F169" s="106" t="s">
        <v>64</v>
      </c>
      <c r="G169" s="106">
        <v>0</v>
      </c>
      <c r="H169" s="147"/>
      <c r="I169" s="108" t="s">
        <v>66</v>
      </c>
      <c r="J169" s="148"/>
      <c r="K169" s="148"/>
      <c r="L169" s="149"/>
      <c r="M169" s="148"/>
    </row>
    <row r="170" spans="1:13" x14ac:dyDescent="0.15">
      <c r="A170" s="146"/>
      <c r="B170" s="109">
        <v>165</v>
      </c>
      <c r="C170" s="106" t="s">
        <v>64</v>
      </c>
      <c r="D170" s="107" t="s">
        <v>64</v>
      </c>
      <c r="E170" s="106" t="s">
        <v>64</v>
      </c>
      <c r="F170" s="106" t="s">
        <v>64</v>
      </c>
      <c r="G170" s="106">
        <v>0</v>
      </c>
      <c r="H170" s="147"/>
      <c r="I170" s="108" t="s">
        <v>66</v>
      </c>
      <c r="J170" s="148"/>
      <c r="K170" s="148"/>
      <c r="L170" s="149"/>
      <c r="M170" s="148"/>
    </row>
    <row r="171" spans="1:13" x14ac:dyDescent="0.15">
      <c r="A171" s="146"/>
      <c r="B171" s="109">
        <v>166</v>
      </c>
      <c r="C171" s="106" t="s">
        <v>64</v>
      </c>
      <c r="D171" s="107" t="s">
        <v>64</v>
      </c>
      <c r="E171" s="106" t="s">
        <v>64</v>
      </c>
      <c r="F171" s="106" t="s">
        <v>64</v>
      </c>
      <c r="G171" s="106">
        <v>0</v>
      </c>
      <c r="H171" s="147"/>
      <c r="I171" s="108" t="s">
        <v>66</v>
      </c>
      <c r="J171" s="148"/>
      <c r="K171" s="148"/>
      <c r="L171" s="149"/>
      <c r="M171" s="148"/>
    </row>
    <row r="172" spans="1:13" x14ac:dyDescent="0.15">
      <c r="A172" s="146"/>
      <c r="B172" s="109">
        <v>167</v>
      </c>
      <c r="C172" s="106" t="s">
        <v>64</v>
      </c>
      <c r="D172" s="107" t="s">
        <v>64</v>
      </c>
      <c r="E172" s="106" t="s">
        <v>64</v>
      </c>
      <c r="F172" s="106" t="s">
        <v>64</v>
      </c>
      <c r="G172" s="106">
        <v>0</v>
      </c>
      <c r="H172" s="147"/>
      <c r="I172" s="108" t="s">
        <v>66</v>
      </c>
      <c r="J172" s="148"/>
      <c r="K172" s="148"/>
      <c r="L172" s="149"/>
      <c r="M172" s="148"/>
    </row>
    <row r="173" spans="1:13" x14ac:dyDescent="0.15">
      <c r="A173" s="146"/>
      <c r="B173" s="109">
        <v>168</v>
      </c>
      <c r="C173" s="106" t="s">
        <v>64</v>
      </c>
      <c r="D173" s="107" t="s">
        <v>64</v>
      </c>
      <c r="E173" s="106" t="s">
        <v>64</v>
      </c>
      <c r="F173" s="106" t="s">
        <v>64</v>
      </c>
      <c r="G173" s="106">
        <v>0</v>
      </c>
      <c r="H173" s="147"/>
      <c r="I173" s="108" t="s">
        <v>66</v>
      </c>
      <c r="J173" s="148"/>
      <c r="K173" s="148"/>
      <c r="L173" s="149"/>
      <c r="M173" s="148"/>
    </row>
    <row r="174" spans="1:13" x14ac:dyDescent="0.15">
      <c r="A174" s="146"/>
      <c r="B174" s="109">
        <v>169</v>
      </c>
      <c r="C174" s="106" t="s">
        <v>64</v>
      </c>
      <c r="D174" s="107" t="s">
        <v>64</v>
      </c>
      <c r="E174" s="106" t="s">
        <v>64</v>
      </c>
      <c r="F174" s="106" t="s">
        <v>64</v>
      </c>
      <c r="G174" s="106">
        <v>0</v>
      </c>
      <c r="H174" s="147"/>
      <c r="I174" s="108" t="s">
        <v>66</v>
      </c>
      <c r="J174" s="148"/>
      <c r="K174" s="148"/>
      <c r="L174" s="149"/>
      <c r="M174" s="148"/>
    </row>
    <row r="175" spans="1:13" x14ac:dyDescent="0.15">
      <c r="A175" s="146"/>
      <c r="B175" s="109">
        <v>170</v>
      </c>
      <c r="C175" s="106" t="s">
        <v>64</v>
      </c>
      <c r="D175" s="107" t="s">
        <v>64</v>
      </c>
      <c r="E175" s="106" t="s">
        <v>64</v>
      </c>
      <c r="F175" s="106" t="s">
        <v>64</v>
      </c>
      <c r="G175" s="106">
        <v>0</v>
      </c>
      <c r="H175" s="147"/>
      <c r="I175" s="108" t="s">
        <v>66</v>
      </c>
      <c r="J175" s="148"/>
      <c r="K175" s="148"/>
      <c r="L175" s="149"/>
      <c r="M175" s="148"/>
    </row>
    <row r="176" spans="1:13" x14ac:dyDescent="0.15">
      <c r="A176" s="146"/>
      <c r="B176" s="109">
        <v>171</v>
      </c>
      <c r="C176" s="106" t="s">
        <v>64</v>
      </c>
      <c r="D176" s="107" t="s">
        <v>64</v>
      </c>
      <c r="E176" s="106" t="s">
        <v>64</v>
      </c>
      <c r="F176" s="106" t="s">
        <v>64</v>
      </c>
      <c r="G176" s="106">
        <v>0</v>
      </c>
      <c r="H176" s="147"/>
      <c r="I176" s="108" t="s">
        <v>66</v>
      </c>
      <c r="J176" s="148"/>
      <c r="K176" s="148"/>
      <c r="L176" s="149"/>
      <c r="M176" s="148"/>
    </row>
    <row r="177" spans="1:13" x14ac:dyDescent="0.15">
      <c r="A177" s="146"/>
      <c r="B177" s="109">
        <v>172</v>
      </c>
      <c r="C177" s="106" t="s">
        <v>64</v>
      </c>
      <c r="D177" s="107" t="s">
        <v>64</v>
      </c>
      <c r="E177" s="106" t="s">
        <v>64</v>
      </c>
      <c r="F177" s="106" t="s">
        <v>64</v>
      </c>
      <c r="G177" s="106">
        <v>0</v>
      </c>
      <c r="H177" s="147"/>
      <c r="I177" s="108" t="s">
        <v>66</v>
      </c>
      <c r="J177" s="148"/>
      <c r="K177" s="148"/>
      <c r="L177" s="149"/>
      <c r="M177" s="148"/>
    </row>
    <row r="178" spans="1:13" x14ac:dyDescent="0.15">
      <c r="A178" s="146"/>
      <c r="B178" s="109">
        <v>173</v>
      </c>
      <c r="C178" s="106" t="s">
        <v>64</v>
      </c>
      <c r="D178" s="107" t="s">
        <v>64</v>
      </c>
      <c r="E178" s="106" t="s">
        <v>64</v>
      </c>
      <c r="F178" s="106" t="s">
        <v>64</v>
      </c>
      <c r="G178" s="106">
        <v>0</v>
      </c>
      <c r="H178" s="147"/>
      <c r="I178" s="108" t="s">
        <v>66</v>
      </c>
      <c r="J178" s="148"/>
      <c r="K178" s="148"/>
      <c r="L178" s="149"/>
      <c r="M178" s="148"/>
    </row>
    <row r="179" spans="1:13" x14ac:dyDescent="0.15">
      <c r="A179" s="146"/>
      <c r="B179" s="109">
        <v>174</v>
      </c>
      <c r="C179" s="106" t="s">
        <v>64</v>
      </c>
      <c r="D179" s="107" t="s">
        <v>64</v>
      </c>
      <c r="E179" s="106" t="s">
        <v>64</v>
      </c>
      <c r="F179" s="106" t="s">
        <v>64</v>
      </c>
      <c r="G179" s="106">
        <v>0</v>
      </c>
      <c r="H179" s="147"/>
      <c r="I179" s="108" t="s">
        <v>66</v>
      </c>
      <c r="J179" s="148"/>
      <c r="K179" s="148"/>
      <c r="L179" s="149"/>
      <c r="M179" s="148"/>
    </row>
    <row r="180" spans="1:13" x14ac:dyDescent="0.15">
      <c r="A180" s="146"/>
      <c r="B180" s="109">
        <v>175</v>
      </c>
      <c r="C180" s="106" t="s">
        <v>64</v>
      </c>
      <c r="D180" s="107" t="s">
        <v>64</v>
      </c>
      <c r="E180" s="106" t="s">
        <v>64</v>
      </c>
      <c r="F180" s="106" t="s">
        <v>64</v>
      </c>
      <c r="G180" s="106">
        <v>0</v>
      </c>
      <c r="H180" s="147"/>
      <c r="I180" s="108" t="s">
        <v>66</v>
      </c>
      <c r="J180" s="148"/>
      <c r="K180" s="148"/>
      <c r="L180" s="149"/>
      <c r="M180" s="148"/>
    </row>
    <row r="181" spans="1:13" x14ac:dyDescent="0.15">
      <c r="A181" s="146"/>
      <c r="B181" s="109">
        <v>176</v>
      </c>
      <c r="C181" s="106" t="s">
        <v>64</v>
      </c>
      <c r="D181" s="107" t="s">
        <v>64</v>
      </c>
      <c r="E181" s="106" t="s">
        <v>64</v>
      </c>
      <c r="F181" s="106" t="s">
        <v>64</v>
      </c>
      <c r="G181" s="106">
        <v>0</v>
      </c>
      <c r="H181" s="147"/>
      <c r="I181" s="108" t="s">
        <v>66</v>
      </c>
      <c r="J181" s="148"/>
      <c r="K181" s="148"/>
      <c r="L181" s="149"/>
      <c r="M181" s="148"/>
    </row>
    <row r="182" spans="1:13" x14ac:dyDescent="0.15">
      <c r="A182" s="146"/>
      <c r="B182" s="109">
        <v>177</v>
      </c>
      <c r="C182" s="106" t="s">
        <v>64</v>
      </c>
      <c r="D182" s="107" t="s">
        <v>64</v>
      </c>
      <c r="E182" s="106" t="s">
        <v>64</v>
      </c>
      <c r="F182" s="106" t="s">
        <v>64</v>
      </c>
      <c r="G182" s="106">
        <v>0</v>
      </c>
      <c r="H182" s="147"/>
      <c r="I182" s="108" t="s">
        <v>66</v>
      </c>
      <c r="J182" s="148"/>
      <c r="K182" s="148"/>
      <c r="L182" s="149"/>
      <c r="M182" s="148"/>
    </row>
    <row r="183" spans="1:13" x14ac:dyDescent="0.15">
      <c r="A183" s="146"/>
      <c r="B183" s="109">
        <v>178</v>
      </c>
      <c r="C183" s="106" t="s">
        <v>64</v>
      </c>
      <c r="D183" s="107" t="s">
        <v>64</v>
      </c>
      <c r="E183" s="106" t="s">
        <v>64</v>
      </c>
      <c r="F183" s="106" t="s">
        <v>64</v>
      </c>
      <c r="G183" s="106">
        <v>0</v>
      </c>
      <c r="H183" s="147"/>
      <c r="I183" s="108" t="s">
        <v>66</v>
      </c>
      <c r="J183" s="148"/>
      <c r="K183" s="148"/>
      <c r="L183" s="149"/>
      <c r="M183" s="148"/>
    </row>
    <row r="184" spans="1:13" x14ac:dyDescent="0.15">
      <c r="A184" s="146"/>
      <c r="B184" s="109">
        <v>179</v>
      </c>
      <c r="C184" s="106" t="s">
        <v>64</v>
      </c>
      <c r="D184" s="107" t="s">
        <v>64</v>
      </c>
      <c r="E184" s="106" t="s">
        <v>64</v>
      </c>
      <c r="F184" s="106" t="s">
        <v>64</v>
      </c>
      <c r="G184" s="106">
        <v>0</v>
      </c>
      <c r="H184" s="147"/>
      <c r="I184" s="108" t="s">
        <v>66</v>
      </c>
      <c r="J184" s="148"/>
      <c r="K184" s="148"/>
      <c r="L184" s="149"/>
      <c r="M184" s="148"/>
    </row>
    <row r="185" spans="1:13" x14ac:dyDescent="0.15">
      <c r="A185" s="146"/>
      <c r="B185" s="109">
        <v>180</v>
      </c>
      <c r="C185" s="106" t="s">
        <v>64</v>
      </c>
      <c r="D185" s="107" t="s">
        <v>64</v>
      </c>
      <c r="E185" s="106" t="s">
        <v>64</v>
      </c>
      <c r="F185" s="106" t="s">
        <v>64</v>
      </c>
      <c r="G185" s="106">
        <v>0</v>
      </c>
      <c r="H185" s="147"/>
      <c r="I185" s="108" t="s">
        <v>66</v>
      </c>
      <c r="J185" s="148"/>
      <c r="K185" s="148"/>
      <c r="L185" s="149"/>
      <c r="M185" s="148"/>
    </row>
    <row r="186" spans="1:13" x14ac:dyDescent="0.15">
      <c r="A186" s="146"/>
      <c r="B186" s="109">
        <v>181</v>
      </c>
      <c r="C186" s="106" t="s">
        <v>64</v>
      </c>
      <c r="D186" s="107" t="s">
        <v>64</v>
      </c>
      <c r="E186" s="106" t="s">
        <v>64</v>
      </c>
      <c r="F186" s="106" t="s">
        <v>64</v>
      </c>
      <c r="G186" s="106">
        <v>0</v>
      </c>
      <c r="H186" s="147"/>
      <c r="I186" s="108" t="s">
        <v>66</v>
      </c>
      <c r="J186" s="148"/>
      <c r="K186" s="148"/>
      <c r="L186" s="149"/>
      <c r="M186" s="148"/>
    </row>
    <row r="187" spans="1:13" x14ac:dyDescent="0.15">
      <c r="A187" s="146"/>
      <c r="B187" s="109">
        <v>182</v>
      </c>
      <c r="C187" s="106" t="s">
        <v>64</v>
      </c>
      <c r="D187" s="107" t="s">
        <v>64</v>
      </c>
      <c r="E187" s="106" t="s">
        <v>64</v>
      </c>
      <c r="F187" s="106" t="s">
        <v>64</v>
      </c>
      <c r="G187" s="106">
        <v>0</v>
      </c>
      <c r="H187" s="147"/>
      <c r="I187" s="108" t="s">
        <v>66</v>
      </c>
      <c r="J187" s="148"/>
      <c r="K187" s="148"/>
      <c r="L187" s="149"/>
      <c r="M187" s="148"/>
    </row>
    <row r="188" spans="1:13" x14ac:dyDescent="0.15">
      <c r="A188" s="146"/>
      <c r="B188" s="109">
        <v>183</v>
      </c>
      <c r="C188" s="106" t="s">
        <v>64</v>
      </c>
      <c r="D188" s="107" t="s">
        <v>64</v>
      </c>
      <c r="E188" s="106" t="s">
        <v>64</v>
      </c>
      <c r="F188" s="106" t="s">
        <v>64</v>
      </c>
      <c r="G188" s="106">
        <v>0</v>
      </c>
      <c r="H188" s="147"/>
      <c r="I188" s="108" t="s">
        <v>66</v>
      </c>
      <c r="J188" s="148"/>
      <c r="K188" s="148"/>
      <c r="L188" s="149"/>
      <c r="M188" s="148"/>
    </row>
    <row r="189" spans="1:13" x14ac:dyDescent="0.15">
      <c r="A189" s="146"/>
      <c r="B189" s="109">
        <v>184</v>
      </c>
      <c r="C189" s="106" t="s">
        <v>64</v>
      </c>
      <c r="D189" s="107" t="s">
        <v>64</v>
      </c>
      <c r="E189" s="106" t="s">
        <v>64</v>
      </c>
      <c r="F189" s="106" t="s">
        <v>64</v>
      </c>
      <c r="G189" s="106">
        <v>0</v>
      </c>
      <c r="H189" s="147"/>
      <c r="I189" s="108" t="s">
        <v>66</v>
      </c>
      <c r="J189" s="148"/>
      <c r="K189" s="148"/>
      <c r="L189" s="149"/>
      <c r="M189" s="148"/>
    </row>
    <row r="190" spans="1:13" x14ac:dyDescent="0.15">
      <c r="A190" s="146"/>
      <c r="B190" s="109">
        <v>185</v>
      </c>
      <c r="C190" s="106" t="s">
        <v>64</v>
      </c>
      <c r="D190" s="107" t="s">
        <v>64</v>
      </c>
      <c r="E190" s="106" t="s">
        <v>64</v>
      </c>
      <c r="F190" s="106" t="s">
        <v>64</v>
      </c>
      <c r="G190" s="106">
        <v>0</v>
      </c>
      <c r="H190" s="147"/>
      <c r="I190" s="108" t="s">
        <v>66</v>
      </c>
      <c r="J190" s="148"/>
      <c r="K190" s="148"/>
      <c r="L190" s="149"/>
      <c r="M190" s="148"/>
    </row>
    <row r="191" spans="1:13" x14ac:dyDescent="0.15">
      <c r="A191" s="146"/>
      <c r="B191" s="109">
        <v>186</v>
      </c>
      <c r="C191" s="106" t="s">
        <v>64</v>
      </c>
      <c r="D191" s="107" t="s">
        <v>64</v>
      </c>
      <c r="E191" s="106" t="s">
        <v>64</v>
      </c>
      <c r="F191" s="106" t="s">
        <v>64</v>
      </c>
      <c r="G191" s="106">
        <v>0</v>
      </c>
      <c r="H191" s="147"/>
      <c r="I191" s="108" t="s">
        <v>66</v>
      </c>
      <c r="J191" s="148"/>
      <c r="K191" s="148"/>
      <c r="L191" s="149"/>
      <c r="M191" s="148"/>
    </row>
    <row r="192" spans="1:13" x14ac:dyDescent="0.15">
      <c r="A192" s="146"/>
      <c r="B192" s="109">
        <v>187</v>
      </c>
      <c r="C192" s="106" t="s">
        <v>64</v>
      </c>
      <c r="D192" s="107" t="s">
        <v>64</v>
      </c>
      <c r="E192" s="106" t="s">
        <v>64</v>
      </c>
      <c r="F192" s="106" t="s">
        <v>64</v>
      </c>
      <c r="G192" s="106">
        <v>0</v>
      </c>
      <c r="H192" s="147"/>
      <c r="I192" s="108" t="s">
        <v>66</v>
      </c>
      <c r="J192" s="148"/>
      <c r="K192" s="148"/>
      <c r="L192" s="149"/>
      <c r="M192" s="148"/>
    </row>
    <row r="193" spans="1:13" x14ac:dyDescent="0.15">
      <c r="A193" s="146"/>
      <c r="B193" s="109">
        <v>188</v>
      </c>
      <c r="C193" s="106" t="s">
        <v>64</v>
      </c>
      <c r="D193" s="107" t="s">
        <v>64</v>
      </c>
      <c r="E193" s="106" t="s">
        <v>64</v>
      </c>
      <c r="F193" s="106" t="s">
        <v>64</v>
      </c>
      <c r="G193" s="106">
        <v>0</v>
      </c>
      <c r="H193" s="147"/>
      <c r="I193" s="108" t="s">
        <v>66</v>
      </c>
      <c r="J193" s="148"/>
      <c r="K193" s="148"/>
      <c r="L193" s="149"/>
      <c r="M193" s="148"/>
    </row>
    <row r="194" spans="1:13" x14ac:dyDescent="0.15">
      <c r="A194" s="146"/>
      <c r="B194" s="109">
        <v>189</v>
      </c>
      <c r="C194" s="106" t="s">
        <v>64</v>
      </c>
      <c r="D194" s="107" t="s">
        <v>64</v>
      </c>
      <c r="E194" s="106" t="s">
        <v>64</v>
      </c>
      <c r="F194" s="106" t="s">
        <v>64</v>
      </c>
      <c r="G194" s="106">
        <v>0</v>
      </c>
      <c r="H194" s="147"/>
      <c r="I194" s="108" t="s">
        <v>66</v>
      </c>
      <c r="J194" s="148"/>
      <c r="K194" s="148"/>
      <c r="L194" s="149"/>
      <c r="M194" s="148"/>
    </row>
    <row r="195" spans="1:13" x14ac:dyDescent="0.15">
      <c r="A195" s="146"/>
      <c r="B195" s="109">
        <v>190</v>
      </c>
      <c r="C195" s="106" t="s">
        <v>64</v>
      </c>
      <c r="D195" s="107" t="s">
        <v>64</v>
      </c>
      <c r="E195" s="106" t="s">
        <v>64</v>
      </c>
      <c r="F195" s="106" t="s">
        <v>64</v>
      </c>
      <c r="G195" s="106">
        <v>0</v>
      </c>
      <c r="H195" s="147"/>
      <c r="I195" s="108" t="s">
        <v>66</v>
      </c>
      <c r="J195" s="148"/>
      <c r="K195" s="148"/>
      <c r="L195" s="149"/>
      <c r="M195" s="148"/>
    </row>
    <row r="196" spans="1:13" x14ac:dyDescent="0.15">
      <c r="A196" s="146"/>
      <c r="B196" s="109">
        <v>191</v>
      </c>
      <c r="C196" s="106" t="s">
        <v>64</v>
      </c>
      <c r="D196" s="107" t="s">
        <v>64</v>
      </c>
      <c r="E196" s="106" t="s">
        <v>64</v>
      </c>
      <c r="F196" s="106" t="s">
        <v>64</v>
      </c>
      <c r="G196" s="106">
        <v>0</v>
      </c>
      <c r="H196" s="147"/>
      <c r="I196" s="108" t="s">
        <v>66</v>
      </c>
      <c r="J196" s="148"/>
      <c r="K196" s="148"/>
      <c r="L196" s="149"/>
      <c r="M196" s="148"/>
    </row>
    <row r="197" spans="1:13" x14ac:dyDescent="0.15">
      <c r="A197" s="146"/>
      <c r="B197" s="109">
        <v>192</v>
      </c>
      <c r="C197" s="106" t="s">
        <v>64</v>
      </c>
      <c r="D197" s="107" t="s">
        <v>64</v>
      </c>
      <c r="E197" s="106" t="s">
        <v>64</v>
      </c>
      <c r="F197" s="106" t="s">
        <v>64</v>
      </c>
      <c r="G197" s="106">
        <v>0</v>
      </c>
      <c r="H197" s="147"/>
      <c r="I197" s="108" t="s">
        <v>66</v>
      </c>
      <c r="J197" s="148"/>
      <c r="K197" s="148"/>
      <c r="L197" s="149"/>
      <c r="M197" s="148"/>
    </row>
    <row r="198" spans="1:13" x14ac:dyDescent="0.15">
      <c r="A198" s="146"/>
      <c r="B198" s="109">
        <v>193</v>
      </c>
      <c r="C198" s="106" t="s">
        <v>64</v>
      </c>
      <c r="D198" s="107" t="s">
        <v>64</v>
      </c>
      <c r="E198" s="106" t="s">
        <v>64</v>
      </c>
      <c r="F198" s="106" t="s">
        <v>64</v>
      </c>
      <c r="G198" s="106">
        <v>0</v>
      </c>
      <c r="H198" s="147"/>
      <c r="I198" s="108" t="s">
        <v>66</v>
      </c>
      <c r="J198" s="148"/>
      <c r="K198" s="148"/>
      <c r="L198" s="149"/>
      <c r="M198" s="148"/>
    </row>
    <row r="199" spans="1:13" x14ac:dyDescent="0.15">
      <c r="A199" s="146"/>
      <c r="B199" s="109">
        <v>194</v>
      </c>
      <c r="C199" s="106" t="s">
        <v>64</v>
      </c>
      <c r="D199" s="107" t="s">
        <v>64</v>
      </c>
      <c r="E199" s="106" t="s">
        <v>64</v>
      </c>
      <c r="F199" s="106" t="s">
        <v>64</v>
      </c>
      <c r="G199" s="106">
        <v>0</v>
      </c>
      <c r="H199" s="147"/>
      <c r="I199" s="108" t="s">
        <v>66</v>
      </c>
      <c r="J199" s="148"/>
      <c r="K199" s="148"/>
      <c r="L199" s="149"/>
      <c r="M199" s="148"/>
    </row>
    <row r="200" spans="1:13" x14ac:dyDescent="0.15">
      <c r="A200" s="146"/>
      <c r="B200" s="109">
        <v>195</v>
      </c>
      <c r="C200" s="106" t="s">
        <v>64</v>
      </c>
      <c r="D200" s="107" t="s">
        <v>64</v>
      </c>
      <c r="E200" s="106" t="s">
        <v>64</v>
      </c>
      <c r="F200" s="106" t="s">
        <v>64</v>
      </c>
      <c r="G200" s="106">
        <v>0</v>
      </c>
      <c r="H200" s="147"/>
      <c r="I200" s="108" t="s">
        <v>66</v>
      </c>
      <c r="J200" s="148"/>
      <c r="K200" s="148"/>
      <c r="L200" s="149"/>
      <c r="M200" s="148"/>
    </row>
    <row r="201" spans="1:13" x14ac:dyDescent="0.15">
      <c r="A201" s="146"/>
      <c r="B201" s="109">
        <v>196</v>
      </c>
      <c r="C201" s="106" t="s">
        <v>64</v>
      </c>
      <c r="D201" s="107" t="s">
        <v>64</v>
      </c>
      <c r="E201" s="106" t="s">
        <v>64</v>
      </c>
      <c r="F201" s="106" t="s">
        <v>64</v>
      </c>
      <c r="G201" s="106">
        <v>0</v>
      </c>
      <c r="H201" s="147"/>
      <c r="I201" s="108" t="s">
        <v>66</v>
      </c>
      <c r="J201" s="148"/>
      <c r="K201" s="148"/>
      <c r="L201" s="149"/>
      <c r="M201" s="148"/>
    </row>
    <row r="202" spans="1:13" x14ac:dyDescent="0.15">
      <c r="A202" s="146"/>
      <c r="B202" s="109">
        <v>197</v>
      </c>
      <c r="C202" s="106" t="s">
        <v>64</v>
      </c>
      <c r="D202" s="107" t="s">
        <v>64</v>
      </c>
      <c r="E202" s="106" t="s">
        <v>64</v>
      </c>
      <c r="F202" s="106" t="s">
        <v>64</v>
      </c>
      <c r="G202" s="106">
        <v>0</v>
      </c>
      <c r="H202" s="147"/>
      <c r="I202" s="108" t="s">
        <v>66</v>
      </c>
      <c r="J202" s="148"/>
      <c r="K202" s="148"/>
      <c r="L202" s="149"/>
      <c r="M202" s="148"/>
    </row>
    <row r="203" spans="1:13" x14ac:dyDescent="0.15">
      <c r="A203" s="146"/>
      <c r="B203" s="109">
        <v>198</v>
      </c>
      <c r="C203" s="106" t="s">
        <v>64</v>
      </c>
      <c r="D203" s="107" t="s">
        <v>64</v>
      </c>
      <c r="E203" s="106" t="s">
        <v>64</v>
      </c>
      <c r="F203" s="106" t="s">
        <v>64</v>
      </c>
      <c r="G203" s="106">
        <v>0</v>
      </c>
      <c r="H203" s="147"/>
      <c r="I203" s="108" t="s">
        <v>66</v>
      </c>
      <c r="J203" s="148"/>
      <c r="K203" s="148"/>
      <c r="L203" s="149"/>
      <c r="M203" s="148"/>
    </row>
    <row r="204" spans="1:13" x14ac:dyDescent="0.15">
      <c r="A204" s="146"/>
      <c r="B204" s="109">
        <v>199</v>
      </c>
      <c r="C204" s="106" t="s">
        <v>64</v>
      </c>
      <c r="D204" s="107" t="s">
        <v>64</v>
      </c>
      <c r="E204" s="106" t="s">
        <v>64</v>
      </c>
      <c r="F204" s="106" t="s">
        <v>64</v>
      </c>
      <c r="G204" s="106">
        <v>0</v>
      </c>
      <c r="H204" s="147"/>
      <c r="I204" s="108" t="s">
        <v>66</v>
      </c>
      <c r="J204" s="148"/>
      <c r="K204" s="148"/>
      <c r="L204" s="149"/>
      <c r="M204" s="148"/>
    </row>
    <row r="205" spans="1:13" x14ac:dyDescent="0.15">
      <c r="A205" s="146"/>
      <c r="B205" s="109">
        <v>200</v>
      </c>
      <c r="C205" s="106" t="s">
        <v>64</v>
      </c>
      <c r="D205" s="107" t="s">
        <v>64</v>
      </c>
      <c r="E205" s="106" t="s">
        <v>64</v>
      </c>
      <c r="F205" s="106" t="s">
        <v>64</v>
      </c>
      <c r="G205" s="106">
        <v>0</v>
      </c>
      <c r="H205" s="147"/>
      <c r="I205" s="108" t="s">
        <v>66</v>
      </c>
      <c r="J205" s="148"/>
      <c r="K205" s="148"/>
      <c r="L205" s="149"/>
      <c r="M205" s="148"/>
    </row>
    <row r="206" spans="1:13" x14ac:dyDescent="0.15">
      <c r="A206" s="146"/>
      <c r="B206" s="110"/>
      <c r="C206" s="150"/>
      <c r="D206" s="107" t="s">
        <v>64</v>
      </c>
      <c r="E206" s="150"/>
      <c r="F206" s="150"/>
      <c r="G206" s="150"/>
      <c r="H206" s="150"/>
      <c r="I206" s="150"/>
      <c r="J206" s="148"/>
      <c r="K206" s="148"/>
      <c r="L206" s="149"/>
      <c r="M206" s="148"/>
    </row>
    <row r="207" spans="1:13" x14ac:dyDescent="0.15">
      <c r="D207" s="107" t="s">
        <v>64</v>
      </c>
    </row>
    <row r="208" spans="1:13" x14ac:dyDescent="0.15">
      <c r="D208" s="107" t="s">
        <v>64</v>
      </c>
    </row>
    <row r="209" spans="4:4" x14ac:dyDescent="0.15">
      <c r="D209" s="107" t="s">
        <v>64</v>
      </c>
    </row>
    <row r="210" spans="4:4" x14ac:dyDescent="0.15">
      <c r="D210" s="107" t="s">
        <v>64</v>
      </c>
    </row>
    <row r="211" spans="4:4" x14ac:dyDescent="0.15">
      <c r="D211" s="107" t="s">
        <v>64</v>
      </c>
    </row>
    <row r="212" spans="4:4" x14ac:dyDescent="0.15">
      <c r="D212" s="107" t="s">
        <v>64</v>
      </c>
    </row>
    <row r="213" spans="4:4" x14ac:dyDescent="0.15">
      <c r="D213" s="107" t="s">
        <v>64</v>
      </c>
    </row>
    <row r="214" spans="4:4" x14ac:dyDescent="0.15">
      <c r="D214" s="107" t="s">
        <v>64</v>
      </c>
    </row>
    <row r="215" spans="4:4" x14ac:dyDescent="0.15">
      <c r="D215" s="107" t="s">
        <v>64</v>
      </c>
    </row>
    <row r="216" spans="4:4" x14ac:dyDescent="0.15">
      <c r="D216" s="107" t="s">
        <v>64</v>
      </c>
    </row>
    <row r="217" spans="4:4" x14ac:dyDescent="0.15">
      <c r="D217" s="107" t="s">
        <v>64</v>
      </c>
    </row>
    <row r="218" spans="4:4" x14ac:dyDescent="0.15">
      <c r="D218" s="107" t="s">
        <v>64</v>
      </c>
    </row>
    <row r="219" spans="4:4" x14ac:dyDescent="0.15">
      <c r="D219" s="107" t="s">
        <v>64</v>
      </c>
    </row>
    <row r="220" spans="4:4" x14ac:dyDescent="0.15">
      <c r="D220" s="107" t="s">
        <v>64</v>
      </c>
    </row>
    <row r="221" spans="4:4" x14ac:dyDescent="0.15">
      <c r="D221" s="107" t="s">
        <v>64</v>
      </c>
    </row>
    <row r="222" spans="4:4" x14ac:dyDescent="0.15">
      <c r="D222" s="107" t="s">
        <v>64</v>
      </c>
    </row>
    <row r="223" spans="4:4" x14ac:dyDescent="0.15">
      <c r="D223" s="107" t="s">
        <v>64</v>
      </c>
    </row>
    <row r="224" spans="4:4" x14ac:dyDescent="0.15">
      <c r="D224" s="107" t="s">
        <v>64</v>
      </c>
    </row>
    <row r="225" spans="4:4" x14ac:dyDescent="0.15">
      <c r="D225" s="107" t="s">
        <v>64</v>
      </c>
    </row>
    <row r="226" spans="4:4" x14ac:dyDescent="0.15">
      <c r="D226" s="107" t="s">
        <v>64</v>
      </c>
    </row>
    <row r="227" spans="4:4" x14ac:dyDescent="0.15">
      <c r="D227" s="107" t="s">
        <v>64</v>
      </c>
    </row>
    <row r="228" spans="4:4" x14ac:dyDescent="0.15">
      <c r="D228" s="107" t="s">
        <v>64</v>
      </c>
    </row>
    <row r="229" spans="4:4" x14ac:dyDescent="0.15">
      <c r="D229" s="107" t="s">
        <v>64</v>
      </c>
    </row>
    <row r="230" spans="4:4" x14ac:dyDescent="0.15">
      <c r="D230" s="107" t="s">
        <v>64</v>
      </c>
    </row>
    <row r="231" spans="4:4" x14ac:dyDescent="0.15">
      <c r="D231" s="107" t="s">
        <v>64</v>
      </c>
    </row>
    <row r="232" spans="4:4" x14ac:dyDescent="0.15">
      <c r="D232" s="107" t="s">
        <v>64</v>
      </c>
    </row>
    <row r="233" spans="4:4" x14ac:dyDescent="0.15">
      <c r="D233" s="107" t="s">
        <v>64</v>
      </c>
    </row>
    <row r="234" spans="4:4" x14ac:dyDescent="0.15">
      <c r="D234" s="107" t="s">
        <v>64</v>
      </c>
    </row>
    <row r="235" spans="4:4" x14ac:dyDescent="0.15">
      <c r="D235" s="107" t="s">
        <v>64</v>
      </c>
    </row>
    <row r="236" spans="4:4" x14ac:dyDescent="0.15">
      <c r="D236" s="107" t="s">
        <v>64</v>
      </c>
    </row>
    <row r="237" spans="4:4" x14ac:dyDescent="0.15">
      <c r="D237" s="107" t="s">
        <v>64</v>
      </c>
    </row>
    <row r="238" spans="4:4" x14ac:dyDescent="0.15">
      <c r="D238" s="107" t="s">
        <v>64</v>
      </c>
    </row>
    <row r="239" spans="4:4" x14ac:dyDescent="0.15">
      <c r="D239" s="107" t="s">
        <v>64</v>
      </c>
    </row>
    <row r="240" spans="4:4" x14ac:dyDescent="0.15">
      <c r="D240" s="107" t="s">
        <v>64</v>
      </c>
    </row>
    <row r="241" spans="4:4" x14ac:dyDescent="0.15">
      <c r="D241" s="107" t="s">
        <v>64</v>
      </c>
    </row>
    <row r="242" spans="4:4" x14ac:dyDescent="0.15">
      <c r="D242" s="107" t="s">
        <v>64</v>
      </c>
    </row>
    <row r="243" spans="4:4" x14ac:dyDescent="0.15">
      <c r="D243" s="107" t="s">
        <v>64</v>
      </c>
    </row>
    <row r="244" spans="4:4" x14ac:dyDescent="0.15">
      <c r="D244" s="107" t="s">
        <v>64</v>
      </c>
    </row>
    <row r="245" spans="4:4" x14ac:dyDescent="0.15">
      <c r="D245" s="107" t="s">
        <v>64</v>
      </c>
    </row>
    <row r="246" spans="4:4" x14ac:dyDescent="0.15">
      <c r="D246" s="107" t="s">
        <v>64</v>
      </c>
    </row>
    <row r="247" spans="4:4" x14ac:dyDescent="0.15">
      <c r="D247" s="107" t="s">
        <v>64</v>
      </c>
    </row>
    <row r="248" spans="4:4" x14ac:dyDescent="0.15">
      <c r="D248" s="107" t="s">
        <v>64</v>
      </c>
    </row>
    <row r="249" spans="4:4" x14ac:dyDescent="0.15">
      <c r="D249" s="107" t="s">
        <v>64</v>
      </c>
    </row>
    <row r="250" spans="4:4" x14ac:dyDescent="0.15">
      <c r="D250" s="107" t="s">
        <v>64</v>
      </c>
    </row>
    <row r="251" spans="4:4" x14ac:dyDescent="0.15">
      <c r="D251" s="107" t="s">
        <v>64</v>
      </c>
    </row>
    <row r="252" spans="4:4" x14ac:dyDescent="0.15">
      <c r="D252" s="107" t="s">
        <v>64</v>
      </c>
    </row>
    <row r="253" spans="4:4" x14ac:dyDescent="0.15">
      <c r="D253" s="107" t="s">
        <v>64</v>
      </c>
    </row>
    <row r="254" spans="4:4" x14ac:dyDescent="0.15">
      <c r="D254" s="107" t="s">
        <v>64</v>
      </c>
    </row>
    <row r="255" spans="4:4" x14ac:dyDescent="0.15">
      <c r="D255" s="107" t="s">
        <v>64</v>
      </c>
    </row>
    <row r="256" spans="4:4" x14ac:dyDescent="0.15">
      <c r="D256" s="107" t="s">
        <v>64</v>
      </c>
    </row>
    <row r="257" spans="4:4" x14ac:dyDescent="0.15">
      <c r="D257" s="107" t="s">
        <v>64</v>
      </c>
    </row>
    <row r="258" spans="4:4" x14ac:dyDescent="0.15">
      <c r="D258" s="107" t="s">
        <v>64</v>
      </c>
    </row>
    <row r="259" spans="4:4" x14ac:dyDescent="0.15">
      <c r="D259" s="107" t="s">
        <v>64</v>
      </c>
    </row>
    <row r="260" spans="4:4" x14ac:dyDescent="0.15">
      <c r="D260" s="107" t="s">
        <v>64</v>
      </c>
    </row>
    <row r="261" spans="4:4" x14ac:dyDescent="0.15">
      <c r="D261" s="107" t="s">
        <v>64</v>
      </c>
    </row>
    <row r="262" spans="4:4" x14ac:dyDescent="0.15">
      <c r="D262" s="107" t="s">
        <v>64</v>
      </c>
    </row>
    <row r="263" spans="4:4" x14ac:dyDescent="0.15">
      <c r="D263" s="107" t="s">
        <v>64</v>
      </c>
    </row>
    <row r="264" spans="4:4" x14ac:dyDescent="0.15">
      <c r="D264" s="107" t="s">
        <v>64</v>
      </c>
    </row>
    <row r="265" spans="4:4" x14ac:dyDescent="0.15">
      <c r="D265" s="107" t="s">
        <v>64</v>
      </c>
    </row>
    <row r="266" spans="4:4" x14ac:dyDescent="0.15">
      <c r="D266" s="107" t="s">
        <v>64</v>
      </c>
    </row>
    <row r="267" spans="4:4" x14ac:dyDescent="0.15">
      <c r="D267" s="107" t="s">
        <v>64</v>
      </c>
    </row>
    <row r="268" spans="4:4" x14ac:dyDescent="0.15">
      <c r="D268" s="107" t="s">
        <v>64</v>
      </c>
    </row>
    <row r="269" spans="4:4" x14ac:dyDescent="0.15">
      <c r="D269" s="107" t="s">
        <v>64</v>
      </c>
    </row>
    <row r="270" spans="4:4" x14ac:dyDescent="0.15">
      <c r="D270" s="107" t="s">
        <v>64</v>
      </c>
    </row>
    <row r="271" spans="4:4" x14ac:dyDescent="0.15">
      <c r="D271" s="107" t="s">
        <v>64</v>
      </c>
    </row>
    <row r="272" spans="4:4" x14ac:dyDescent="0.15">
      <c r="D272" s="107" t="s">
        <v>64</v>
      </c>
    </row>
    <row r="273" spans="4:4" x14ac:dyDescent="0.15">
      <c r="D273" s="107" t="s">
        <v>64</v>
      </c>
    </row>
    <row r="274" spans="4:4" x14ac:dyDescent="0.15">
      <c r="D274" s="107" t="s">
        <v>64</v>
      </c>
    </row>
    <row r="275" spans="4:4" x14ac:dyDescent="0.15">
      <c r="D275" s="107" t="s">
        <v>64</v>
      </c>
    </row>
    <row r="276" spans="4:4" x14ac:dyDescent="0.15">
      <c r="D276" s="107" t="s">
        <v>64</v>
      </c>
    </row>
    <row r="277" spans="4:4" x14ac:dyDescent="0.15">
      <c r="D277" s="107" t="s">
        <v>64</v>
      </c>
    </row>
    <row r="278" spans="4:4" x14ac:dyDescent="0.15">
      <c r="D278" s="107" t="s">
        <v>64</v>
      </c>
    </row>
    <row r="279" spans="4:4" x14ac:dyDescent="0.15">
      <c r="D279" s="107" t="s">
        <v>64</v>
      </c>
    </row>
    <row r="280" spans="4:4" x14ac:dyDescent="0.15">
      <c r="D280" s="107" t="s">
        <v>64</v>
      </c>
    </row>
    <row r="281" spans="4:4" x14ac:dyDescent="0.15">
      <c r="D281" s="107" t="s">
        <v>64</v>
      </c>
    </row>
    <row r="282" spans="4:4" x14ac:dyDescent="0.15">
      <c r="D282" s="107" t="s">
        <v>64</v>
      </c>
    </row>
    <row r="283" spans="4:4" x14ac:dyDescent="0.15">
      <c r="D283" s="107" t="s">
        <v>64</v>
      </c>
    </row>
    <row r="284" spans="4:4" x14ac:dyDescent="0.15">
      <c r="D284" s="107" t="s">
        <v>64</v>
      </c>
    </row>
    <row r="285" spans="4:4" x14ac:dyDescent="0.15">
      <c r="D285" s="107" t="s">
        <v>64</v>
      </c>
    </row>
    <row r="286" spans="4:4" x14ac:dyDescent="0.15">
      <c r="D286" s="107" t="s">
        <v>64</v>
      </c>
    </row>
    <row r="287" spans="4:4" x14ac:dyDescent="0.15">
      <c r="D287" s="107" t="s">
        <v>64</v>
      </c>
    </row>
    <row r="288" spans="4:4" x14ac:dyDescent="0.15">
      <c r="D288" s="107" t="s">
        <v>64</v>
      </c>
    </row>
    <row r="289" spans="4:4" x14ac:dyDescent="0.15">
      <c r="D289" s="107" t="s">
        <v>64</v>
      </c>
    </row>
    <row r="290" spans="4:4" x14ac:dyDescent="0.15">
      <c r="D290" s="107" t="s">
        <v>64</v>
      </c>
    </row>
    <row r="291" spans="4:4" x14ac:dyDescent="0.15">
      <c r="D291" s="107" t="s">
        <v>64</v>
      </c>
    </row>
    <row r="292" spans="4:4" x14ac:dyDescent="0.15">
      <c r="D292" s="107" t="s">
        <v>64</v>
      </c>
    </row>
    <row r="293" spans="4:4" x14ac:dyDescent="0.15">
      <c r="D293" s="107" t="s">
        <v>64</v>
      </c>
    </row>
    <row r="294" spans="4:4" x14ac:dyDescent="0.15">
      <c r="D294" s="107" t="s">
        <v>64</v>
      </c>
    </row>
    <row r="295" spans="4:4" x14ac:dyDescent="0.15">
      <c r="D295" s="107" t="s">
        <v>64</v>
      </c>
    </row>
    <row r="296" spans="4:4" x14ac:dyDescent="0.15">
      <c r="D296" s="107" t="s">
        <v>64</v>
      </c>
    </row>
    <row r="297" spans="4:4" x14ac:dyDescent="0.15">
      <c r="D297" s="107" t="s">
        <v>64</v>
      </c>
    </row>
    <row r="298" spans="4:4" x14ac:dyDescent="0.15">
      <c r="D298" s="107" t="s">
        <v>64</v>
      </c>
    </row>
    <row r="299" spans="4:4" x14ac:dyDescent="0.15">
      <c r="D299" s="107" t="s">
        <v>64</v>
      </c>
    </row>
    <row r="300" spans="4:4" x14ac:dyDescent="0.15">
      <c r="D300" s="107" t="s">
        <v>64</v>
      </c>
    </row>
    <row r="301" spans="4:4" x14ac:dyDescent="0.15">
      <c r="D301" s="107" t="s">
        <v>64</v>
      </c>
    </row>
    <row r="302" spans="4:4" x14ac:dyDescent="0.15">
      <c r="D302" s="107" t="s">
        <v>64</v>
      </c>
    </row>
    <row r="303" spans="4:4" x14ac:dyDescent="0.15">
      <c r="D303" s="107" t="s">
        <v>64</v>
      </c>
    </row>
    <row r="304" spans="4:4" x14ac:dyDescent="0.15">
      <c r="D304" s="107" t="s">
        <v>64</v>
      </c>
    </row>
    <row r="305" spans="4:4" x14ac:dyDescent="0.15">
      <c r="D305" s="107" t="s">
        <v>64</v>
      </c>
    </row>
    <row r="306" spans="4:4" x14ac:dyDescent="0.15">
      <c r="D306" s="107" t="s">
        <v>64</v>
      </c>
    </row>
    <row r="307" spans="4:4" x14ac:dyDescent="0.15">
      <c r="D307" s="107" t="s">
        <v>64</v>
      </c>
    </row>
    <row r="308" spans="4:4" x14ac:dyDescent="0.15">
      <c r="D308" s="107" t="s">
        <v>64</v>
      </c>
    </row>
    <row r="309" spans="4:4" x14ac:dyDescent="0.15">
      <c r="D309" s="107" t="s">
        <v>64</v>
      </c>
    </row>
    <row r="310" spans="4:4" x14ac:dyDescent="0.15">
      <c r="D310" s="107" t="s">
        <v>64</v>
      </c>
    </row>
    <row r="311" spans="4:4" x14ac:dyDescent="0.15">
      <c r="D311" s="107" t="s">
        <v>64</v>
      </c>
    </row>
    <row r="312" spans="4:4" x14ac:dyDescent="0.15">
      <c r="D312" s="107" t="s">
        <v>64</v>
      </c>
    </row>
    <row r="313" spans="4:4" x14ac:dyDescent="0.15">
      <c r="D313" s="107" t="s">
        <v>64</v>
      </c>
    </row>
    <row r="314" spans="4:4" x14ac:dyDescent="0.15">
      <c r="D314" s="107" t="s">
        <v>64</v>
      </c>
    </row>
    <row r="315" spans="4:4" x14ac:dyDescent="0.15">
      <c r="D315" s="107" t="s">
        <v>64</v>
      </c>
    </row>
    <row r="316" spans="4:4" x14ac:dyDescent="0.15">
      <c r="D316" s="107" t="s">
        <v>64</v>
      </c>
    </row>
    <row r="317" spans="4:4" x14ac:dyDescent="0.15">
      <c r="D317" s="107" t="s">
        <v>64</v>
      </c>
    </row>
    <row r="318" spans="4:4" x14ac:dyDescent="0.15">
      <c r="D318" s="107" t="s">
        <v>64</v>
      </c>
    </row>
    <row r="319" spans="4:4" x14ac:dyDescent="0.15">
      <c r="D319" s="107" t="s">
        <v>64</v>
      </c>
    </row>
    <row r="320" spans="4:4" x14ac:dyDescent="0.15">
      <c r="D320" s="107" t="s">
        <v>64</v>
      </c>
    </row>
    <row r="321" spans="4:4" x14ac:dyDescent="0.15">
      <c r="D321" s="107" t="s">
        <v>64</v>
      </c>
    </row>
    <row r="322" spans="4:4" x14ac:dyDescent="0.15">
      <c r="D322" s="107" t="s">
        <v>64</v>
      </c>
    </row>
    <row r="323" spans="4:4" x14ac:dyDescent="0.15">
      <c r="D323" s="107" t="s">
        <v>64</v>
      </c>
    </row>
    <row r="324" spans="4:4" x14ac:dyDescent="0.15">
      <c r="D324" s="107" t="s">
        <v>64</v>
      </c>
    </row>
    <row r="325" spans="4:4" x14ac:dyDescent="0.15">
      <c r="D325" s="107" t="s">
        <v>64</v>
      </c>
    </row>
    <row r="326" spans="4:4" x14ac:dyDescent="0.15">
      <c r="D326" s="107" t="s">
        <v>64</v>
      </c>
    </row>
    <row r="327" spans="4:4" x14ac:dyDescent="0.15">
      <c r="D327" s="107" t="s">
        <v>64</v>
      </c>
    </row>
    <row r="328" spans="4:4" x14ac:dyDescent="0.15">
      <c r="D328" s="107" t="s">
        <v>64</v>
      </c>
    </row>
    <row r="329" spans="4:4" x14ac:dyDescent="0.15">
      <c r="D329" s="107" t="s">
        <v>64</v>
      </c>
    </row>
    <row r="330" spans="4:4" x14ac:dyDescent="0.15">
      <c r="D330" s="107" t="s">
        <v>64</v>
      </c>
    </row>
    <row r="331" spans="4:4" x14ac:dyDescent="0.15">
      <c r="D331" s="107" t="s">
        <v>64</v>
      </c>
    </row>
    <row r="332" spans="4:4" x14ac:dyDescent="0.15">
      <c r="D332" s="107" t="s">
        <v>64</v>
      </c>
    </row>
    <row r="333" spans="4:4" x14ac:dyDescent="0.15">
      <c r="D333" s="107" t="s">
        <v>64</v>
      </c>
    </row>
    <row r="334" spans="4:4" x14ac:dyDescent="0.15">
      <c r="D334" s="107" t="s">
        <v>64</v>
      </c>
    </row>
    <row r="335" spans="4:4" x14ac:dyDescent="0.15">
      <c r="D335" s="107" t="s">
        <v>64</v>
      </c>
    </row>
    <row r="336" spans="4:4" x14ac:dyDescent="0.15">
      <c r="D336" s="107" t="s">
        <v>64</v>
      </c>
    </row>
    <row r="337" spans="4:4" x14ac:dyDescent="0.15">
      <c r="D337" s="107" t="s">
        <v>64</v>
      </c>
    </row>
    <row r="338" spans="4:4" x14ac:dyDescent="0.15">
      <c r="D338" s="107" t="s">
        <v>64</v>
      </c>
    </row>
    <row r="339" spans="4:4" x14ac:dyDescent="0.15">
      <c r="D339" s="107" t="s">
        <v>64</v>
      </c>
    </row>
    <row r="340" spans="4:4" x14ac:dyDescent="0.15">
      <c r="D340" s="107" t="s">
        <v>64</v>
      </c>
    </row>
    <row r="341" spans="4:4" x14ac:dyDescent="0.15">
      <c r="D341" s="107" t="s">
        <v>64</v>
      </c>
    </row>
    <row r="342" spans="4:4" x14ac:dyDescent="0.15">
      <c r="D342" s="107" t="s">
        <v>64</v>
      </c>
    </row>
    <row r="343" spans="4:4" x14ac:dyDescent="0.15">
      <c r="D343" s="107" t="s">
        <v>64</v>
      </c>
    </row>
    <row r="344" spans="4:4" x14ac:dyDescent="0.15">
      <c r="D344" s="107" t="s">
        <v>64</v>
      </c>
    </row>
    <row r="345" spans="4:4" x14ac:dyDescent="0.15">
      <c r="D345" s="107" t="s">
        <v>64</v>
      </c>
    </row>
    <row r="346" spans="4:4" x14ac:dyDescent="0.15">
      <c r="D346" s="107" t="s">
        <v>64</v>
      </c>
    </row>
    <row r="347" spans="4:4" x14ac:dyDescent="0.15">
      <c r="D347" s="107" t="s">
        <v>64</v>
      </c>
    </row>
    <row r="348" spans="4:4" x14ac:dyDescent="0.15">
      <c r="D348" s="107" t="s">
        <v>64</v>
      </c>
    </row>
    <row r="349" spans="4:4" x14ac:dyDescent="0.15">
      <c r="D349" s="107" t="s">
        <v>64</v>
      </c>
    </row>
    <row r="350" spans="4:4" x14ac:dyDescent="0.15">
      <c r="D350" s="107" t="s">
        <v>64</v>
      </c>
    </row>
    <row r="351" spans="4:4" x14ac:dyDescent="0.15">
      <c r="D351" s="107" t="s">
        <v>64</v>
      </c>
    </row>
    <row r="352" spans="4:4" x14ac:dyDescent="0.15">
      <c r="D352" s="107" t="s">
        <v>64</v>
      </c>
    </row>
    <row r="353" spans="4:4" x14ac:dyDescent="0.15">
      <c r="D353" s="107" t="s">
        <v>64</v>
      </c>
    </row>
    <row r="354" spans="4:4" x14ac:dyDescent="0.15">
      <c r="D354" s="107" t="s">
        <v>64</v>
      </c>
    </row>
    <row r="355" spans="4:4" x14ac:dyDescent="0.15">
      <c r="D355" s="107" t="s">
        <v>64</v>
      </c>
    </row>
    <row r="356" spans="4:4" x14ac:dyDescent="0.15">
      <c r="D356" s="107" t="s">
        <v>64</v>
      </c>
    </row>
    <row r="357" spans="4:4" x14ac:dyDescent="0.15">
      <c r="D357" s="107" t="s">
        <v>64</v>
      </c>
    </row>
    <row r="358" spans="4:4" x14ac:dyDescent="0.15">
      <c r="D358" s="107" t="s">
        <v>64</v>
      </c>
    </row>
    <row r="359" spans="4:4" x14ac:dyDescent="0.15">
      <c r="D359" s="107" t="s">
        <v>64</v>
      </c>
    </row>
    <row r="360" spans="4:4" x14ac:dyDescent="0.15">
      <c r="D360" s="107" t="s">
        <v>64</v>
      </c>
    </row>
    <row r="361" spans="4:4" x14ac:dyDescent="0.15">
      <c r="D361" s="107" t="s">
        <v>64</v>
      </c>
    </row>
    <row r="362" spans="4:4" x14ac:dyDescent="0.15">
      <c r="D362" s="107" t="s">
        <v>64</v>
      </c>
    </row>
    <row r="363" spans="4:4" x14ac:dyDescent="0.15">
      <c r="D363" s="107" t="s">
        <v>64</v>
      </c>
    </row>
    <row r="364" spans="4:4" x14ac:dyDescent="0.15">
      <c r="D364" s="107" t="s">
        <v>64</v>
      </c>
    </row>
    <row r="365" spans="4:4" x14ac:dyDescent="0.15">
      <c r="D365" s="107" t="s">
        <v>64</v>
      </c>
    </row>
    <row r="366" spans="4:4" x14ac:dyDescent="0.15">
      <c r="D366" s="107" t="s">
        <v>64</v>
      </c>
    </row>
    <row r="367" spans="4:4" x14ac:dyDescent="0.15">
      <c r="D367" s="107" t="s">
        <v>64</v>
      </c>
    </row>
    <row r="368" spans="4:4" x14ac:dyDescent="0.15">
      <c r="D368" s="107" t="s">
        <v>64</v>
      </c>
    </row>
    <row r="369" spans="4:4" x14ac:dyDescent="0.15">
      <c r="D369" s="107" t="s">
        <v>64</v>
      </c>
    </row>
    <row r="370" spans="4:4" x14ac:dyDescent="0.15">
      <c r="D370" s="107" t="s">
        <v>64</v>
      </c>
    </row>
    <row r="371" spans="4:4" x14ac:dyDescent="0.15">
      <c r="D371" s="107" t="s">
        <v>64</v>
      </c>
    </row>
    <row r="372" spans="4:4" x14ac:dyDescent="0.15">
      <c r="D372" s="107" t="s">
        <v>64</v>
      </c>
    </row>
    <row r="373" spans="4:4" x14ac:dyDescent="0.15">
      <c r="D373" s="107" t="s">
        <v>64</v>
      </c>
    </row>
    <row r="374" spans="4:4" x14ac:dyDescent="0.15">
      <c r="D374" s="107" t="s">
        <v>64</v>
      </c>
    </row>
    <row r="375" spans="4:4" x14ac:dyDescent="0.15">
      <c r="D375" s="107" t="s">
        <v>64</v>
      </c>
    </row>
    <row r="376" spans="4:4" x14ac:dyDescent="0.15">
      <c r="D376" s="107" t="s">
        <v>64</v>
      </c>
    </row>
    <row r="377" spans="4:4" x14ac:dyDescent="0.15">
      <c r="D377" s="107" t="s">
        <v>64</v>
      </c>
    </row>
    <row r="378" spans="4:4" x14ac:dyDescent="0.15">
      <c r="D378" s="107" t="s">
        <v>64</v>
      </c>
    </row>
    <row r="379" spans="4:4" x14ac:dyDescent="0.15">
      <c r="D379" s="107" t="s">
        <v>64</v>
      </c>
    </row>
    <row r="380" spans="4:4" x14ac:dyDescent="0.15">
      <c r="D380" s="107" t="s">
        <v>64</v>
      </c>
    </row>
    <row r="381" spans="4:4" x14ac:dyDescent="0.15">
      <c r="D381" s="107" t="s">
        <v>64</v>
      </c>
    </row>
    <row r="382" spans="4:4" x14ac:dyDescent="0.15">
      <c r="D382" s="107" t="s">
        <v>64</v>
      </c>
    </row>
    <row r="383" spans="4:4" x14ac:dyDescent="0.15">
      <c r="D383" s="107" t="s">
        <v>64</v>
      </c>
    </row>
    <row r="384" spans="4:4" x14ac:dyDescent="0.15">
      <c r="D384" s="107" t="s">
        <v>64</v>
      </c>
    </row>
    <row r="385" spans="4:4" x14ac:dyDescent="0.15">
      <c r="D385" s="107" t="s">
        <v>64</v>
      </c>
    </row>
    <row r="386" spans="4:4" x14ac:dyDescent="0.15">
      <c r="D386" s="107" t="s">
        <v>64</v>
      </c>
    </row>
    <row r="387" spans="4:4" x14ac:dyDescent="0.15">
      <c r="D387" s="107" t="s">
        <v>64</v>
      </c>
    </row>
    <row r="388" spans="4:4" x14ac:dyDescent="0.15">
      <c r="D388" s="107" t="s">
        <v>64</v>
      </c>
    </row>
    <row r="389" spans="4:4" x14ac:dyDescent="0.15">
      <c r="D389" s="107" t="s">
        <v>64</v>
      </c>
    </row>
    <row r="390" spans="4:4" x14ac:dyDescent="0.15">
      <c r="D390" s="107" t="s">
        <v>64</v>
      </c>
    </row>
    <row r="391" spans="4:4" x14ac:dyDescent="0.15">
      <c r="D391" s="107" t="s">
        <v>64</v>
      </c>
    </row>
    <row r="392" spans="4:4" x14ac:dyDescent="0.15">
      <c r="D392" s="107" t="s">
        <v>64</v>
      </c>
    </row>
    <row r="393" spans="4:4" x14ac:dyDescent="0.15">
      <c r="D393" s="107" t="s">
        <v>64</v>
      </c>
    </row>
    <row r="394" spans="4:4" x14ac:dyDescent="0.15">
      <c r="D394" s="107" t="s">
        <v>64</v>
      </c>
    </row>
    <row r="395" spans="4:4" x14ac:dyDescent="0.15">
      <c r="D395" s="107" t="s">
        <v>64</v>
      </c>
    </row>
    <row r="396" spans="4:4" x14ac:dyDescent="0.15">
      <c r="D396" s="107" t="s">
        <v>64</v>
      </c>
    </row>
    <row r="397" spans="4:4" x14ac:dyDescent="0.15">
      <c r="D397" s="107" t="s">
        <v>64</v>
      </c>
    </row>
    <row r="398" spans="4:4" x14ac:dyDescent="0.15">
      <c r="D398" s="107" t="s">
        <v>64</v>
      </c>
    </row>
    <row r="399" spans="4:4" x14ac:dyDescent="0.15">
      <c r="D399" s="107" t="s">
        <v>64</v>
      </c>
    </row>
    <row r="400" spans="4:4" x14ac:dyDescent="0.15">
      <c r="D400" s="107" t="s">
        <v>64</v>
      </c>
    </row>
    <row r="401" spans="4:4" x14ac:dyDescent="0.15">
      <c r="D401" s="107" t="s">
        <v>64</v>
      </c>
    </row>
    <row r="402" spans="4:4" x14ac:dyDescent="0.15">
      <c r="D402" s="107" t="s">
        <v>64</v>
      </c>
    </row>
    <row r="403" spans="4:4" x14ac:dyDescent="0.15">
      <c r="D403" s="107" t="s">
        <v>64</v>
      </c>
    </row>
    <row r="404" spans="4:4" x14ac:dyDescent="0.15">
      <c r="D404" s="107" t="s">
        <v>64</v>
      </c>
    </row>
    <row r="405" spans="4:4" x14ac:dyDescent="0.15">
      <c r="D405" s="107" t="s">
        <v>64</v>
      </c>
    </row>
    <row r="406" spans="4:4" x14ac:dyDescent="0.15">
      <c r="D406" s="107" t="s">
        <v>64</v>
      </c>
    </row>
    <row r="407" spans="4:4" x14ac:dyDescent="0.15">
      <c r="D407" s="107" t="s">
        <v>64</v>
      </c>
    </row>
    <row r="408" spans="4:4" x14ac:dyDescent="0.15">
      <c r="D408" s="107" t="s">
        <v>64</v>
      </c>
    </row>
    <row r="409" spans="4:4" x14ac:dyDescent="0.15">
      <c r="D409" s="107" t="s">
        <v>64</v>
      </c>
    </row>
    <row r="410" spans="4:4" x14ac:dyDescent="0.15">
      <c r="D410" s="107" t="s">
        <v>64</v>
      </c>
    </row>
    <row r="411" spans="4:4" x14ac:dyDescent="0.15">
      <c r="D411" s="107" t="s">
        <v>64</v>
      </c>
    </row>
    <row r="412" spans="4:4" x14ac:dyDescent="0.15">
      <c r="D412" s="107" t="s">
        <v>64</v>
      </c>
    </row>
    <row r="413" spans="4:4" x14ac:dyDescent="0.15">
      <c r="D413" s="107" t="s">
        <v>64</v>
      </c>
    </row>
    <row r="414" spans="4:4" x14ac:dyDescent="0.15">
      <c r="D414" s="107" t="s">
        <v>64</v>
      </c>
    </row>
    <row r="415" spans="4:4" x14ac:dyDescent="0.15">
      <c r="D415" s="107" t="s">
        <v>64</v>
      </c>
    </row>
    <row r="416" spans="4:4" x14ac:dyDescent="0.15">
      <c r="D416" s="107" t="s">
        <v>64</v>
      </c>
    </row>
    <row r="417" spans="4:4" x14ac:dyDescent="0.15">
      <c r="D417" s="107" t="s">
        <v>64</v>
      </c>
    </row>
    <row r="418" spans="4:4" x14ac:dyDescent="0.15">
      <c r="D418" s="107" t="s">
        <v>64</v>
      </c>
    </row>
    <row r="419" spans="4:4" x14ac:dyDescent="0.15">
      <c r="D419" s="107" t="s">
        <v>64</v>
      </c>
    </row>
    <row r="420" spans="4:4" x14ac:dyDescent="0.15">
      <c r="D420" s="107" t="s">
        <v>64</v>
      </c>
    </row>
    <row r="421" spans="4:4" x14ac:dyDescent="0.15">
      <c r="D421" s="107" t="s">
        <v>64</v>
      </c>
    </row>
    <row r="422" spans="4:4" x14ac:dyDescent="0.15">
      <c r="D422" s="107" t="s">
        <v>64</v>
      </c>
    </row>
    <row r="423" spans="4:4" x14ac:dyDescent="0.15">
      <c r="D423" s="107" t="s">
        <v>64</v>
      </c>
    </row>
    <row r="424" spans="4:4" x14ac:dyDescent="0.15">
      <c r="D424" s="107" t="s">
        <v>64</v>
      </c>
    </row>
    <row r="425" spans="4:4" x14ac:dyDescent="0.15">
      <c r="D425" s="107" t="s">
        <v>64</v>
      </c>
    </row>
    <row r="426" spans="4:4" x14ac:dyDescent="0.15">
      <c r="D426" s="107" t="s">
        <v>64</v>
      </c>
    </row>
    <row r="427" spans="4:4" x14ac:dyDescent="0.15">
      <c r="D427" s="107" t="s">
        <v>64</v>
      </c>
    </row>
    <row r="428" spans="4:4" x14ac:dyDescent="0.15">
      <c r="D428" s="107" t="s">
        <v>64</v>
      </c>
    </row>
    <row r="429" spans="4:4" x14ac:dyDescent="0.15">
      <c r="D429" s="107" t="s">
        <v>64</v>
      </c>
    </row>
    <row r="430" spans="4:4" x14ac:dyDescent="0.15">
      <c r="D430" s="107" t="s">
        <v>64</v>
      </c>
    </row>
    <row r="431" spans="4:4" x14ac:dyDescent="0.15">
      <c r="D431" s="107" t="s">
        <v>64</v>
      </c>
    </row>
    <row r="432" spans="4:4" x14ac:dyDescent="0.15">
      <c r="D432" s="107" t="s">
        <v>64</v>
      </c>
    </row>
    <row r="433" spans="4:4" x14ac:dyDescent="0.15">
      <c r="D433" s="107" t="s">
        <v>64</v>
      </c>
    </row>
    <row r="434" spans="4:4" x14ac:dyDescent="0.15">
      <c r="D434" s="107" t="s">
        <v>64</v>
      </c>
    </row>
    <row r="435" spans="4:4" x14ac:dyDescent="0.15">
      <c r="D435" s="107" t="s">
        <v>64</v>
      </c>
    </row>
    <row r="436" spans="4:4" x14ac:dyDescent="0.15">
      <c r="D436" s="107" t="s">
        <v>64</v>
      </c>
    </row>
    <row r="437" spans="4:4" x14ac:dyDescent="0.15">
      <c r="D437" s="107" t="s">
        <v>64</v>
      </c>
    </row>
    <row r="438" spans="4:4" x14ac:dyDescent="0.15">
      <c r="D438" s="107" t="s">
        <v>64</v>
      </c>
    </row>
    <row r="439" spans="4:4" x14ac:dyDescent="0.15">
      <c r="D439" s="107" t="s">
        <v>64</v>
      </c>
    </row>
    <row r="440" spans="4:4" x14ac:dyDescent="0.15">
      <c r="D440" s="107" t="s">
        <v>64</v>
      </c>
    </row>
    <row r="441" spans="4:4" x14ac:dyDescent="0.15">
      <c r="D441" s="107" t="s">
        <v>64</v>
      </c>
    </row>
    <row r="442" spans="4:4" x14ac:dyDescent="0.15">
      <c r="D442" s="107" t="s">
        <v>64</v>
      </c>
    </row>
    <row r="443" spans="4:4" x14ac:dyDescent="0.15">
      <c r="D443" s="107" t="s">
        <v>64</v>
      </c>
    </row>
    <row r="444" spans="4:4" x14ac:dyDescent="0.15">
      <c r="D444" s="107" t="s">
        <v>64</v>
      </c>
    </row>
    <row r="445" spans="4:4" x14ac:dyDescent="0.15">
      <c r="D445" s="107" t="s">
        <v>64</v>
      </c>
    </row>
    <row r="446" spans="4:4" x14ac:dyDescent="0.15">
      <c r="D446" s="107" t="s">
        <v>64</v>
      </c>
    </row>
    <row r="447" spans="4:4" x14ac:dyDescent="0.15">
      <c r="D447" s="107" t="s">
        <v>64</v>
      </c>
    </row>
    <row r="448" spans="4:4" x14ac:dyDescent="0.15">
      <c r="D448" s="107" t="s">
        <v>64</v>
      </c>
    </row>
    <row r="449" spans="4:4" x14ac:dyDescent="0.15">
      <c r="D449" s="107" t="s">
        <v>64</v>
      </c>
    </row>
    <row r="450" spans="4:4" x14ac:dyDescent="0.15">
      <c r="D450" s="107" t="s">
        <v>64</v>
      </c>
    </row>
    <row r="451" spans="4:4" x14ac:dyDescent="0.15">
      <c r="D451" s="107" t="s">
        <v>64</v>
      </c>
    </row>
    <row r="452" spans="4:4" x14ac:dyDescent="0.15">
      <c r="D452" s="107" t="s">
        <v>64</v>
      </c>
    </row>
    <row r="453" spans="4:4" x14ac:dyDescent="0.15">
      <c r="D453" s="107" t="s">
        <v>64</v>
      </c>
    </row>
    <row r="454" spans="4:4" x14ac:dyDescent="0.15">
      <c r="D454" s="107" t="s">
        <v>64</v>
      </c>
    </row>
    <row r="455" spans="4:4" x14ac:dyDescent="0.15">
      <c r="D455" s="107" t="s">
        <v>64</v>
      </c>
    </row>
    <row r="456" spans="4:4" x14ac:dyDescent="0.15">
      <c r="D456" s="107" t="s">
        <v>64</v>
      </c>
    </row>
    <row r="457" spans="4:4" x14ac:dyDescent="0.15">
      <c r="D457" s="107" t="s">
        <v>64</v>
      </c>
    </row>
    <row r="458" spans="4:4" x14ac:dyDescent="0.15">
      <c r="D458" s="107" t="s">
        <v>64</v>
      </c>
    </row>
    <row r="459" spans="4:4" x14ac:dyDescent="0.15">
      <c r="D459" s="107" t="s">
        <v>64</v>
      </c>
    </row>
    <row r="460" spans="4:4" x14ac:dyDescent="0.15">
      <c r="D460" s="107" t="s">
        <v>64</v>
      </c>
    </row>
    <row r="461" spans="4:4" x14ac:dyDescent="0.15">
      <c r="D461" s="107" t="s">
        <v>64</v>
      </c>
    </row>
    <row r="462" spans="4:4" x14ac:dyDescent="0.15">
      <c r="D462" s="107" t="s">
        <v>64</v>
      </c>
    </row>
    <row r="463" spans="4:4" x14ac:dyDescent="0.15">
      <c r="D463" s="107" t="s">
        <v>64</v>
      </c>
    </row>
    <row r="464" spans="4:4" x14ac:dyDescent="0.15">
      <c r="D464" s="107" t="s">
        <v>64</v>
      </c>
    </row>
    <row r="465" spans="4:4" x14ac:dyDescent="0.15">
      <c r="D465" s="107" t="s">
        <v>64</v>
      </c>
    </row>
    <row r="466" spans="4:4" x14ac:dyDescent="0.15">
      <c r="D466" s="107" t="s">
        <v>64</v>
      </c>
    </row>
    <row r="467" spans="4:4" x14ac:dyDescent="0.15">
      <c r="D467" s="107" t="s">
        <v>64</v>
      </c>
    </row>
    <row r="468" spans="4:4" x14ac:dyDescent="0.15">
      <c r="D468" s="107" t="s">
        <v>64</v>
      </c>
    </row>
    <row r="469" spans="4:4" x14ac:dyDescent="0.15">
      <c r="D469" s="107" t="s">
        <v>64</v>
      </c>
    </row>
    <row r="470" spans="4:4" x14ac:dyDescent="0.15">
      <c r="D470" s="107" t="s">
        <v>64</v>
      </c>
    </row>
    <row r="471" spans="4:4" x14ac:dyDescent="0.15">
      <c r="D471" s="107" t="s">
        <v>64</v>
      </c>
    </row>
    <row r="472" spans="4:4" x14ac:dyDescent="0.15">
      <c r="D472" s="107" t="s">
        <v>64</v>
      </c>
    </row>
    <row r="473" spans="4:4" x14ac:dyDescent="0.15">
      <c r="D473" s="107" t="s">
        <v>64</v>
      </c>
    </row>
    <row r="474" spans="4:4" x14ac:dyDescent="0.15">
      <c r="D474" s="107" t="s">
        <v>64</v>
      </c>
    </row>
    <row r="475" spans="4:4" x14ac:dyDescent="0.15">
      <c r="D475" s="107" t="s">
        <v>64</v>
      </c>
    </row>
    <row r="476" spans="4:4" x14ac:dyDescent="0.15">
      <c r="D476" s="107" t="s">
        <v>64</v>
      </c>
    </row>
    <row r="477" spans="4:4" x14ac:dyDescent="0.15">
      <c r="D477" s="107" t="s">
        <v>64</v>
      </c>
    </row>
    <row r="478" spans="4:4" x14ac:dyDescent="0.15">
      <c r="D478" s="107" t="s">
        <v>64</v>
      </c>
    </row>
    <row r="479" spans="4:4" x14ac:dyDescent="0.15">
      <c r="D479" s="107" t="s">
        <v>64</v>
      </c>
    </row>
    <row r="480" spans="4:4" x14ac:dyDescent="0.15">
      <c r="D480" s="107" t="s">
        <v>64</v>
      </c>
    </row>
    <row r="481" spans="4:4" x14ac:dyDescent="0.15">
      <c r="D481" s="107" t="s">
        <v>64</v>
      </c>
    </row>
    <row r="482" spans="4:4" x14ac:dyDescent="0.15">
      <c r="D482" s="107" t="s">
        <v>64</v>
      </c>
    </row>
    <row r="483" spans="4:4" x14ac:dyDescent="0.15">
      <c r="D483" s="107" t="s">
        <v>64</v>
      </c>
    </row>
    <row r="484" spans="4:4" x14ac:dyDescent="0.15">
      <c r="D484" s="107" t="s">
        <v>64</v>
      </c>
    </row>
    <row r="485" spans="4:4" x14ac:dyDescent="0.15">
      <c r="D485" s="107" t="s">
        <v>64</v>
      </c>
    </row>
    <row r="486" spans="4:4" x14ac:dyDescent="0.15">
      <c r="D486" s="107" t="s">
        <v>64</v>
      </c>
    </row>
    <row r="487" spans="4:4" x14ac:dyDescent="0.15">
      <c r="D487" s="107" t="s">
        <v>64</v>
      </c>
    </row>
    <row r="488" spans="4:4" x14ac:dyDescent="0.15">
      <c r="D488" s="107" t="s">
        <v>64</v>
      </c>
    </row>
    <row r="489" spans="4:4" x14ac:dyDescent="0.15">
      <c r="D489" s="107" t="s">
        <v>64</v>
      </c>
    </row>
    <row r="490" spans="4:4" x14ac:dyDescent="0.15">
      <c r="D490" s="107" t="s">
        <v>64</v>
      </c>
    </row>
    <row r="491" spans="4:4" x14ac:dyDescent="0.15">
      <c r="D491" s="107" t="s">
        <v>64</v>
      </c>
    </row>
    <row r="492" spans="4:4" x14ac:dyDescent="0.15">
      <c r="D492" s="107" t="s">
        <v>64</v>
      </c>
    </row>
    <row r="493" spans="4:4" x14ac:dyDescent="0.15">
      <c r="D493" s="107" t="s">
        <v>64</v>
      </c>
    </row>
    <row r="494" spans="4:4" x14ac:dyDescent="0.15">
      <c r="D494" s="107" t="s">
        <v>64</v>
      </c>
    </row>
    <row r="495" spans="4:4" x14ac:dyDescent="0.15">
      <c r="D495" s="107" t="s">
        <v>64</v>
      </c>
    </row>
    <row r="496" spans="4:4" x14ac:dyDescent="0.15">
      <c r="D496" s="107" t="s">
        <v>64</v>
      </c>
    </row>
    <row r="497" spans="4:4" x14ac:dyDescent="0.15">
      <c r="D497" s="107" t="s">
        <v>64</v>
      </c>
    </row>
    <row r="498" spans="4:4" x14ac:dyDescent="0.15">
      <c r="D498" s="107" t="s">
        <v>64</v>
      </c>
    </row>
    <row r="499" spans="4:4" x14ac:dyDescent="0.15">
      <c r="D499" s="107" t="s">
        <v>64</v>
      </c>
    </row>
    <row r="500" spans="4:4" x14ac:dyDescent="0.15">
      <c r="D500" s="107" t="s">
        <v>64</v>
      </c>
    </row>
    <row r="501" spans="4:4" x14ac:dyDescent="0.15">
      <c r="D501" s="107" t="s">
        <v>64</v>
      </c>
    </row>
    <row r="502" spans="4:4" x14ac:dyDescent="0.15">
      <c r="D502" s="107" t="s">
        <v>64</v>
      </c>
    </row>
    <row r="503" spans="4:4" x14ac:dyDescent="0.15">
      <c r="D503" s="107" t="s">
        <v>64</v>
      </c>
    </row>
    <row r="504" spans="4:4" x14ac:dyDescent="0.15">
      <c r="D504" s="107" t="s">
        <v>64</v>
      </c>
    </row>
    <row r="505" spans="4:4" x14ac:dyDescent="0.15">
      <c r="D505" s="107" t="s">
        <v>64</v>
      </c>
    </row>
    <row r="506" spans="4:4" x14ac:dyDescent="0.15">
      <c r="D506" s="107" t="s">
        <v>64</v>
      </c>
    </row>
    <row r="507" spans="4:4" x14ac:dyDescent="0.15">
      <c r="D507" s="107" t="s">
        <v>64</v>
      </c>
    </row>
    <row r="508" spans="4:4" x14ac:dyDescent="0.15">
      <c r="D508" s="107" t="s">
        <v>64</v>
      </c>
    </row>
    <row r="509" spans="4:4" x14ac:dyDescent="0.15">
      <c r="D509" s="107" t="s">
        <v>64</v>
      </c>
    </row>
    <row r="510" spans="4:4" x14ac:dyDescent="0.15">
      <c r="D510" s="107" t="s">
        <v>64</v>
      </c>
    </row>
    <row r="511" spans="4:4" x14ac:dyDescent="0.15">
      <c r="D511" s="107" t="s">
        <v>64</v>
      </c>
    </row>
    <row r="512" spans="4:4" x14ac:dyDescent="0.15">
      <c r="D512" s="107" t="s">
        <v>64</v>
      </c>
    </row>
    <row r="513" spans="4:4" x14ac:dyDescent="0.15">
      <c r="D513" s="107" t="s">
        <v>64</v>
      </c>
    </row>
    <row r="514" spans="4:4" x14ac:dyDescent="0.15">
      <c r="D514" s="107" t="s">
        <v>64</v>
      </c>
    </row>
    <row r="515" spans="4:4" x14ac:dyDescent="0.15">
      <c r="D515" s="107" t="s">
        <v>64</v>
      </c>
    </row>
    <row r="516" spans="4:4" x14ac:dyDescent="0.15">
      <c r="D516" s="107" t="s">
        <v>64</v>
      </c>
    </row>
    <row r="517" spans="4:4" x14ac:dyDescent="0.15">
      <c r="D517" s="107" t="s">
        <v>64</v>
      </c>
    </row>
    <row r="518" spans="4:4" x14ac:dyDescent="0.15">
      <c r="D518" s="107" t="s">
        <v>64</v>
      </c>
    </row>
    <row r="519" spans="4:4" x14ac:dyDescent="0.15">
      <c r="D519" s="107" t="s">
        <v>64</v>
      </c>
    </row>
    <row r="520" spans="4:4" x14ac:dyDescent="0.15">
      <c r="D520" s="107" t="s">
        <v>64</v>
      </c>
    </row>
    <row r="521" spans="4:4" x14ac:dyDescent="0.15">
      <c r="D521" s="107" t="s">
        <v>64</v>
      </c>
    </row>
    <row r="522" spans="4:4" x14ac:dyDescent="0.15">
      <c r="D522" s="107" t="s">
        <v>64</v>
      </c>
    </row>
    <row r="523" spans="4:4" x14ac:dyDescent="0.15">
      <c r="D523" s="107" t="s">
        <v>64</v>
      </c>
    </row>
    <row r="524" spans="4:4" x14ac:dyDescent="0.15">
      <c r="D524" s="107" t="s">
        <v>64</v>
      </c>
    </row>
    <row r="525" spans="4:4" x14ac:dyDescent="0.15">
      <c r="D525" s="107" t="s">
        <v>64</v>
      </c>
    </row>
    <row r="526" spans="4:4" x14ac:dyDescent="0.15">
      <c r="D526" s="107" t="s">
        <v>64</v>
      </c>
    </row>
    <row r="527" spans="4:4" x14ac:dyDescent="0.15">
      <c r="D527" s="107" t="s">
        <v>64</v>
      </c>
    </row>
    <row r="528" spans="4:4" x14ac:dyDescent="0.15">
      <c r="D528" s="107" t="s">
        <v>64</v>
      </c>
    </row>
    <row r="529" spans="4:4" x14ac:dyDescent="0.15">
      <c r="D529" s="107" t="s">
        <v>64</v>
      </c>
    </row>
    <row r="530" spans="4:4" x14ac:dyDescent="0.15">
      <c r="D530" s="107" t="s">
        <v>64</v>
      </c>
    </row>
    <row r="531" spans="4:4" x14ac:dyDescent="0.15">
      <c r="D531" s="107" t="s">
        <v>64</v>
      </c>
    </row>
    <row r="532" spans="4:4" x14ac:dyDescent="0.15">
      <c r="D532" s="107" t="s">
        <v>64</v>
      </c>
    </row>
    <row r="533" spans="4:4" x14ac:dyDescent="0.15">
      <c r="D533" s="107" t="s">
        <v>64</v>
      </c>
    </row>
    <row r="534" spans="4:4" x14ac:dyDescent="0.15">
      <c r="D534" s="107" t="s">
        <v>64</v>
      </c>
    </row>
    <row r="535" spans="4:4" x14ac:dyDescent="0.15">
      <c r="D535" s="107" t="s">
        <v>64</v>
      </c>
    </row>
    <row r="536" spans="4:4" x14ac:dyDescent="0.15">
      <c r="D536" s="107" t="s">
        <v>64</v>
      </c>
    </row>
    <row r="537" spans="4:4" x14ac:dyDescent="0.15">
      <c r="D537" s="107" t="s">
        <v>64</v>
      </c>
    </row>
    <row r="538" spans="4:4" x14ac:dyDescent="0.15">
      <c r="D538" s="107" t="s">
        <v>64</v>
      </c>
    </row>
    <row r="539" spans="4:4" x14ac:dyDescent="0.15">
      <c r="D539" s="107" t="s">
        <v>64</v>
      </c>
    </row>
    <row r="540" spans="4:4" x14ac:dyDescent="0.15">
      <c r="D540" s="107" t="s">
        <v>64</v>
      </c>
    </row>
    <row r="541" spans="4:4" x14ac:dyDescent="0.15">
      <c r="D541" s="107" t="s">
        <v>64</v>
      </c>
    </row>
    <row r="542" spans="4:4" x14ac:dyDescent="0.15">
      <c r="D542" s="107" t="s">
        <v>64</v>
      </c>
    </row>
    <row r="543" spans="4:4" x14ac:dyDescent="0.15">
      <c r="D543" s="107" t="s">
        <v>64</v>
      </c>
    </row>
    <row r="544" spans="4:4" x14ac:dyDescent="0.15">
      <c r="D544" s="107" t="s">
        <v>64</v>
      </c>
    </row>
    <row r="545" spans="4:4" x14ac:dyDescent="0.15">
      <c r="D545" s="107" t="s">
        <v>64</v>
      </c>
    </row>
    <row r="546" spans="4:4" x14ac:dyDescent="0.15">
      <c r="D546" s="107" t="s">
        <v>64</v>
      </c>
    </row>
    <row r="547" spans="4:4" x14ac:dyDescent="0.15">
      <c r="D547" s="107" t="s">
        <v>64</v>
      </c>
    </row>
    <row r="548" spans="4:4" x14ac:dyDescent="0.15">
      <c r="D548" s="107" t="s">
        <v>64</v>
      </c>
    </row>
    <row r="549" spans="4:4" x14ac:dyDescent="0.15">
      <c r="D549" s="107" t="s">
        <v>64</v>
      </c>
    </row>
    <row r="550" spans="4:4" x14ac:dyDescent="0.15">
      <c r="D550" s="107" t="s">
        <v>64</v>
      </c>
    </row>
    <row r="551" spans="4:4" x14ac:dyDescent="0.15">
      <c r="D551" s="107" t="s">
        <v>64</v>
      </c>
    </row>
    <row r="552" spans="4:4" x14ac:dyDescent="0.15">
      <c r="D552" s="107" t="s">
        <v>64</v>
      </c>
    </row>
    <row r="553" spans="4:4" x14ac:dyDescent="0.15">
      <c r="D553" s="107" t="s">
        <v>64</v>
      </c>
    </row>
    <row r="554" spans="4:4" x14ac:dyDescent="0.15">
      <c r="D554" s="107" t="s">
        <v>64</v>
      </c>
    </row>
    <row r="555" spans="4:4" x14ac:dyDescent="0.15">
      <c r="D555" s="107" t="s">
        <v>64</v>
      </c>
    </row>
    <row r="556" spans="4:4" x14ac:dyDescent="0.15">
      <c r="D556" s="107" t="s">
        <v>64</v>
      </c>
    </row>
    <row r="557" spans="4:4" x14ac:dyDescent="0.15">
      <c r="D557" s="107" t="s">
        <v>64</v>
      </c>
    </row>
    <row r="558" spans="4:4" x14ac:dyDescent="0.15">
      <c r="D558" s="107" t="s">
        <v>64</v>
      </c>
    </row>
    <row r="559" spans="4:4" x14ac:dyDescent="0.15">
      <c r="D559" s="107" t="s">
        <v>64</v>
      </c>
    </row>
    <row r="560" spans="4:4" x14ac:dyDescent="0.15">
      <c r="D560" s="107" t="s">
        <v>64</v>
      </c>
    </row>
    <row r="561" spans="4:4" x14ac:dyDescent="0.15">
      <c r="D561" s="107" t="s">
        <v>64</v>
      </c>
    </row>
    <row r="562" spans="4:4" x14ac:dyDescent="0.15">
      <c r="D562" s="107" t="s">
        <v>64</v>
      </c>
    </row>
    <row r="563" spans="4:4" x14ac:dyDescent="0.15">
      <c r="D563" s="107" t="s">
        <v>64</v>
      </c>
    </row>
    <row r="564" spans="4:4" x14ac:dyDescent="0.15">
      <c r="D564" s="107" t="s">
        <v>64</v>
      </c>
    </row>
    <row r="565" spans="4:4" x14ac:dyDescent="0.15">
      <c r="D565" s="107" t="s">
        <v>64</v>
      </c>
    </row>
    <row r="566" spans="4:4" x14ac:dyDescent="0.15">
      <c r="D566" s="107" t="s">
        <v>64</v>
      </c>
    </row>
    <row r="567" spans="4:4" x14ac:dyDescent="0.15">
      <c r="D567" s="107" t="s">
        <v>64</v>
      </c>
    </row>
    <row r="568" spans="4:4" x14ac:dyDescent="0.15">
      <c r="D568" s="107" t="s">
        <v>64</v>
      </c>
    </row>
    <row r="569" spans="4:4" x14ac:dyDescent="0.15">
      <c r="D569" s="107" t="s">
        <v>64</v>
      </c>
    </row>
    <row r="570" spans="4:4" x14ac:dyDescent="0.15">
      <c r="D570" s="107" t="s">
        <v>64</v>
      </c>
    </row>
    <row r="571" spans="4:4" x14ac:dyDescent="0.15">
      <c r="D571" s="107" t="s">
        <v>64</v>
      </c>
    </row>
    <row r="572" spans="4:4" x14ac:dyDescent="0.15">
      <c r="D572" s="107" t="s">
        <v>64</v>
      </c>
    </row>
    <row r="573" spans="4:4" x14ac:dyDescent="0.15">
      <c r="D573" s="107" t="s">
        <v>64</v>
      </c>
    </row>
    <row r="574" spans="4:4" x14ac:dyDescent="0.15">
      <c r="D574" s="107" t="s">
        <v>64</v>
      </c>
    </row>
    <row r="575" spans="4:4" x14ac:dyDescent="0.15">
      <c r="D575" s="107" t="s">
        <v>64</v>
      </c>
    </row>
    <row r="576" spans="4:4" x14ac:dyDescent="0.15">
      <c r="D576" s="107" t="s">
        <v>64</v>
      </c>
    </row>
    <row r="577" spans="4:4" x14ac:dyDescent="0.15">
      <c r="D577" s="107" t="s">
        <v>64</v>
      </c>
    </row>
    <row r="578" spans="4:4" x14ac:dyDescent="0.15">
      <c r="D578" s="107" t="s">
        <v>64</v>
      </c>
    </row>
    <row r="579" spans="4:4" x14ac:dyDescent="0.15">
      <c r="D579" s="107" t="s">
        <v>64</v>
      </c>
    </row>
    <row r="580" spans="4:4" x14ac:dyDescent="0.15">
      <c r="D580" s="107" t="s">
        <v>64</v>
      </c>
    </row>
    <row r="581" spans="4:4" x14ac:dyDescent="0.15">
      <c r="D581" s="107" t="s">
        <v>64</v>
      </c>
    </row>
    <row r="582" spans="4:4" x14ac:dyDescent="0.15">
      <c r="D582" s="107" t="s">
        <v>64</v>
      </c>
    </row>
    <row r="583" spans="4:4" x14ac:dyDescent="0.15">
      <c r="D583" s="107" t="s">
        <v>64</v>
      </c>
    </row>
    <row r="584" spans="4:4" x14ac:dyDescent="0.15">
      <c r="D584" s="107" t="s">
        <v>64</v>
      </c>
    </row>
    <row r="585" spans="4:4" x14ac:dyDescent="0.15">
      <c r="D585" s="107" t="s">
        <v>64</v>
      </c>
    </row>
    <row r="586" spans="4:4" x14ac:dyDescent="0.15">
      <c r="D586" s="107" t="s">
        <v>64</v>
      </c>
    </row>
    <row r="587" spans="4:4" x14ac:dyDescent="0.15">
      <c r="D587" s="107" t="s">
        <v>64</v>
      </c>
    </row>
    <row r="588" spans="4:4" x14ac:dyDescent="0.15">
      <c r="D588" s="107" t="s">
        <v>64</v>
      </c>
    </row>
    <row r="589" spans="4:4" x14ac:dyDescent="0.15">
      <c r="D589" s="107" t="s">
        <v>64</v>
      </c>
    </row>
    <row r="590" spans="4:4" x14ac:dyDescent="0.15">
      <c r="D590" s="107" t="s">
        <v>64</v>
      </c>
    </row>
    <row r="591" spans="4:4" x14ac:dyDescent="0.15">
      <c r="D591" s="107" t="s">
        <v>64</v>
      </c>
    </row>
    <row r="592" spans="4:4" x14ac:dyDescent="0.15">
      <c r="D592" s="107" t="s">
        <v>64</v>
      </c>
    </row>
    <row r="593" spans="4:4" x14ac:dyDescent="0.15">
      <c r="D593" s="107" t="s">
        <v>64</v>
      </c>
    </row>
    <row r="594" spans="4:4" x14ac:dyDescent="0.15">
      <c r="D594" s="107" t="s">
        <v>64</v>
      </c>
    </row>
    <row r="595" spans="4:4" x14ac:dyDescent="0.15">
      <c r="D595" s="107" t="s">
        <v>64</v>
      </c>
    </row>
    <row r="596" spans="4:4" x14ac:dyDescent="0.15">
      <c r="D596" s="107" t="s">
        <v>64</v>
      </c>
    </row>
    <row r="597" spans="4:4" x14ac:dyDescent="0.15">
      <c r="D597" s="107" t="s">
        <v>64</v>
      </c>
    </row>
    <row r="598" spans="4:4" x14ac:dyDescent="0.15">
      <c r="D598" s="107" t="s">
        <v>64</v>
      </c>
    </row>
    <row r="599" spans="4:4" x14ac:dyDescent="0.15">
      <c r="D599" s="107" t="s">
        <v>64</v>
      </c>
    </row>
    <row r="600" spans="4:4" x14ac:dyDescent="0.15">
      <c r="D600" s="107" t="s">
        <v>64</v>
      </c>
    </row>
    <row r="601" spans="4:4" x14ac:dyDescent="0.15">
      <c r="D601" s="107" t="s">
        <v>64</v>
      </c>
    </row>
    <row r="602" spans="4:4" x14ac:dyDescent="0.15">
      <c r="D602" s="107" t="s">
        <v>64</v>
      </c>
    </row>
    <row r="603" spans="4:4" x14ac:dyDescent="0.15">
      <c r="D603" s="107" t="s">
        <v>64</v>
      </c>
    </row>
    <row r="604" spans="4:4" x14ac:dyDescent="0.15">
      <c r="D604" s="107" t="s">
        <v>64</v>
      </c>
    </row>
    <row r="605" spans="4:4" x14ac:dyDescent="0.15">
      <c r="D605" s="107" t="s">
        <v>64</v>
      </c>
    </row>
    <row r="606" spans="4:4" x14ac:dyDescent="0.15">
      <c r="D606" s="107" t="s">
        <v>64</v>
      </c>
    </row>
    <row r="607" spans="4:4" x14ac:dyDescent="0.15">
      <c r="D607" s="107" t="s">
        <v>64</v>
      </c>
    </row>
    <row r="608" spans="4:4" x14ac:dyDescent="0.15">
      <c r="D608" s="107" t="s">
        <v>64</v>
      </c>
    </row>
    <row r="609" spans="4:4" x14ac:dyDescent="0.15">
      <c r="D609" s="107" t="s">
        <v>64</v>
      </c>
    </row>
    <row r="610" spans="4:4" x14ac:dyDescent="0.15">
      <c r="D610" s="107" t="s">
        <v>64</v>
      </c>
    </row>
    <row r="611" spans="4:4" x14ac:dyDescent="0.15">
      <c r="D611" s="107" t="s">
        <v>64</v>
      </c>
    </row>
    <row r="612" spans="4:4" x14ac:dyDescent="0.15">
      <c r="D612" s="107" t="s">
        <v>64</v>
      </c>
    </row>
    <row r="613" spans="4:4" x14ac:dyDescent="0.15">
      <c r="D613" s="107" t="s">
        <v>64</v>
      </c>
    </row>
    <row r="614" spans="4:4" x14ac:dyDescent="0.15">
      <c r="D614" s="107" t="s">
        <v>64</v>
      </c>
    </row>
    <row r="615" spans="4:4" x14ac:dyDescent="0.15">
      <c r="D615" s="107" t="s">
        <v>64</v>
      </c>
    </row>
    <row r="616" spans="4:4" x14ac:dyDescent="0.15">
      <c r="D616" s="107" t="s">
        <v>64</v>
      </c>
    </row>
    <row r="617" spans="4:4" x14ac:dyDescent="0.15">
      <c r="D617" s="107" t="s">
        <v>64</v>
      </c>
    </row>
    <row r="618" spans="4:4" x14ac:dyDescent="0.15">
      <c r="D618" s="107" t="s">
        <v>64</v>
      </c>
    </row>
    <row r="619" spans="4:4" x14ac:dyDescent="0.15">
      <c r="D619" s="107" t="s">
        <v>64</v>
      </c>
    </row>
    <row r="620" spans="4:4" x14ac:dyDescent="0.15">
      <c r="D620" s="107" t="s">
        <v>64</v>
      </c>
    </row>
    <row r="621" spans="4:4" x14ac:dyDescent="0.15">
      <c r="D621" s="107" t="s">
        <v>64</v>
      </c>
    </row>
    <row r="622" spans="4:4" x14ac:dyDescent="0.15">
      <c r="D622" s="107" t="s">
        <v>64</v>
      </c>
    </row>
    <row r="623" spans="4:4" x14ac:dyDescent="0.15">
      <c r="D623" s="107" t="s">
        <v>64</v>
      </c>
    </row>
    <row r="624" spans="4:4" x14ac:dyDescent="0.15">
      <c r="D624" s="107" t="s">
        <v>64</v>
      </c>
    </row>
    <row r="625" spans="4:4" x14ac:dyDescent="0.15">
      <c r="D625" s="107" t="s">
        <v>64</v>
      </c>
    </row>
    <row r="626" spans="4:4" x14ac:dyDescent="0.15">
      <c r="D626" s="107" t="s">
        <v>64</v>
      </c>
    </row>
    <row r="627" spans="4:4" x14ac:dyDescent="0.15">
      <c r="D627" s="107" t="s">
        <v>64</v>
      </c>
    </row>
    <row r="628" spans="4:4" x14ac:dyDescent="0.15">
      <c r="D628" s="107" t="s">
        <v>64</v>
      </c>
    </row>
    <row r="629" spans="4:4" x14ac:dyDescent="0.15">
      <c r="D629" s="107" t="s">
        <v>64</v>
      </c>
    </row>
    <row r="630" spans="4:4" x14ac:dyDescent="0.15">
      <c r="D630" s="107" t="s">
        <v>64</v>
      </c>
    </row>
    <row r="631" spans="4:4" x14ac:dyDescent="0.15">
      <c r="D631" s="107" t="s">
        <v>64</v>
      </c>
    </row>
    <row r="632" spans="4:4" x14ac:dyDescent="0.15">
      <c r="D632" s="107" t="s">
        <v>64</v>
      </c>
    </row>
    <row r="633" spans="4:4" x14ac:dyDescent="0.15">
      <c r="D633" s="107" t="s">
        <v>64</v>
      </c>
    </row>
    <row r="634" spans="4:4" x14ac:dyDescent="0.15">
      <c r="D634" s="107" t="s">
        <v>64</v>
      </c>
    </row>
    <row r="635" spans="4:4" x14ac:dyDescent="0.15">
      <c r="D635" s="107" t="s">
        <v>64</v>
      </c>
    </row>
    <row r="636" spans="4:4" x14ac:dyDescent="0.15">
      <c r="D636" s="107" t="s">
        <v>64</v>
      </c>
    </row>
    <row r="637" spans="4:4" x14ac:dyDescent="0.15">
      <c r="D637" s="107" t="s">
        <v>64</v>
      </c>
    </row>
    <row r="638" spans="4:4" x14ac:dyDescent="0.15">
      <c r="D638" s="107" t="s">
        <v>64</v>
      </c>
    </row>
    <row r="639" spans="4:4" x14ac:dyDescent="0.15">
      <c r="D639" s="107" t="s">
        <v>64</v>
      </c>
    </row>
    <row r="640" spans="4:4" x14ac:dyDescent="0.15">
      <c r="D640" s="107" t="s">
        <v>64</v>
      </c>
    </row>
    <row r="641" spans="4:4" x14ac:dyDescent="0.15">
      <c r="D641" s="107" t="s">
        <v>64</v>
      </c>
    </row>
    <row r="642" spans="4:4" x14ac:dyDescent="0.15">
      <c r="D642" s="107" t="s">
        <v>64</v>
      </c>
    </row>
    <row r="643" spans="4:4" x14ac:dyDescent="0.15">
      <c r="D643" s="107" t="s">
        <v>64</v>
      </c>
    </row>
    <row r="644" spans="4:4" x14ac:dyDescent="0.15">
      <c r="D644" s="107" t="s">
        <v>64</v>
      </c>
    </row>
    <row r="645" spans="4:4" x14ac:dyDescent="0.15">
      <c r="D645" s="107" t="s">
        <v>64</v>
      </c>
    </row>
    <row r="646" spans="4:4" x14ac:dyDescent="0.15">
      <c r="D646" s="107" t="s">
        <v>64</v>
      </c>
    </row>
    <row r="647" spans="4:4" x14ac:dyDescent="0.15">
      <c r="D647" s="107" t="s">
        <v>64</v>
      </c>
    </row>
    <row r="648" spans="4:4" x14ac:dyDescent="0.15">
      <c r="D648" s="107" t="s">
        <v>64</v>
      </c>
    </row>
    <row r="649" spans="4:4" x14ac:dyDescent="0.15">
      <c r="D649" s="107" t="s">
        <v>64</v>
      </c>
    </row>
    <row r="650" spans="4:4" x14ac:dyDescent="0.15">
      <c r="D650" s="107" t="s">
        <v>64</v>
      </c>
    </row>
    <row r="651" spans="4:4" x14ac:dyDescent="0.15">
      <c r="D651" s="107" t="s">
        <v>64</v>
      </c>
    </row>
    <row r="652" spans="4:4" x14ac:dyDescent="0.15">
      <c r="D652" s="107" t="s">
        <v>64</v>
      </c>
    </row>
    <row r="653" spans="4:4" x14ac:dyDescent="0.15">
      <c r="D653" s="107" t="s">
        <v>64</v>
      </c>
    </row>
    <row r="654" spans="4:4" x14ac:dyDescent="0.15">
      <c r="D654" s="107" t="s">
        <v>64</v>
      </c>
    </row>
    <row r="655" spans="4:4" x14ac:dyDescent="0.15">
      <c r="D655" s="107" t="s">
        <v>64</v>
      </c>
    </row>
    <row r="656" spans="4:4" x14ac:dyDescent="0.15">
      <c r="D656" s="107" t="s">
        <v>64</v>
      </c>
    </row>
    <row r="657" spans="4:4" x14ac:dyDescent="0.15">
      <c r="D657" s="107" t="s">
        <v>64</v>
      </c>
    </row>
    <row r="658" spans="4:4" x14ac:dyDescent="0.15">
      <c r="D658" s="107" t="s">
        <v>64</v>
      </c>
    </row>
    <row r="659" spans="4:4" x14ac:dyDescent="0.15">
      <c r="D659" s="107" t="s">
        <v>64</v>
      </c>
    </row>
    <row r="660" spans="4:4" x14ac:dyDescent="0.15">
      <c r="D660" s="107" t="s">
        <v>64</v>
      </c>
    </row>
    <row r="661" spans="4:4" x14ac:dyDescent="0.15">
      <c r="D661" s="107" t="s">
        <v>64</v>
      </c>
    </row>
    <row r="662" spans="4:4" x14ac:dyDescent="0.15">
      <c r="D662" s="107" t="s">
        <v>64</v>
      </c>
    </row>
    <row r="663" spans="4:4" x14ac:dyDescent="0.15">
      <c r="D663" s="107" t="s">
        <v>64</v>
      </c>
    </row>
    <row r="664" spans="4:4" x14ac:dyDescent="0.15">
      <c r="D664" s="107" t="s">
        <v>64</v>
      </c>
    </row>
    <row r="665" spans="4:4" x14ac:dyDescent="0.15">
      <c r="D665" s="107" t="s">
        <v>64</v>
      </c>
    </row>
    <row r="666" spans="4:4" x14ac:dyDescent="0.15">
      <c r="D666" s="107" t="s">
        <v>64</v>
      </c>
    </row>
    <row r="667" spans="4:4" x14ac:dyDescent="0.15">
      <c r="D667" s="107" t="s">
        <v>64</v>
      </c>
    </row>
    <row r="668" spans="4:4" x14ac:dyDescent="0.15">
      <c r="D668" s="107" t="s">
        <v>64</v>
      </c>
    </row>
    <row r="669" spans="4:4" x14ac:dyDescent="0.15">
      <c r="D669" s="107" t="s">
        <v>64</v>
      </c>
    </row>
    <row r="670" spans="4:4" x14ac:dyDescent="0.15">
      <c r="D670" s="107" t="s">
        <v>64</v>
      </c>
    </row>
    <row r="671" spans="4:4" x14ac:dyDescent="0.15">
      <c r="D671" s="107" t="s">
        <v>64</v>
      </c>
    </row>
    <row r="672" spans="4:4" x14ac:dyDescent="0.15">
      <c r="D672" s="107" t="s">
        <v>64</v>
      </c>
    </row>
    <row r="673" spans="4:4" x14ac:dyDescent="0.15">
      <c r="D673" s="107" t="s">
        <v>64</v>
      </c>
    </row>
    <row r="674" spans="4:4" x14ac:dyDescent="0.15">
      <c r="D674" s="107" t="s">
        <v>64</v>
      </c>
    </row>
    <row r="675" spans="4:4" x14ac:dyDescent="0.15">
      <c r="D675" s="107" t="s">
        <v>64</v>
      </c>
    </row>
    <row r="676" spans="4:4" x14ac:dyDescent="0.15">
      <c r="D676" s="107" t="s">
        <v>64</v>
      </c>
    </row>
    <row r="677" spans="4:4" x14ac:dyDescent="0.15">
      <c r="D677" s="107" t="s">
        <v>64</v>
      </c>
    </row>
    <row r="678" spans="4:4" x14ac:dyDescent="0.15">
      <c r="D678" s="107" t="s">
        <v>64</v>
      </c>
    </row>
    <row r="679" spans="4:4" x14ac:dyDescent="0.15">
      <c r="D679" s="107" t="s">
        <v>64</v>
      </c>
    </row>
    <row r="680" spans="4:4" x14ac:dyDescent="0.15">
      <c r="D680" s="107" t="s">
        <v>64</v>
      </c>
    </row>
    <row r="681" spans="4:4" x14ac:dyDescent="0.15">
      <c r="D681" s="107" t="s">
        <v>64</v>
      </c>
    </row>
    <row r="682" spans="4:4" x14ac:dyDescent="0.15">
      <c r="D682" s="107" t="s">
        <v>64</v>
      </c>
    </row>
    <row r="683" spans="4:4" x14ac:dyDescent="0.15">
      <c r="D683" s="107" t="s">
        <v>64</v>
      </c>
    </row>
    <row r="684" spans="4:4" x14ac:dyDescent="0.15">
      <c r="D684" s="107" t="s">
        <v>64</v>
      </c>
    </row>
    <row r="685" spans="4:4" x14ac:dyDescent="0.15">
      <c r="D685" s="107" t="s">
        <v>64</v>
      </c>
    </row>
    <row r="686" spans="4:4" x14ac:dyDescent="0.15">
      <c r="D686" s="107" t="s">
        <v>64</v>
      </c>
    </row>
    <row r="687" spans="4:4" x14ac:dyDescent="0.15">
      <c r="D687" s="107" t="s">
        <v>64</v>
      </c>
    </row>
    <row r="688" spans="4:4" x14ac:dyDescent="0.15">
      <c r="D688" s="107" t="s">
        <v>64</v>
      </c>
    </row>
    <row r="689" spans="4:4" x14ac:dyDescent="0.15">
      <c r="D689" s="107" t="s">
        <v>64</v>
      </c>
    </row>
    <row r="690" spans="4:4" x14ac:dyDescent="0.15">
      <c r="D690" s="107" t="s">
        <v>64</v>
      </c>
    </row>
    <row r="691" spans="4:4" x14ac:dyDescent="0.15">
      <c r="D691" s="107" t="s">
        <v>64</v>
      </c>
    </row>
    <row r="692" spans="4:4" x14ac:dyDescent="0.15">
      <c r="D692" s="107" t="s">
        <v>64</v>
      </c>
    </row>
    <row r="693" spans="4:4" x14ac:dyDescent="0.15">
      <c r="D693" s="107" t="s">
        <v>64</v>
      </c>
    </row>
    <row r="694" spans="4:4" x14ac:dyDescent="0.15">
      <c r="D694" s="107" t="s">
        <v>64</v>
      </c>
    </row>
    <row r="695" spans="4:4" x14ac:dyDescent="0.15">
      <c r="D695" s="107" t="s">
        <v>64</v>
      </c>
    </row>
    <row r="696" spans="4:4" x14ac:dyDescent="0.15">
      <c r="D696" s="107" t="s">
        <v>64</v>
      </c>
    </row>
    <row r="697" spans="4:4" x14ac:dyDescent="0.15">
      <c r="D697" s="107" t="s">
        <v>64</v>
      </c>
    </row>
    <row r="698" spans="4:4" x14ac:dyDescent="0.15">
      <c r="D698" s="107" t="s">
        <v>64</v>
      </c>
    </row>
    <row r="699" spans="4:4" x14ac:dyDescent="0.15">
      <c r="D699" s="107" t="s">
        <v>64</v>
      </c>
    </row>
    <row r="700" spans="4:4" x14ac:dyDescent="0.15">
      <c r="D700" s="107" t="s">
        <v>64</v>
      </c>
    </row>
    <row r="701" spans="4:4" x14ac:dyDescent="0.15">
      <c r="D701" s="107" t="s">
        <v>64</v>
      </c>
    </row>
    <row r="702" spans="4:4" x14ac:dyDescent="0.15">
      <c r="D702" s="107" t="s">
        <v>64</v>
      </c>
    </row>
    <row r="703" spans="4:4" x14ac:dyDescent="0.15">
      <c r="D703" s="107" t="s">
        <v>64</v>
      </c>
    </row>
    <row r="704" spans="4:4" x14ac:dyDescent="0.15">
      <c r="D704" s="107" t="s">
        <v>64</v>
      </c>
    </row>
    <row r="705" spans="4:4" x14ac:dyDescent="0.15">
      <c r="D705" s="107" t="s">
        <v>64</v>
      </c>
    </row>
    <row r="706" spans="4:4" x14ac:dyDescent="0.15">
      <c r="D706" s="107" t="s">
        <v>64</v>
      </c>
    </row>
    <row r="707" spans="4:4" x14ac:dyDescent="0.15">
      <c r="D707" s="107" t="s">
        <v>64</v>
      </c>
    </row>
    <row r="708" spans="4:4" x14ac:dyDescent="0.15">
      <c r="D708" s="107" t="s">
        <v>64</v>
      </c>
    </row>
    <row r="709" spans="4:4" x14ac:dyDescent="0.15">
      <c r="D709" s="107" t="s">
        <v>64</v>
      </c>
    </row>
    <row r="710" spans="4:4" x14ac:dyDescent="0.15">
      <c r="D710" s="107" t="s">
        <v>64</v>
      </c>
    </row>
    <row r="711" spans="4:4" x14ac:dyDescent="0.15">
      <c r="D711" s="107" t="s">
        <v>64</v>
      </c>
    </row>
    <row r="712" spans="4:4" x14ac:dyDescent="0.15">
      <c r="D712" s="107" t="s">
        <v>64</v>
      </c>
    </row>
    <row r="713" spans="4:4" x14ac:dyDescent="0.15">
      <c r="D713" s="107" t="s">
        <v>64</v>
      </c>
    </row>
    <row r="714" spans="4:4" x14ac:dyDescent="0.15">
      <c r="D714" s="107" t="s">
        <v>64</v>
      </c>
    </row>
    <row r="715" spans="4:4" x14ac:dyDescent="0.15">
      <c r="D715" s="107" t="s">
        <v>64</v>
      </c>
    </row>
    <row r="716" spans="4:4" x14ac:dyDescent="0.15">
      <c r="D716" s="107" t="s">
        <v>64</v>
      </c>
    </row>
    <row r="717" spans="4:4" x14ac:dyDescent="0.15">
      <c r="D717" s="107" t="s">
        <v>64</v>
      </c>
    </row>
    <row r="718" spans="4:4" x14ac:dyDescent="0.15">
      <c r="D718" s="107" t="s">
        <v>64</v>
      </c>
    </row>
    <row r="719" spans="4:4" x14ac:dyDescent="0.15">
      <c r="D719" s="107" t="s">
        <v>64</v>
      </c>
    </row>
    <row r="720" spans="4:4" x14ac:dyDescent="0.15">
      <c r="D720" s="107" t="s">
        <v>64</v>
      </c>
    </row>
    <row r="721" spans="4:4" x14ac:dyDescent="0.15">
      <c r="D721" s="107" t="s">
        <v>64</v>
      </c>
    </row>
    <row r="722" spans="4:4" x14ac:dyDescent="0.15">
      <c r="D722" s="107" t="s">
        <v>64</v>
      </c>
    </row>
    <row r="723" spans="4:4" x14ac:dyDescent="0.15">
      <c r="D723" s="107" t="s">
        <v>64</v>
      </c>
    </row>
    <row r="724" spans="4:4" x14ac:dyDescent="0.15">
      <c r="D724" s="107" t="s">
        <v>64</v>
      </c>
    </row>
    <row r="725" spans="4:4" x14ac:dyDescent="0.15">
      <c r="D725" s="107" t="s">
        <v>64</v>
      </c>
    </row>
    <row r="726" spans="4:4" x14ac:dyDescent="0.15">
      <c r="D726" s="107" t="s">
        <v>64</v>
      </c>
    </row>
    <row r="727" spans="4:4" x14ac:dyDescent="0.15">
      <c r="D727" s="107" t="s">
        <v>64</v>
      </c>
    </row>
    <row r="728" spans="4:4" x14ac:dyDescent="0.15">
      <c r="D728" s="107" t="s">
        <v>64</v>
      </c>
    </row>
    <row r="729" spans="4:4" x14ac:dyDescent="0.15">
      <c r="D729" s="107" t="s">
        <v>64</v>
      </c>
    </row>
    <row r="730" spans="4:4" x14ac:dyDescent="0.15">
      <c r="D730" s="107" t="s">
        <v>64</v>
      </c>
    </row>
    <row r="731" spans="4:4" x14ac:dyDescent="0.15">
      <c r="D731" s="107" t="s">
        <v>64</v>
      </c>
    </row>
    <row r="732" spans="4:4" x14ac:dyDescent="0.15">
      <c r="D732" s="107" t="s">
        <v>64</v>
      </c>
    </row>
    <row r="733" spans="4:4" x14ac:dyDescent="0.15">
      <c r="D733" s="107" t="s">
        <v>64</v>
      </c>
    </row>
    <row r="734" spans="4:4" x14ac:dyDescent="0.15">
      <c r="D734" s="107" t="s">
        <v>64</v>
      </c>
    </row>
    <row r="735" spans="4:4" x14ac:dyDescent="0.15">
      <c r="D735" s="107" t="s">
        <v>64</v>
      </c>
    </row>
    <row r="736" spans="4:4" x14ac:dyDescent="0.15">
      <c r="D736" s="107" t="s">
        <v>64</v>
      </c>
    </row>
    <row r="737" spans="4:4" x14ac:dyDescent="0.15">
      <c r="D737" s="107" t="s">
        <v>64</v>
      </c>
    </row>
    <row r="738" spans="4:4" x14ac:dyDescent="0.15">
      <c r="D738" s="107" t="s">
        <v>64</v>
      </c>
    </row>
    <row r="739" spans="4:4" x14ac:dyDescent="0.15">
      <c r="D739" s="107" t="s">
        <v>64</v>
      </c>
    </row>
    <row r="740" spans="4:4" x14ac:dyDescent="0.15">
      <c r="D740" s="107" t="s">
        <v>64</v>
      </c>
    </row>
    <row r="741" spans="4:4" x14ac:dyDescent="0.15">
      <c r="D741" s="107" t="s">
        <v>64</v>
      </c>
    </row>
    <row r="742" spans="4:4" x14ac:dyDescent="0.15">
      <c r="D742" s="107" t="s">
        <v>64</v>
      </c>
    </row>
    <row r="743" spans="4:4" x14ac:dyDescent="0.15">
      <c r="D743" s="107" t="s">
        <v>64</v>
      </c>
    </row>
    <row r="744" spans="4:4" x14ac:dyDescent="0.15">
      <c r="D744" s="107" t="s">
        <v>64</v>
      </c>
    </row>
    <row r="745" spans="4:4" x14ac:dyDescent="0.15">
      <c r="D745" s="107" t="s">
        <v>64</v>
      </c>
    </row>
    <row r="746" spans="4:4" x14ac:dyDescent="0.15">
      <c r="D746" s="107" t="s">
        <v>64</v>
      </c>
    </row>
    <row r="747" spans="4:4" x14ac:dyDescent="0.15">
      <c r="D747" s="107" t="s">
        <v>64</v>
      </c>
    </row>
    <row r="748" spans="4:4" x14ac:dyDescent="0.15">
      <c r="D748" s="107" t="s">
        <v>64</v>
      </c>
    </row>
    <row r="749" spans="4:4" x14ac:dyDescent="0.15">
      <c r="D749" s="107" t="s">
        <v>64</v>
      </c>
    </row>
    <row r="750" spans="4:4" x14ac:dyDescent="0.15">
      <c r="D750" s="107" t="s">
        <v>64</v>
      </c>
    </row>
    <row r="751" spans="4:4" x14ac:dyDescent="0.15">
      <c r="D751" s="107" t="s">
        <v>64</v>
      </c>
    </row>
    <row r="752" spans="4:4" x14ac:dyDescent="0.15">
      <c r="D752" s="107" t="s">
        <v>64</v>
      </c>
    </row>
    <row r="753" spans="4:4" x14ac:dyDescent="0.15">
      <c r="D753" s="107" t="s">
        <v>64</v>
      </c>
    </row>
    <row r="754" spans="4:4" x14ac:dyDescent="0.15">
      <c r="D754" s="107" t="s">
        <v>64</v>
      </c>
    </row>
    <row r="755" spans="4:4" x14ac:dyDescent="0.15">
      <c r="D755" s="107" t="s">
        <v>64</v>
      </c>
    </row>
    <row r="756" spans="4:4" x14ac:dyDescent="0.15">
      <c r="D756" s="107" t="s">
        <v>64</v>
      </c>
    </row>
    <row r="757" spans="4:4" x14ac:dyDescent="0.15">
      <c r="D757" s="107" t="s">
        <v>64</v>
      </c>
    </row>
    <row r="758" spans="4:4" x14ac:dyDescent="0.15">
      <c r="D758" s="107" t="s">
        <v>64</v>
      </c>
    </row>
    <row r="759" spans="4:4" x14ac:dyDescent="0.15">
      <c r="D759" s="107" t="s">
        <v>64</v>
      </c>
    </row>
    <row r="760" spans="4:4" x14ac:dyDescent="0.15">
      <c r="D760" s="107" t="s">
        <v>64</v>
      </c>
    </row>
    <row r="761" spans="4:4" x14ac:dyDescent="0.15">
      <c r="D761" s="107" t="s">
        <v>64</v>
      </c>
    </row>
    <row r="762" spans="4:4" x14ac:dyDescent="0.15">
      <c r="D762" s="107" t="s">
        <v>64</v>
      </c>
    </row>
    <row r="763" spans="4:4" x14ac:dyDescent="0.15">
      <c r="D763" s="107" t="s">
        <v>64</v>
      </c>
    </row>
    <row r="764" spans="4:4" x14ac:dyDescent="0.15">
      <c r="D764" s="107" t="s">
        <v>64</v>
      </c>
    </row>
    <row r="765" spans="4:4" x14ac:dyDescent="0.15">
      <c r="D765" s="107" t="s">
        <v>64</v>
      </c>
    </row>
    <row r="766" spans="4:4" x14ac:dyDescent="0.15">
      <c r="D766" s="107" t="s">
        <v>64</v>
      </c>
    </row>
    <row r="767" spans="4:4" x14ac:dyDescent="0.15">
      <c r="D767" s="107" t="s">
        <v>64</v>
      </c>
    </row>
    <row r="768" spans="4:4" x14ac:dyDescent="0.15">
      <c r="D768" s="107" t="s">
        <v>64</v>
      </c>
    </row>
    <row r="769" spans="4:4" x14ac:dyDescent="0.15">
      <c r="D769" s="107" t="s">
        <v>64</v>
      </c>
    </row>
    <row r="770" spans="4:4" x14ac:dyDescent="0.15">
      <c r="D770" s="107" t="s">
        <v>64</v>
      </c>
    </row>
    <row r="771" spans="4:4" x14ac:dyDescent="0.15">
      <c r="D771" s="107" t="s">
        <v>64</v>
      </c>
    </row>
    <row r="772" spans="4:4" x14ac:dyDescent="0.15">
      <c r="D772" s="107" t="s">
        <v>64</v>
      </c>
    </row>
    <row r="773" spans="4:4" x14ac:dyDescent="0.15">
      <c r="D773" s="107" t="s">
        <v>64</v>
      </c>
    </row>
    <row r="774" spans="4:4" x14ac:dyDescent="0.15">
      <c r="D774" s="107" t="s">
        <v>64</v>
      </c>
    </row>
    <row r="775" spans="4:4" x14ac:dyDescent="0.15">
      <c r="D775" s="107" t="s">
        <v>64</v>
      </c>
    </row>
    <row r="776" spans="4:4" x14ac:dyDescent="0.15">
      <c r="D776" s="107" t="s">
        <v>64</v>
      </c>
    </row>
    <row r="777" spans="4:4" x14ac:dyDescent="0.15">
      <c r="D777" s="107" t="s">
        <v>64</v>
      </c>
    </row>
    <row r="778" spans="4:4" x14ac:dyDescent="0.15">
      <c r="D778" s="107" t="s">
        <v>64</v>
      </c>
    </row>
    <row r="779" spans="4:4" x14ac:dyDescent="0.15">
      <c r="D779" s="107" t="s">
        <v>64</v>
      </c>
    </row>
    <row r="780" spans="4:4" x14ac:dyDescent="0.15">
      <c r="D780" s="107" t="s">
        <v>64</v>
      </c>
    </row>
    <row r="781" spans="4:4" x14ac:dyDescent="0.15">
      <c r="D781" s="107" t="s">
        <v>64</v>
      </c>
    </row>
    <row r="782" spans="4:4" x14ac:dyDescent="0.15">
      <c r="D782" s="107" t="s">
        <v>64</v>
      </c>
    </row>
    <row r="783" spans="4:4" x14ac:dyDescent="0.15">
      <c r="D783" s="107" t="s">
        <v>64</v>
      </c>
    </row>
    <row r="784" spans="4:4" x14ac:dyDescent="0.15">
      <c r="D784" s="107" t="s">
        <v>64</v>
      </c>
    </row>
    <row r="785" spans="4:4" x14ac:dyDescent="0.15">
      <c r="D785" s="107" t="s">
        <v>64</v>
      </c>
    </row>
    <row r="786" spans="4:4" x14ac:dyDescent="0.15">
      <c r="D786" s="107" t="s">
        <v>64</v>
      </c>
    </row>
    <row r="787" spans="4:4" x14ac:dyDescent="0.15">
      <c r="D787" s="107" t="s">
        <v>64</v>
      </c>
    </row>
    <row r="788" spans="4:4" x14ac:dyDescent="0.15">
      <c r="D788" s="107" t="s">
        <v>64</v>
      </c>
    </row>
    <row r="789" spans="4:4" x14ac:dyDescent="0.15">
      <c r="D789" s="107" t="s">
        <v>64</v>
      </c>
    </row>
    <row r="790" spans="4:4" x14ac:dyDescent="0.15">
      <c r="D790" s="107" t="s">
        <v>64</v>
      </c>
    </row>
    <row r="791" spans="4:4" x14ac:dyDescent="0.15">
      <c r="D791" s="107" t="s">
        <v>64</v>
      </c>
    </row>
    <row r="792" spans="4:4" x14ac:dyDescent="0.15">
      <c r="D792" s="107" t="s">
        <v>64</v>
      </c>
    </row>
    <row r="793" spans="4:4" x14ac:dyDescent="0.15">
      <c r="D793" s="107" t="s">
        <v>64</v>
      </c>
    </row>
    <row r="794" spans="4:4" x14ac:dyDescent="0.15">
      <c r="D794" s="107" t="s">
        <v>64</v>
      </c>
    </row>
    <row r="795" spans="4:4" x14ac:dyDescent="0.15">
      <c r="D795" s="107" t="s">
        <v>64</v>
      </c>
    </row>
    <row r="796" spans="4:4" x14ac:dyDescent="0.15">
      <c r="D796" s="107" t="s">
        <v>64</v>
      </c>
    </row>
    <row r="797" spans="4:4" x14ac:dyDescent="0.15">
      <c r="D797" s="107" t="s">
        <v>64</v>
      </c>
    </row>
    <row r="798" spans="4:4" x14ac:dyDescent="0.15">
      <c r="D798" s="107" t="s">
        <v>64</v>
      </c>
    </row>
    <row r="799" spans="4:4" x14ac:dyDescent="0.15">
      <c r="D799" s="107" t="s">
        <v>64</v>
      </c>
    </row>
    <row r="800" spans="4:4" x14ac:dyDescent="0.15">
      <c r="D800" s="107" t="s">
        <v>64</v>
      </c>
    </row>
    <row r="801" spans="4:4" x14ac:dyDescent="0.15">
      <c r="D801" s="107" t="s">
        <v>64</v>
      </c>
    </row>
    <row r="802" spans="4:4" x14ac:dyDescent="0.15">
      <c r="D802" s="107" t="s">
        <v>64</v>
      </c>
    </row>
    <row r="803" spans="4:4" x14ac:dyDescent="0.15">
      <c r="D803" s="107" t="s">
        <v>64</v>
      </c>
    </row>
    <row r="804" spans="4:4" x14ac:dyDescent="0.15">
      <c r="D804" s="107" t="s">
        <v>64</v>
      </c>
    </row>
    <row r="805" spans="4:4" x14ac:dyDescent="0.15">
      <c r="D805" s="107" t="s">
        <v>64</v>
      </c>
    </row>
    <row r="806" spans="4:4" x14ac:dyDescent="0.15">
      <c r="D806" s="107" t="s">
        <v>64</v>
      </c>
    </row>
    <row r="807" spans="4:4" x14ac:dyDescent="0.15">
      <c r="D807" s="107" t="s">
        <v>64</v>
      </c>
    </row>
    <row r="808" spans="4:4" x14ac:dyDescent="0.15">
      <c r="D808" s="107" t="s">
        <v>64</v>
      </c>
    </row>
    <row r="809" spans="4:4" x14ac:dyDescent="0.15">
      <c r="D809" s="107" t="s">
        <v>64</v>
      </c>
    </row>
    <row r="810" spans="4:4" x14ac:dyDescent="0.15">
      <c r="D810" s="107" t="s">
        <v>64</v>
      </c>
    </row>
    <row r="811" spans="4:4" x14ac:dyDescent="0.15">
      <c r="D811" s="107" t="s">
        <v>64</v>
      </c>
    </row>
    <row r="812" spans="4:4" x14ac:dyDescent="0.15">
      <c r="D812" s="107" t="s">
        <v>64</v>
      </c>
    </row>
    <row r="813" spans="4:4" x14ac:dyDescent="0.15">
      <c r="D813" s="107" t="s">
        <v>64</v>
      </c>
    </row>
    <row r="814" spans="4:4" x14ac:dyDescent="0.15">
      <c r="D814" s="107" t="s">
        <v>64</v>
      </c>
    </row>
    <row r="815" spans="4:4" x14ac:dyDescent="0.15">
      <c r="D815" s="107" t="s">
        <v>64</v>
      </c>
    </row>
    <row r="816" spans="4:4" x14ac:dyDescent="0.15">
      <c r="D816" s="107" t="s">
        <v>64</v>
      </c>
    </row>
    <row r="817" spans="4:4" x14ac:dyDescent="0.15">
      <c r="D817" s="107" t="s">
        <v>64</v>
      </c>
    </row>
    <row r="818" spans="4:4" x14ac:dyDescent="0.15">
      <c r="D818" s="107" t="s">
        <v>64</v>
      </c>
    </row>
    <row r="819" spans="4:4" x14ac:dyDescent="0.15">
      <c r="D819" s="107" t="s">
        <v>64</v>
      </c>
    </row>
    <row r="820" spans="4:4" x14ac:dyDescent="0.15">
      <c r="D820" s="107" t="s">
        <v>64</v>
      </c>
    </row>
    <row r="821" spans="4:4" x14ac:dyDescent="0.15">
      <c r="D821" s="107" t="s">
        <v>64</v>
      </c>
    </row>
    <row r="822" spans="4:4" x14ac:dyDescent="0.15">
      <c r="D822" s="107" t="s">
        <v>64</v>
      </c>
    </row>
    <row r="823" spans="4:4" x14ac:dyDescent="0.15">
      <c r="D823" s="107" t="s">
        <v>64</v>
      </c>
    </row>
    <row r="824" spans="4:4" x14ac:dyDescent="0.15">
      <c r="D824" s="107" t="s">
        <v>64</v>
      </c>
    </row>
    <row r="825" spans="4:4" x14ac:dyDescent="0.15">
      <c r="D825" s="107" t="s">
        <v>64</v>
      </c>
    </row>
    <row r="826" spans="4:4" x14ac:dyDescent="0.15">
      <c r="D826" s="107" t="s">
        <v>64</v>
      </c>
    </row>
    <row r="827" spans="4:4" x14ac:dyDescent="0.15">
      <c r="D827" s="107" t="s">
        <v>64</v>
      </c>
    </row>
    <row r="828" spans="4:4" x14ac:dyDescent="0.15">
      <c r="D828" s="107" t="s">
        <v>64</v>
      </c>
    </row>
    <row r="829" spans="4:4" x14ac:dyDescent="0.15">
      <c r="D829" s="107" t="s">
        <v>64</v>
      </c>
    </row>
    <row r="830" spans="4:4" x14ac:dyDescent="0.15">
      <c r="D830" s="107" t="s">
        <v>64</v>
      </c>
    </row>
    <row r="831" spans="4:4" x14ac:dyDescent="0.15">
      <c r="D831" s="107" t="s">
        <v>64</v>
      </c>
    </row>
    <row r="832" spans="4:4" x14ac:dyDescent="0.15">
      <c r="D832" s="107" t="s">
        <v>64</v>
      </c>
    </row>
    <row r="833" spans="4:4" x14ac:dyDescent="0.15">
      <c r="D833" s="107" t="s">
        <v>64</v>
      </c>
    </row>
    <row r="834" spans="4:4" x14ac:dyDescent="0.15">
      <c r="D834" s="107" t="s">
        <v>64</v>
      </c>
    </row>
    <row r="835" spans="4:4" x14ac:dyDescent="0.15">
      <c r="D835" s="107" t="s">
        <v>64</v>
      </c>
    </row>
    <row r="836" spans="4:4" x14ac:dyDescent="0.15">
      <c r="D836" s="107" t="s">
        <v>64</v>
      </c>
    </row>
    <row r="837" spans="4:4" x14ac:dyDescent="0.15">
      <c r="D837" s="107" t="s">
        <v>64</v>
      </c>
    </row>
    <row r="838" spans="4:4" x14ac:dyDescent="0.15">
      <c r="D838" s="107" t="s">
        <v>64</v>
      </c>
    </row>
    <row r="839" spans="4:4" x14ac:dyDescent="0.15">
      <c r="D839" s="107" t="s">
        <v>64</v>
      </c>
    </row>
    <row r="840" spans="4:4" x14ac:dyDescent="0.15">
      <c r="D840" s="107" t="s">
        <v>64</v>
      </c>
    </row>
    <row r="841" spans="4:4" x14ac:dyDescent="0.15">
      <c r="D841" s="107" t="s">
        <v>64</v>
      </c>
    </row>
    <row r="842" spans="4:4" x14ac:dyDescent="0.15">
      <c r="D842" s="107" t="s">
        <v>64</v>
      </c>
    </row>
    <row r="843" spans="4:4" x14ac:dyDescent="0.15">
      <c r="D843" s="107" t="s">
        <v>64</v>
      </c>
    </row>
    <row r="844" spans="4:4" x14ac:dyDescent="0.15">
      <c r="D844" s="107" t="s">
        <v>64</v>
      </c>
    </row>
    <row r="845" spans="4:4" x14ac:dyDescent="0.15">
      <c r="D845" s="107" t="s">
        <v>64</v>
      </c>
    </row>
    <row r="846" spans="4:4" x14ac:dyDescent="0.15">
      <c r="D846" s="107" t="s">
        <v>64</v>
      </c>
    </row>
    <row r="847" spans="4:4" x14ac:dyDescent="0.15">
      <c r="D847" s="107" t="s">
        <v>64</v>
      </c>
    </row>
    <row r="848" spans="4:4" x14ac:dyDescent="0.15">
      <c r="D848" s="107" t="s">
        <v>64</v>
      </c>
    </row>
    <row r="849" spans="4:4" x14ac:dyDescent="0.15">
      <c r="D849" s="107" t="s">
        <v>64</v>
      </c>
    </row>
    <row r="850" spans="4:4" x14ac:dyDescent="0.15">
      <c r="D850" s="107" t="s">
        <v>64</v>
      </c>
    </row>
    <row r="851" spans="4:4" x14ac:dyDescent="0.15">
      <c r="D851" s="107" t="s">
        <v>64</v>
      </c>
    </row>
    <row r="852" spans="4:4" x14ac:dyDescent="0.15">
      <c r="D852" s="107" t="s">
        <v>64</v>
      </c>
    </row>
    <row r="853" spans="4:4" x14ac:dyDescent="0.15">
      <c r="D853" s="107" t="s">
        <v>64</v>
      </c>
    </row>
    <row r="854" spans="4:4" x14ac:dyDescent="0.15">
      <c r="D854" s="107" t="s">
        <v>64</v>
      </c>
    </row>
    <row r="855" spans="4:4" x14ac:dyDescent="0.15">
      <c r="D855" s="107" t="s">
        <v>64</v>
      </c>
    </row>
    <row r="856" spans="4:4" x14ac:dyDescent="0.15">
      <c r="D856" s="107" t="s">
        <v>64</v>
      </c>
    </row>
    <row r="857" spans="4:4" x14ac:dyDescent="0.15">
      <c r="D857" s="107" t="s">
        <v>64</v>
      </c>
    </row>
    <row r="858" spans="4:4" x14ac:dyDescent="0.15">
      <c r="D858" s="107" t="s">
        <v>64</v>
      </c>
    </row>
    <row r="859" spans="4:4" x14ac:dyDescent="0.15">
      <c r="D859" s="107" t="s">
        <v>64</v>
      </c>
    </row>
    <row r="860" spans="4:4" x14ac:dyDescent="0.15">
      <c r="D860" s="107" t="s">
        <v>64</v>
      </c>
    </row>
    <row r="861" spans="4:4" x14ac:dyDescent="0.15">
      <c r="D861" s="107" t="s">
        <v>64</v>
      </c>
    </row>
    <row r="862" spans="4:4" x14ac:dyDescent="0.15">
      <c r="D862" s="107" t="s">
        <v>64</v>
      </c>
    </row>
    <row r="863" spans="4:4" x14ac:dyDescent="0.15">
      <c r="D863" s="107" t="s">
        <v>64</v>
      </c>
    </row>
    <row r="864" spans="4:4" x14ac:dyDescent="0.15">
      <c r="D864" s="107" t="s">
        <v>64</v>
      </c>
    </row>
    <row r="865" spans="4:4" x14ac:dyDescent="0.15">
      <c r="D865" s="107" t="s">
        <v>64</v>
      </c>
    </row>
    <row r="866" spans="4:4" x14ac:dyDescent="0.15">
      <c r="D866" s="107" t="s">
        <v>64</v>
      </c>
    </row>
    <row r="867" spans="4:4" x14ac:dyDescent="0.15">
      <c r="D867" s="107" t="s">
        <v>64</v>
      </c>
    </row>
    <row r="868" spans="4:4" x14ac:dyDescent="0.15">
      <c r="D868" s="107" t="s">
        <v>64</v>
      </c>
    </row>
    <row r="869" spans="4:4" x14ac:dyDescent="0.15">
      <c r="D869" s="107" t="s">
        <v>64</v>
      </c>
    </row>
    <row r="870" spans="4:4" x14ac:dyDescent="0.15">
      <c r="D870" s="107" t="s">
        <v>64</v>
      </c>
    </row>
    <row r="871" spans="4:4" x14ac:dyDescent="0.15">
      <c r="D871" s="107" t="s">
        <v>64</v>
      </c>
    </row>
    <row r="872" spans="4:4" x14ac:dyDescent="0.15">
      <c r="D872" s="107" t="s">
        <v>64</v>
      </c>
    </row>
    <row r="873" spans="4:4" x14ac:dyDescent="0.15">
      <c r="D873" s="107" t="s">
        <v>64</v>
      </c>
    </row>
    <row r="874" spans="4:4" x14ac:dyDescent="0.15">
      <c r="D874" s="107" t="s">
        <v>64</v>
      </c>
    </row>
    <row r="875" spans="4:4" x14ac:dyDescent="0.15">
      <c r="D875" s="107" t="s">
        <v>64</v>
      </c>
    </row>
    <row r="876" spans="4:4" x14ac:dyDescent="0.15">
      <c r="D876" s="107" t="s">
        <v>64</v>
      </c>
    </row>
    <row r="877" spans="4:4" x14ac:dyDescent="0.15">
      <c r="D877" s="107" t="s">
        <v>64</v>
      </c>
    </row>
    <row r="878" spans="4:4" x14ac:dyDescent="0.15">
      <c r="D878" s="107" t="s">
        <v>64</v>
      </c>
    </row>
    <row r="879" spans="4:4" x14ac:dyDescent="0.15">
      <c r="D879" s="107" t="s">
        <v>64</v>
      </c>
    </row>
    <row r="880" spans="4:4" x14ac:dyDescent="0.15">
      <c r="D880" s="107" t="s">
        <v>64</v>
      </c>
    </row>
    <row r="881" spans="4:4" x14ac:dyDescent="0.15">
      <c r="D881" s="107" t="s">
        <v>64</v>
      </c>
    </row>
    <row r="882" spans="4:4" x14ac:dyDescent="0.15">
      <c r="D882" s="107" t="s">
        <v>64</v>
      </c>
    </row>
    <row r="883" spans="4:4" x14ac:dyDescent="0.15">
      <c r="D883" s="107" t="s">
        <v>64</v>
      </c>
    </row>
    <row r="884" spans="4:4" x14ac:dyDescent="0.15">
      <c r="D884" s="107" t="s">
        <v>64</v>
      </c>
    </row>
    <row r="885" spans="4:4" x14ac:dyDescent="0.15">
      <c r="D885" s="107" t="s">
        <v>64</v>
      </c>
    </row>
    <row r="886" spans="4:4" x14ac:dyDescent="0.15">
      <c r="D886" s="107" t="s">
        <v>64</v>
      </c>
    </row>
    <row r="887" spans="4:4" x14ac:dyDescent="0.15">
      <c r="D887" s="107" t="s">
        <v>64</v>
      </c>
    </row>
    <row r="888" spans="4:4" x14ac:dyDescent="0.15">
      <c r="D888" s="107" t="s">
        <v>64</v>
      </c>
    </row>
    <row r="889" spans="4:4" x14ac:dyDescent="0.15">
      <c r="D889" s="107" t="s">
        <v>64</v>
      </c>
    </row>
    <row r="890" spans="4:4" x14ac:dyDescent="0.15">
      <c r="D890" s="107" t="s">
        <v>64</v>
      </c>
    </row>
    <row r="891" spans="4:4" x14ac:dyDescent="0.15">
      <c r="D891" s="107" t="s">
        <v>64</v>
      </c>
    </row>
    <row r="892" spans="4:4" x14ac:dyDescent="0.15">
      <c r="D892" s="107" t="s">
        <v>64</v>
      </c>
    </row>
    <row r="893" spans="4:4" x14ac:dyDescent="0.15">
      <c r="D893" s="107" t="s">
        <v>64</v>
      </c>
    </row>
    <row r="894" spans="4:4" x14ac:dyDescent="0.15">
      <c r="D894" s="107" t="s">
        <v>64</v>
      </c>
    </row>
    <row r="895" spans="4:4" x14ac:dyDescent="0.15">
      <c r="D895" s="107" t="s">
        <v>64</v>
      </c>
    </row>
    <row r="896" spans="4:4" x14ac:dyDescent="0.15">
      <c r="D896" s="107" t="s">
        <v>64</v>
      </c>
    </row>
    <row r="897" spans="4:4" x14ac:dyDescent="0.15">
      <c r="D897" s="107" t="s">
        <v>64</v>
      </c>
    </row>
    <row r="898" spans="4:4" x14ac:dyDescent="0.15">
      <c r="D898" s="107" t="s">
        <v>64</v>
      </c>
    </row>
    <row r="899" spans="4:4" x14ac:dyDescent="0.15">
      <c r="D899" s="107" t="s">
        <v>64</v>
      </c>
    </row>
    <row r="900" spans="4:4" x14ac:dyDescent="0.15">
      <c r="D900" s="107" t="s">
        <v>64</v>
      </c>
    </row>
    <row r="901" spans="4:4" x14ac:dyDescent="0.15">
      <c r="D901" s="107" t="s">
        <v>64</v>
      </c>
    </row>
    <row r="902" spans="4:4" x14ac:dyDescent="0.15">
      <c r="D902" s="107" t="s">
        <v>64</v>
      </c>
    </row>
    <row r="903" spans="4:4" x14ac:dyDescent="0.15">
      <c r="D903" s="107" t="s">
        <v>64</v>
      </c>
    </row>
    <row r="904" spans="4:4" x14ac:dyDescent="0.15">
      <c r="D904" s="107" t="s">
        <v>64</v>
      </c>
    </row>
    <row r="905" spans="4:4" x14ac:dyDescent="0.15">
      <c r="D905" s="107" t="s">
        <v>64</v>
      </c>
    </row>
    <row r="906" spans="4:4" x14ac:dyDescent="0.15">
      <c r="D906" s="107" t="s">
        <v>64</v>
      </c>
    </row>
    <row r="907" spans="4:4" x14ac:dyDescent="0.15">
      <c r="D907" s="107" t="s">
        <v>64</v>
      </c>
    </row>
    <row r="908" spans="4:4" x14ac:dyDescent="0.15">
      <c r="D908" s="107" t="s">
        <v>64</v>
      </c>
    </row>
    <row r="909" spans="4:4" x14ac:dyDescent="0.15">
      <c r="D909" s="107" t="s">
        <v>64</v>
      </c>
    </row>
    <row r="910" spans="4:4" x14ac:dyDescent="0.15">
      <c r="D910" s="107" t="s">
        <v>64</v>
      </c>
    </row>
    <row r="911" spans="4:4" x14ac:dyDescent="0.15">
      <c r="D911" s="107" t="s">
        <v>64</v>
      </c>
    </row>
    <row r="912" spans="4:4" x14ac:dyDescent="0.15">
      <c r="D912" s="107" t="s">
        <v>64</v>
      </c>
    </row>
    <row r="913" spans="4:4" x14ac:dyDescent="0.15">
      <c r="D913" s="107" t="s">
        <v>64</v>
      </c>
    </row>
    <row r="914" spans="4:4" x14ac:dyDescent="0.15">
      <c r="D914" s="107" t="s">
        <v>64</v>
      </c>
    </row>
    <row r="915" spans="4:4" x14ac:dyDescent="0.15">
      <c r="D915" s="107" t="s">
        <v>64</v>
      </c>
    </row>
    <row r="916" spans="4:4" x14ac:dyDescent="0.15">
      <c r="D916" s="107" t="s">
        <v>64</v>
      </c>
    </row>
    <row r="917" spans="4:4" x14ac:dyDescent="0.15">
      <c r="D917" s="107" t="s">
        <v>64</v>
      </c>
    </row>
    <row r="918" spans="4:4" x14ac:dyDescent="0.15">
      <c r="D918" s="107" t="s">
        <v>64</v>
      </c>
    </row>
    <row r="919" spans="4:4" x14ac:dyDescent="0.15">
      <c r="D919" s="107" t="s">
        <v>64</v>
      </c>
    </row>
    <row r="920" spans="4:4" x14ac:dyDescent="0.15">
      <c r="D920" s="107" t="s">
        <v>64</v>
      </c>
    </row>
    <row r="921" spans="4:4" x14ac:dyDescent="0.15">
      <c r="D921" s="107" t="s">
        <v>64</v>
      </c>
    </row>
    <row r="922" spans="4:4" x14ac:dyDescent="0.15">
      <c r="D922" s="107" t="s">
        <v>64</v>
      </c>
    </row>
    <row r="923" spans="4:4" x14ac:dyDescent="0.15">
      <c r="D923" s="107" t="s">
        <v>64</v>
      </c>
    </row>
    <row r="924" spans="4:4" x14ac:dyDescent="0.15">
      <c r="D924" s="107" t="s">
        <v>64</v>
      </c>
    </row>
    <row r="925" spans="4:4" x14ac:dyDescent="0.15">
      <c r="D925" s="107" t="s">
        <v>64</v>
      </c>
    </row>
    <row r="926" spans="4:4" x14ac:dyDescent="0.15">
      <c r="D926" s="107" t="s">
        <v>64</v>
      </c>
    </row>
    <row r="927" spans="4:4" x14ac:dyDescent="0.15">
      <c r="D927" s="107" t="s">
        <v>64</v>
      </c>
    </row>
    <row r="928" spans="4:4" x14ac:dyDescent="0.15">
      <c r="D928" s="107" t="s">
        <v>64</v>
      </c>
    </row>
    <row r="929" spans="4:4" x14ac:dyDescent="0.15">
      <c r="D929" s="107" t="s">
        <v>64</v>
      </c>
    </row>
    <row r="930" spans="4:4" x14ac:dyDescent="0.15">
      <c r="D930" s="107" t="s">
        <v>64</v>
      </c>
    </row>
    <row r="931" spans="4:4" x14ac:dyDescent="0.15">
      <c r="D931" s="107" t="s">
        <v>64</v>
      </c>
    </row>
    <row r="932" spans="4:4" x14ac:dyDescent="0.15">
      <c r="D932" s="107" t="s">
        <v>64</v>
      </c>
    </row>
    <row r="933" spans="4:4" x14ac:dyDescent="0.15">
      <c r="D933" s="107" t="s">
        <v>64</v>
      </c>
    </row>
    <row r="934" spans="4:4" x14ac:dyDescent="0.15">
      <c r="D934" s="107" t="s">
        <v>64</v>
      </c>
    </row>
    <row r="935" spans="4:4" x14ac:dyDescent="0.15">
      <c r="D935" s="107" t="s">
        <v>64</v>
      </c>
    </row>
    <row r="936" spans="4:4" x14ac:dyDescent="0.15">
      <c r="D936" s="107" t="s">
        <v>64</v>
      </c>
    </row>
    <row r="937" spans="4:4" x14ac:dyDescent="0.15">
      <c r="D937" s="107" t="s">
        <v>64</v>
      </c>
    </row>
    <row r="938" spans="4:4" x14ac:dyDescent="0.15">
      <c r="D938" s="107" t="s">
        <v>64</v>
      </c>
    </row>
    <row r="939" spans="4:4" x14ac:dyDescent="0.15">
      <c r="D939" s="107" t="s">
        <v>64</v>
      </c>
    </row>
    <row r="940" spans="4:4" x14ac:dyDescent="0.15">
      <c r="D940" s="107" t="s">
        <v>64</v>
      </c>
    </row>
    <row r="941" spans="4:4" x14ac:dyDescent="0.15">
      <c r="D941" s="107" t="s">
        <v>64</v>
      </c>
    </row>
    <row r="942" spans="4:4" x14ac:dyDescent="0.15">
      <c r="D942" s="107" t="s">
        <v>64</v>
      </c>
    </row>
    <row r="943" spans="4:4" x14ac:dyDescent="0.15">
      <c r="D943" s="107" t="s">
        <v>64</v>
      </c>
    </row>
    <row r="944" spans="4:4" x14ac:dyDescent="0.15">
      <c r="D944" s="107" t="s">
        <v>64</v>
      </c>
    </row>
    <row r="945" spans="4:4" x14ac:dyDescent="0.15">
      <c r="D945" s="107" t="s">
        <v>64</v>
      </c>
    </row>
    <row r="946" spans="4:4" x14ac:dyDescent="0.15">
      <c r="D946" s="107" t="s">
        <v>64</v>
      </c>
    </row>
    <row r="947" spans="4:4" x14ac:dyDescent="0.15">
      <c r="D947" s="107" t="s">
        <v>64</v>
      </c>
    </row>
    <row r="948" spans="4:4" x14ac:dyDescent="0.15">
      <c r="D948" s="107" t="s">
        <v>64</v>
      </c>
    </row>
    <row r="949" spans="4:4" x14ac:dyDescent="0.15">
      <c r="D949" s="107" t="s">
        <v>64</v>
      </c>
    </row>
    <row r="950" spans="4:4" x14ac:dyDescent="0.15">
      <c r="D950" s="107" t="s">
        <v>64</v>
      </c>
    </row>
    <row r="951" spans="4:4" x14ac:dyDescent="0.15">
      <c r="D951" s="107" t="s">
        <v>64</v>
      </c>
    </row>
    <row r="952" spans="4:4" x14ac:dyDescent="0.15">
      <c r="D952" s="107" t="s">
        <v>64</v>
      </c>
    </row>
    <row r="953" spans="4:4" x14ac:dyDescent="0.15">
      <c r="D953" s="107" t="s">
        <v>64</v>
      </c>
    </row>
    <row r="954" spans="4:4" x14ac:dyDescent="0.15">
      <c r="D954" s="107" t="s">
        <v>64</v>
      </c>
    </row>
    <row r="955" spans="4:4" x14ac:dyDescent="0.15">
      <c r="D955" s="107" t="s">
        <v>64</v>
      </c>
    </row>
    <row r="956" spans="4:4" x14ac:dyDescent="0.15">
      <c r="D956" s="107" t="s">
        <v>64</v>
      </c>
    </row>
    <row r="957" spans="4:4" x14ac:dyDescent="0.15">
      <c r="D957" s="107" t="s">
        <v>64</v>
      </c>
    </row>
    <row r="958" spans="4:4" x14ac:dyDescent="0.15">
      <c r="D958" s="107" t="s">
        <v>64</v>
      </c>
    </row>
    <row r="959" spans="4:4" x14ac:dyDescent="0.15">
      <c r="D959" s="107" t="s">
        <v>64</v>
      </c>
    </row>
    <row r="960" spans="4:4" x14ac:dyDescent="0.15">
      <c r="D960" s="107" t="s">
        <v>64</v>
      </c>
    </row>
    <row r="961" spans="4:4" x14ac:dyDescent="0.15">
      <c r="D961" s="107" t="s">
        <v>64</v>
      </c>
    </row>
    <row r="962" spans="4:4" x14ac:dyDescent="0.15">
      <c r="D962" s="107" t="s">
        <v>64</v>
      </c>
    </row>
    <row r="963" spans="4:4" x14ac:dyDescent="0.15">
      <c r="D963" s="107" t="s">
        <v>64</v>
      </c>
    </row>
    <row r="964" spans="4:4" x14ac:dyDescent="0.15">
      <c r="D964" s="107" t="s">
        <v>64</v>
      </c>
    </row>
    <row r="965" spans="4:4" x14ac:dyDescent="0.15">
      <c r="D965" s="107" t="s">
        <v>64</v>
      </c>
    </row>
    <row r="966" spans="4:4" x14ac:dyDescent="0.15">
      <c r="D966" s="107" t="s">
        <v>64</v>
      </c>
    </row>
    <row r="967" spans="4:4" x14ac:dyDescent="0.15">
      <c r="D967" s="107" t="s">
        <v>64</v>
      </c>
    </row>
    <row r="968" spans="4:4" x14ac:dyDescent="0.15">
      <c r="D968" s="107" t="s">
        <v>64</v>
      </c>
    </row>
    <row r="969" spans="4:4" x14ac:dyDescent="0.15">
      <c r="D969" s="107" t="s">
        <v>64</v>
      </c>
    </row>
    <row r="970" spans="4:4" x14ac:dyDescent="0.15">
      <c r="D970" s="107" t="s">
        <v>64</v>
      </c>
    </row>
    <row r="971" spans="4:4" x14ac:dyDescent="0.15">
      <c r="D971" s="107" t="s">
        <v>64</v>
      </c>
    </row>
    <row r="972" spans="4:4" x14ac:dyDescent="0.15">
      <c r="D972" s="107" t="s">
        <v>64</v>
      </c>
    </row>
    <row r="973" spans="4:4" x14ac:dyDescent="0.15">
      <c r="D973" s="107" t="s">
        <v>64</v>
      </c>
    </row>
    <row r="974" spans="4:4" x14ac:dyDescent="0.15">
      <c r="D974" s="107" t="s">
        <v>64</v>
      </c>
    </row>
    <row r="975" spans="4:4" x14ac:dyDescent="0.15">
      <c r="D975" s="107" t="s">
        <v>64</v>
      </c>
    </row>
    <row r="976" spans="4:4" x14ac:dyDescent="0.15">
      <c r="D976" s="107" t="s">
        <v>64</v>
      </c>
    </row>
    <row r="977" spans="4:4" x14ac:dyDescent="0.15">
      <c r="D977" s="107" t="s">
        <v>64</v>
      </c>
    </row>
    <row r="978" spans="4:4" x14ac:dyDescent="0.15">
      <c r="D978" s="107" t="s">
        <v>64</v>
      </c>
    </row>
    <row r="979" spans="4:4" x14ac:dyDescent="0.15">
      <c r="D979" s="107" t="s">
        <v>64</v>
      </c>
    </row>
    <row r="980" spans="4:4" x14ac:dyDescent="0.15">
      <c r="D980" s="107" t="s">
        <v>64</v>
      </c>
    </row>
    <row r="981" spans="4:4" x14ac:dyDescent="0.15">
      <c r="D981" s="107" t="s">
        <v>64</v>
      </c>
    </row>
    <row r="982" spans="4:4" x14ac:dyDescent="0.15">
      <c r="D982" s="107" t="s">
        <v>64</v>
      </c>
    </row>
    <row r="983" spans="4:4" x14ac:dyDescent="0.15">
      <c r="D983" s="107" t="s">
        <v>64</v>
      </c>
    </row>
    <row r="984" spans="4:4" x14ac:dyDescent="0.15">
      <c r="D984" s="107" t="s">
        <v>64</v>
      </c>
    </row>
    <row r="985" spans="4:4" x14ac:dyDescent="0.15">
      <c r="D985" s="107" t="s">
        <v>64</v>
      </c>
    </row>
    <row r="986" spans="4:4" x14ac:dyDescent="0.15">
      <c r="D986" s="107" t="s">
        <v>64</v>
      </c>
    </row>
    <row r="987" spans="4:4" x14ac:dyDescent="0.15">
      <c r="D987" s="107" t="s">
        <v>64</v>
      </c>
    </row>
    <row r="988" spans="4:4" x14ac:dyDescent="0.15">
      <c r="D988" s="107" t="s">
        <v>64</v>
      </c>
    </row>
    <row r="989" spans="4:4" x14ac:dyDescent="0.15">
      <c r="D989" s="107" t="s">
        <v>64</v>
      </c>
    </row>
    <row r="990" spans="4:4" x14ac:dyDescent="0.15">
      <c r="D990" s="107" t="s">
        <v>64</v>
      </c>
    </row>
    <row r="991" spans="4:4" x14ac:dyDescent="0.15">
      <c r="D991" s="107" t="s">
        <v>64</v>
      </c>
    </row>
    <row r="992" spans="4:4" x14ac:dyDescent="0.15">
      <c r="D992" s="107" t="s">
        <v>64</v>
      </c>
    </row>
    <row r="993" spans="4:4" x14ac:dyDescent="0.15">
      <c r="D993" s="107" t="s">
        <v>64</v>
      </c>
    </row>
    <row r="994" spans="4:4" x14ac:dyDescent="0.15">
      <c r="D994" s="107" t="s">
        <v>64</v>
      </c>
    </row>
    <row r="995" spans="4:4" x14ac:dyDescent="0.15">
      <c r="D995" s="107" t="s">
        <v>64</v>
      </c>
    </row>
    <row r="996" spans="4:4" x14ac:dyDescent="0.15">
      <c r="D996" s="107" t="s">
        <v>64</v>
      </c>
    </row>
    <row r="997" spans="4:4" x14ac:dyDescent="0.15">
      <c r="D997" s="107" t="s">
        <v>64</v>
      </c>
    </row>
    <row r="998" spans="4:4" x14ac:dyDescent="0.15">
      <c r="D998" s="107" t="s">
        <v>64</v>
      </c>
    </row>
    <row r="999" spans="4:4" x14ac:dyDescent="0.15">
      <c r="D999" s="107" t="s">
        <v>64</v>
      </c>
    </row>
    <row r="1000" spans="4:4" x14ac:dyDescent="0.15">
      <c r="D1000" s="107" t="s">
        <v>64</v>
      </c>
    </row>
    <row r="1001" spans="4:4" x14ac:dyDescent="0.15">
      <c r="D1001" s="107" t="s">
        <v>64</v>
      </c>
    </row>
    <row r="1002" spans="4:4" x14ac:dyDescent="0.15">
      <c r="D1002" s="107" t="s">
        <v>64</v>
      </c>
    </row>
    <row r="1003" spans="4:4" x14ac:dyDescent="0.15">
      <c r="D1003" s="107" t="s">
        <v>64</v>
      </c>
    </row>
    <row r="1004" spans="4:4" x14ac:dyDescent="0.15">
      <c r="D1004" s="107" t="s">
        <v>64</v>
      </c>
    </row>
    <row r="1005" spans="4:4" x14ac:dyDescent="0.15">
      <c r="D1005" s="107" t="s">
        <v>64</v>
      </c>
    </row>
    <row r="1006" spans="4:4" x14ac:dyDescent="0.15">
      <c r="D1006" s="111"/>
    </row>
    <row r="1007" spans="4:4" x14ac:dyDescent="0.15">
      <c r="D1007" s="112"/>
    </row>
  </sheetData>
  <conditionalFormatting sqref="I1:I6 I9:I1048576">
    <cfRule type="containsText" dxfId="13" priority="8" operator="containsText" text="採購">
      <formula>NOT(ISERROR(SEARCH("採購",I1)))</formula>
    </cfRule>
  </conditionalFormatting>
  <conditionalFormatting sqref="I4:I9">
    <cfRule type="cellIs" dxfId="12" priority="14" operator="lessThan">
      <formula>10</formula>
    </cfRule>
  </conditionalFormatting>
  <conditionalFormatting sqref="I7:I8">
    <cfRule type="containsText" dxfId="11" priority="22" operator="containsText" text="採購">
      <formula>NOT(ISERROR(SEARCH("採購",I7)))</formula>
    </cfRule>
  </conditionalFormatting>
  <conditionalFormatting sqref="I11 I13 I15 I17 I19 I21 I23 I25 I27 I29 I31 I33 I35 I37 I39 I41 I43 I45 I47 I49 I51 I53 I55 I57 I59 I61 I63 I65 I67 I69 I71 I73 I75 I77 I79 I81 I83 I85 I87 I89 I91 I93 I95 I97 I99 I101">
    <cfRule type="cellIs" dxfId="10" priority="23" operator="lessThan">
      <formula>10</formula>
    </cfRule>
  </conditionalFormatting>
  <conditionalFormatting sqref="I103:I138">
    <cfRule type="cellIs" dxfId="9" priority="19" operator="lessThan">
      <formula>10</formula>
    </cfRule>
  </conditionalFormatting>
  <conditionalFormatting sqref="J1:J1048576">
    <cfRule type="cellIs" dxfId="8" priority="12" operator="lessThan">
      <formula>1</formula>
    </cfRule>
  </conditionalFormatting>
  <conditionalFormatting sqref="K4:K33">
    <cfRule type="cellIs" dxfId="7" priority="16" operator="lessThan">
      <formula>1</formula>
    </cfRule>
  </conditionalFormatting>
  <conditionalFormatting sqref="L4:L33">
    <cfRule type="containsText" dxfId="6" priority="2" operator="containsText" text="多粉">
      <formula>NOT(ISERROR(SEARCH("多粉",L4)))</formula>
    </cfRule>
    <cfRule type="containsText" dxfId="5" priority="3" operator="containsText" text="少粉">
      <formula>NOT(ISERROR(SEARCH("少粉",L4)))</formula>
    </cfRule>
    <cfRule type="containsText" dxfId="4" priority="4" operator="containsText" text="正確">
      <formula>NOT(ISERROR(SEARCH("正確",L4)))</formula>
    </cfRule>
  </conditionalFormatting>
  <conditionalFormatting sqref="M27:M32">
    <cfRule type="cellIs" dxfId="2" priority="21" operator="lessThan">
      <formula>1</formula>
    </cfRule>
  </conditionalFormatting>
  <conditionalFormatting sqref="M56:M61">
    <cfRule type="cellIs" dxfId="1" priority="17"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1" operator="containsText" id="{00000000-000E-0000-0100-000001000000}">
            <x14:dxf>
              <font>
                <color rgb="FFD0021B"/>
              </font>
              <fill>
                <patternFill patternType="solid">
                  <fgColor indexed="0"/>
                  <bgColor rgb="FFF8CCCE"/>
                </patternFill>
              </fill>
            </x14:dxf>
          </x14:cfRule>
          <xm:sqref>M4</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zoomScale="94" workbookViewId="0">
      <selection activeCell="E2" sqref="E2"/>
    </sheetView>
  </sheetViews>
  <sheetFormatPr defaultColWidth="10.05078125" defaultRowHeight="13.5" x14ac:dyDescent="0.15"/>
  <cols>
    <col min="1" max="1" width="1.8359375" style="113" customWidth="1"/>
    <col min="2" max="2" width="3.5546875" style="114" bestFit="1" customWidth="1"/>
    <col min="3" max="3" width="14.09765625" style="113" customWidth="1"/>
    <col min="4" max="4" width="9.9296875" style="113" customWidth="1"/>
    <col min="5" max="8" width="10.05078125" style="113" bestFit="1" customWidth="1"/>
    <col min="9" max="9" width="15.19921875" style="113" bestFit="1" customWidth="1"/>
    <col min="10" max="10" width="10.05078125" style="113" bestFit="1" customWidth="1"/>
    <col min="11" max="16384" width="10.05078125" style="113"/>
  </cols>
  <sheetData>
    <row r="1" spans="1:17" ht="10.35" customHeight="1" x14ac:dyDescent="0.15">
      <c r="B1" s="115"/>
      <c r="C1" s="116"/>
      <c r="D1" s="116"/>
      <c r="E1" s="116"/>
      <c r="F1" s="116"/>
      <c r="G1" s="116"/>
      <c r="H1" s="116"/>
    </row>
    <row r="2" spans="1:17" ht="18" x14ac:dyDescent="0.15">
      <c r="B2" s="117"/>
      <c r="C2" s="118"/>
      <c r="D2" s="80" t="s">
        <v>55</v>
      </c>
      <c r="E2" s="80" t="s">
        <v>3</v>
      </c>
      <c r="F2" s="81" t="s">
        <v>4</v>
      </c>
      <c r="G2" s="80" t="s">
        <v>5</v>
      </c>
      <c r="H2" s="118"/>
    </row>
    <row r="3" spans="1:17" x14ac:dyDescent="0.15">
      <c r="B3" s="88" t="s">
        <v>56</v>
      </c>
      <c r="C3" s="88" t="s">
        <v>8</v>
      </c>
      <c r="D3" s="88" t="s">
        <v>57</v>
      </c>
      <c r="E3" s="88" t="s">
        <v>9</v>
      </c>
      <c r="F3" s="88" t="s">
        <v>58</v>
      </c>
      <c r="G3" s="119" t="s">
        <v>67</v>
      </c>
      <c r="H3" s="119" t="s">
        <v>68</v>
      </c>
      <c r="I3" s="120" t="s">
        <v>69</v>
      </c>
      <c r="K3" s="88" t="s">
        <v>56</v>
      </c>
      <c r="L3" s="88" t="s">
        <v>8</v>
      </c>
      <c r="M3" s="88" t="s">
        <v>57</v>
      </c>
      <c r="N3" s="88" t="s">
        <v>9</v>
      </c>
      <c r="O3" s="88" t="s">
        <v>58</v>
      </c>
      <c r="P3" s="119" t="s">
        <v>67</v>
      </c>
      <c r="Q3" s="119" t="s">
        <v>68</v>
      </c>
    </row>
    <row r="4" spans="1:17" x14ac:dyDescent="0.15">
      <c r="B4" s="119">
        <v>1</v>
      </c>
      <c r="C4" s="94" t="str">
        <f>IF(烤漆色號編碼!A2="","-",烤漆色號編碼!A2)</f>
        <v>DP-11485</v>
      </c>
      <c r="D4" s="94" t="str">
        <f>IF(烤漆色號編碼!C2="","-",烤漆色號編碼!C2)</f>
        <v>白亮光</v>
      </c>
      <c r="E4" s="94" t="str">
        <f>IF(烤漆色號編碼!B2="","-",烤漆色號編碼!B2)</f>
        <v>WE</v>
      </c>
      <c r="F4" s="94">
        <v>39</v>
      </c>
      <c r="G4" s="94">
        <v>19</v>
      </c>
      <c r="H4" s="94">
        <f>(G4*25)+F4</f>
        <v>514</v>
      </c>
      <c r="I4" s="121">
        <v>45166</v>
      </c>
      <c r="K4" s="119">
        <v>1</v>
      </c>
      <c r="L4" s="94" t="str">
        <f>IF(烤漆色號編碼!J2="","-",烤漆色號編碼!J2)</f>
        <v>-</v>
      </c>
      <c r="M4" s="94" t="str">
        <f>IF(烤漆色號編碼!L2="","-",烤漆色號編碼!L2)</f>
        <v>-</v>
      </c>
      <c r="N4" s="94" t="str">
        <f>IF(烤漆色號編碼!K2="","-",烤漆色號編碼!K2)</f>
        <v>-</v>
      </c>
      <c r="O4" s="94">
        <v>39</v>
      </c>
      <c r="P4" s="94">
        <v>19</v>
      </c>
      <c r="Q4" s="94">
        <f>(P4*25)+O4</f>
        <v>514</v>
      </c>
    </row>
    <row r="5" spans="1:17" x14ac:dyDescent="0.15">
      <c r="B5" s="119">
        <v>2</v>
      </c>
      <c r="C5" s="100" t="str">
        <f>IF(烤漆色號編碼!A3="","-",烤漆色號編碼!A3)</f>
        <v>DP-1856</v>
      </c>
      <c r="D5" s="100" t="str">
        <f>IF(烤漆色號編碼!C3="","-",烤漆色號編碼!C3)</f>
        <v>灰白</v>
      </c>
      <c r="E5" s="100" t="str">
        <f>IF(烤漆色號編碼!B3="","-",烤漆色號編碼!B3)</f>
        <v>WE1</v>
      </c>
      <c r="F5" s="100">
        <v>13</v>
      </c>
      <c r="G5" s="100">
        <v>1</v>
      </c>
      <c r="H5" s="100">
        <f>(G5*25)+F5</f>
        <v>38</v>
      </c>
      <c r="I5" s="113">
        <v>37</v>
      </c>
      <c r="K5" s="119">
        <v>2</v>
      </c>
      <c r="L5" s="100" t="str">
        <f>IF(烤漆色號編碼!J3="","-",烤漆色號編碼!J3)</f>
        <v>-</v>
      </c>
      <c r="M5" s="100" t="str">
        <f>IF(烤漆色號編碼!L3="","-",烤漆色號編碼!L3)</f>
        <v>-</v>
      </c>
      <c r="N5" s="100" t="str">
        <f>IF(烤漆色號編碼!K3="","-",烤漆色號編碼!K3)</f>
        <v>-</v>
      </c>
      <c r="O5" s="100">
        <v>13</v>
      </c>
      <c r="P5" s="100">
        <v>1</v>
      </c>
      <c r="Q5" s="100">
        <f>(P5*25)+O5</f>
        <v>38</v>
      </c>
    </row>
    <row r="6" spans="1:17" x14ac:dyDescent="0.15">
      <c r="B6" s="119">
        <v>3</v>
      </c>
      <c r="C6" s="94" t="str">
        <f>IF(烤漆色號編碼!A4="","-",烤漆色號編碼!A4)</f>
        <v>O-5905</v>
      </c>
      <c r="D6" s="94" t="str">
        <f>IF(烤漆色號編碼!C4="","-",烤漆色號編碼!C4)</f>
        <v>黃亮光</v>
      </c>
      <c r="E6" s="94" t="str">
        <f>IF(烤漆色號編碼!B4="","-",烤漆色號編碼!B4)</f>
        <v>YW</v>
      </c>
      <c r="F6" s="94">
        <v>14</v>
      </c>
      <c r="G6" s="94">
        <v>1</v>
      </c>
      <c r="H6" s="94">
        <f>(G6*25)+F6</f>
        <v>39</v>
      </c>
      <c r="K6" s="119">
        <v>3</v>
      </c>
      <c r="L6" s="94" t="str">
        <f>IF(烤漆色號編碼!J4="","-",烤漆色號編碼!J4)</f>
        <v>-</v>
      </c>
      <c r="M6" s="94" t="str">
        <f>IF(烤漆色號編碼!L4="","-",烤漆色號編碼!L4)</f>
        <v>-</v>
      </c>
      <c r="N6" s="94" t="str">
        <f>IF(烤漆色號編碼!K4="","-",烤漆色號編碼!K4)</f>
        <v>-</v>
      </c>
      <c r="O6" s="94">
        <v>14</v>
      </c>
      <c r="P6" s="94">
        <v>1</v>
      </c>
      <c r="Q6" s="94">
        <f>(P6*25)+O6</f>
        <v>39</v>
      </c>
    </row>
    <row r="7" spans="1:17" customFormat="1" x14ac:dyDescent="0.15">
      <c r="A7" s="113"/>
      <c r="B7" s="119"/>
      <c r="C7" s="100" t="str">
        <f>IF(烤漆色號編碼!A5="","-",烤漆色號編碼!A5)</f>
        <v>New O-5905</v>
      </c>
      <c r="D7" s="100" t="str">
        <f>IF(烤漆色號編碼!C5="","-",烤漆色號編碼!C5)</f>
        <v>黃亮光</v>
      </c>
      <c r="E7" s="100" t="str">
        <f>IF(烤漆色號編碼!B5="","-",烤漆色號編碼!B5)</f>
        <v>YW</v>
      </c>
      <c r="F7" s="100">
        <v>16</v>
      </c>
      <c r="G7" s="100">
        <v>2</v>
      </c>
      <c r="H7" s="100">
        <f>(G7*25)+F7</f>
        <v>66</v>
      </c>
      <c r="I7" s="113"/>
      <c r="J7" s="113"/>
      <c r="K7" s="119"/>
      <c r="L7" s="100" t="str">
        <f>IF(烤漆色號編碼!J5="","-",烤漆色號編碼!J5)</f>
        <v>-</v>
      </c>
      <c r="M7" s="100" t="str">
        <f>IF(烤漆色號編碼!L5="","-",烤漆色號編碼!L5)</f>
        <v>-</v>
      </c>
      <c r="N7" s="100" t="str">
        <f>IF(烤漆色號編碼!K5="","-",烤漆色號編碼!K5)</f>
        <v>-</v>
      </c>
      <c r="O7" s="100">
        <v>16</v>
      </c>
      <c r="P7" s="100">
        <v>2</v>
      </c>
      <c r="Q7" s="100">
        <f>(P7*25)+O7</f>
        <v>66</v>
      </c>
    </row>
    <row r="8" spans="1:17" x14ac:dyDescent="0.15">
      <c r="B8" s="119">
        <v>4</v>
      </c>
      <c r="C8" s="94" t="str">
        <f>IF(烤漆色號編碼!A6="","-",烤漆色號編碼!A6)</f>
        <v>790-41540H</v>
      </c>
      <c r="D8" s="94" t="str">
        <f>IF(烤漆色號編碼!C6="","-",烤漆色號編碼!C6)</f>
        <v>黃錘紋</v>
      </c>
      <c r="E8" s="94" t="str">
        <f>IF(烤漆色號編碼!B6="","-",烤漆色號編碼!B6)</f>
        <v>YWH</v>
      </c>
      <c r="F8" s="94">
        <v>58</v>
      </c>
      <c r="G8" s="94">
        <v>1</v>
      </c>
      <c r="H8" s="94">
        <f>(G8*25)+F8</f>
        <v>83</v>
      </c>
      <c r="K8" s="119">
        <v>4</v>
      </c>
      <c r="L8" s="94" t="str">
        <f>IF(烤漆色號編碼!J6="","-",烤漆色號編碼!J6)</f>
        <v>-</v>
      </c>
      <c r="M8" s="94" t="str">
        <f>IF(烤漆色號編碼!L6="","-",烤漆色號編碼!L6)</f>
        <v>-</v>
      </c>
      <c r="N8" s="94" t="str">
        <f>IF(烤漆色號編碼!K6="","-",烤漆色號編碼!K6)</f>
        <v>-</v>
      </c>
      <c r="O8" s="94">
        <v>58</v>
      </c>
      <c r="P8" s="94">
        <v>1</v>
      </c>
      <c r="Q8" s="94">
        <f>(P8*25)+O8</f>
        <v>83</v>
      </c>
    </row>
    <row r="9" spans="1:17" x14ac:dyDescent="0.15">
      <c r="B9" s="119">
        <v>5</v>
      </c>
      <c r="C9" s="100" t="str">
        <f>IF(烤漆色號編碼!A7="","-",烤漆色號編碼!A7)</f>
        <v>780-310AT</v>
      </c>
      <c r="D9" s="100" t="str">
        <f>IF(烤漆色號編碼!C7="","-",烤漆色號編碼!C7)</f>
        <v>紅色</v>
      </c>
      <c r="E9" s="100" t="str">
        <f>IF(烤漆色號編碼!B7="","-",烤漆色號編碼!B7)</f>
        <v>RD</v>
      </c>
      <c r="F9" s="100"/>
      <c r="G9" s="100">
        <v>2</v>
      </c>
      <c r="H9" s="100">
        <f>(G9*25)+F9</f>
        <v>50</v>
      </c>
      <c r="K9" s="119">
        <v>5</v>
      </c>
      <c r="L9" s="100" t="str">
        <f>IF(烤漆色號編碼!J7="","-",烤漆色號編碼!J7)</f>
        <v>-</v>
      </c>
      <c r="M9" s="100" t="str">
        <f>IF(烤漆色號編碼!L7="","-",烤漆色號編碼!L7)</f>
        <v>-</v>
      </c>
      <c r="N9" s="100" t="str">
        <f>IF(烤漆色號編碼!K7="","-",烤漆色號編碼!K7)</f>
        <v>-</v>
      </c>
      <c r="O9" s="100"/>
      <c r="P9" s="100">
        <v>2</v>
      </c>
      <c r="Q9" s="100">
        <f>(P9*25)+O9</f>
        <v>50</v>
      </c>
    </row>
    <row r="10" spans="1:17" x14ac:dyDescent="0.15">
      <c r="B10" s="119">
        <v>6</v>
      </c>
      <c r="C10" s="94" t="str">
        <f>IF(烤漆色號編碼!A8="","-",烤漆色號編碼!A8)</f>
        <v>LT-90442</v>
      </c>
      <c r="D10" s="94" t="str">
        <f>IF(烤漆色號編碼!C8="","-",烤漆色號編碼!C8)</f>
        <v>藍色</v>
      </c>
      <c r="E10" s="94" t="str">
        <f>IF(烤漆色號編碼!B8="","-",烤漆色號編碼!B8)</f>
        <v>BE</v>
      </c>
      <c r="F10" s="94">
        <v>35</v>
      </c>
      <c r="G10" s="94"/>
      <c r="H10" s="94">
        <f>(G10*25)+F10</f>
        <v>35</v>
      </c>
      <c r="K10" s="119">
        <v>6</v>
      </c>
      <c r="L10" s="94" t="str">
        <f>IF(烤漆色號編碼!J8="","-",烤漆色號編碼!J8)</f>
        <v>-</v>
      </c>
      <c r="M10" s="94" t="str">
        <f>IF(烤漆色號編碼!L8="","-",烤漆色號編碼!L8)</f>
        <v>-</v>
      </c>
      <c r="N10" s="94" t="str">
        <f>IF(烤漆色號編碼!K8="","-",烤漆色號編碼!K8)</f>
        <v>-</v>
      </c>
      <c r="O10" s="94">
        <v>35</v>
      </c>
      <c r="P10" s="94"/>
      <c r="Q10" s="94">
        <f>(P10*25)+O10</f>
        <v>35</v>
      </c>
    </row>
    <row r="11" spans="1:17" x14ac:dyDescent="0.15">
      <c r="B11" s="119">
        <v>7</v>
      </c>
      <c r="C11" s="100" t="str">
        <f>IF(烤漆色號編碼!A9="","-",烤漆色號編碼!A9)</f>
        <v>770-739</v>
      </c>
      <c r="D11" s="100" t="str">
        <f>IF(烤漆色號編碼!C9="","-",烤漆色號編碼!C9)</f>
        <v>豔藍-孔雀藍</v>
      </c>
      <c r="E11" s="100" t="str">
        <f>IF(烤漆色號編碼!B9="","-",烤漆色號編碼!B9)</f>
        <v>BEG</v>
      </c>
      <c r="F11" s="100">
        <v>6</v>
      </c>
      <c r="G11" s="100">
        <v>1</v>
      </c>
      <c r="H11" s="100">
        <f>(G11*25)+F11</f>
        <v>31</v>
      </c>
      <c r="K11" s="119">
        <v>7</v>
      </c>
      <c r="L11" s="100" t="str">
        <f>IF(烤漆色號編碼!J9="","-",烤漆色號編碼!J9)</f>
        <v>-</v>
      </c>
      <c r="M11" s="100" t="str">
        <f>IF(烤漆色號編碼!L9="","-",烤漆色號編碼!L9)</f>
        <v>-</v>
      </c>
      <c r="N11" s="100" t="str">
        <f>IF(烤漆色號編碼!K9="","-",烤漆色號編碼!K9)</f>
        <v>-</v>
      </c>
      <c r="O11" s="100">
        <v>6</v>
      </c>
      <c r="P11" s="100">
        <v>1</v>
      </c>
      <c r="Q11" s="100">
        <f>(P11*25)+O11</f>
        <v>31</v>
      </c>
    </row>
    <row r="12" spans="1:17" x14ac:dyDescent="0.15">
      <c r="B12" s="119">
        <v>8</v>
      </c>
      <c r="C12" s="94" t="str">
        <f>IF(烤漆色號編碼!A10="","-",烤漆色號編碼!A10)</f>
        <v>4950-502</v>
      </c>
      <c r="D12" s="94" t="str">
        <f>IF(烤漆色號編碼!C10="","-",烤漆色號編碼!C10)</f>
        <v>黑平光</v>
      </c>
      <c r="E12" s="94" t="str">
        <f>IF(烤漆色號編碼!B10="","-",烤漆色號編碼!B10)</f>
        <v>BK</v>
      </c>
      <c r="F12" s="94">
        <v>15</v>
      </c>
      <c r="G12" s="94"/>
      <c r="H12" s="94">
        <f>(G12*25)+F12</f>
        <v>15</v>
      </c>
      <c r="K12" s="119">
        <v>8</v>
      </c>
      <c r="L12" s="94" t="str">
        <f>IF(烤漆色號編碼!J10="","-",烤漆色號編碼!J10)</f>
        <v>-</v>
      </c>
      <c r="M12" s="94" t="str">
        <f>IF(烤漆色號編碼!L10="","-",烤漆色號編碼!L10)</f>
        <v>-</v>
      </c>
      <c r="N12" s="94" t="str">
        <f>IF(烤漆色號編碼!K10="","-",烤漆色號編碼!K10)</f>
        <v>-</v>
      </c>
      <c r="O12" s="94">
        <v>15</v>
      </c>
      <c r="P12" s="94"/>
      <c r="Q12" s="94">
        <f>(P12*25)+O12</f>
        <v>15</v>
      </c>
    </row>
    <row r="13" spans="1:17" x14ac:dyDescent="0.15">
      <c r="B13" s="119">
        <v>9</v>
      </c>
      <c r="C13" s="100" t="str">
        <f>IF(烤漆色號編碼!A11="","-",烤漆色號編碼!A11)</f>
        <v>EN-402T</v>
      </c>
      <c r="D13" s="100" t="str">
        <f>IF(烤漆色號編碼!C11="","-",烤漆色號編碼!C11)</f>
        <v>黑錘紋</v>
      </c>
      <c r="E13" s="100" t="str">
        <f>IF(烤漆色號編碼!B11="","-",烤漆色號編碼!B11)</f>
        <v>BKH</v>
      </c>
      <c r="F13" s="100">
        <v>24</v>
      </c>
      <c r="G13" s="100">
        <v>1</v>
      </c>
      <c r="H13" s="100">
        <f>(G13*25)+F13</f>
        <v>49</v>
      </c>
      <c r="K13" s="119">
        <v>9</v>
      </c>
      <c r="L13" s="100" t="str">
        <f>IF(烤漆色號編碼!J11="","-",烤漆色號編碼!J11)</f>
        <v>-</v>
      </c>
      <c r="M13" s="100" t="str">
        <f>IF(烤漆色號編碼!L11="","-",烤漆色號編碼!L11)</f>
        <v>-</v>
      </c>
      <c r="N13" s="100" t="str">
        <f>IF(烤漆色號編碼!K11="","-",烤漆色號編碼!K11)</f>
        <v>-</v>
      </c>
      <c r="O13" s="100">
        <v>24</v>
      </c>
      <c r="P13" s="100">
        <v>1</v>
      </c>
      <c r="Q13" s="100">
        <f>(P13*25)+O13</f>
        <v>49</v>
      </c>
    </row>
    <row r="14" spans="1:17" x14ac:dyDescent="0.15">
      <c r="B14" s="119">
        <v>10</v>
      </c>
      <c r="C14" s="94" t="str">
        <f>IF(烤漆色號編碼!A12="","-",烤漆色號編碼!A12)</f>
        <v>K-91097G</v>
      </c>
      <c r="D14" s="94" t="str">
        <f>IF(烤漆色號編碼!C12="","-",烤漆色號編碼!C12)</f>
        <v>新黑砂</v>
      </c>
      <c r="E14" s="94" t="str">
        <f>IF(烤漆色號編碼!B12="","-",烤漆色號編碼!B12)</f>
        <v>BKS1</v>
      </c>
      <c r="F14" s="94">
        <v>27</v>
      </c>
      <c r="G14" s="94">
        <v>18</v>
      </c>
      <c r="H14" s="94">
        <f>(G14*25)+F14</f>
        <v>477</v>
      </c>
      <c r="I14" s="113">
        <v>400</v>
      </c>
      <c r="K14" s="119">
        <v>10</v>
      </c>
      <c r="L14" s="94" t="str">
        <f>IF(烤漆色號編碼!J12="","-",烤漆色號編碼!J12)</f>
        <v>-</v>
      </c>
      <c r="M14" s="94" t="str">
        <f>IF(烤漆色號編碼!L12="","-",烤漆色號編碼!L12)</f>
        <v>-</v>
      </c>
      <c r="N14" s="94" t="str">
        <f>IF(烤漆色號編碼!K12="","-",烤漆色號編碼!K12)</f>
        <v>-</v>
      </c>
      <c r="O14" s="94">
        <v>27</v>
      </c>
      <c r="P14" s="94">
        <v>18</v>
      </c>
      <c r="Q14" s="94">
        <f>(P14*25)+O14</f>
        <v>477</v>
      </c>
    </row>
    <row r="15" spans="1:17" x14ac:dyDescent="0.15">
      <c r="B15" s="119">
        <v>11</v>
      </c>
      <c r="C15" s="100" t="str">
        <f>IF(烤漆色號編碼!A13="","-",烤漆色號編碼!A13)</f>
        <v>780-45510H</v>
      </c>
      <c r="D15" s="100" t="str">
        <f>IF(烤漆色號編碼!C13="","-",烤漆色號編碼!C13)</f>
        <v>黑砂</v>
      </c>
      <c r="E15" s="100" t="str">
        <f>IF(烤漆色號編碼!B13="","-",烤漆色號編碼!B13)</f>
        <v>BKS</v>
      </c>
      <c r="F15" s="100"/>
      <c r="G15" s="100"/>
      <c r="H15" s="100">
        <f>(G15*25)+F15</f>
        <v>0</v>
      </c>
      <c r="K15" s="119">
        <v>11</v>
      </c>
      <c r="L15" s="100" t="str">
        <f>IF(烤漆色號編碼!J13="","-",烤漆色號編碼!J13)</f>
        <v>-</v>
      </c>
      <c r="M15" s="100" t="str">
        <f>IF(烤漆色號編碼!L13="","-",烤漆色號編碼!L13)</f>
        <v>-</v>
      </c>
      <c r="N15" s="100" t="str">
        <f>IF(烤漆色號編碼!K13="","-",烤漆色號編碼!K13)</f>
        <v>-</v>
      </c>
      <c r="O15" s="100"/>
      <c r="P15" s="100"/>
      <c r="Q15" s="100">
        <f>(P15*25)+O15</f>
        <v>0</v>
      </c>
    </row>
    <row r="16" spans="1:17" x14ac:dyDescent="0.15">
      <c r="B16" s="119">
        <v>12</v>
      </c>
      <c r="C16" s="94" t="str">
        <f>IF(烤漆色號編碼!A14="","-",烤漆色號編碼!A14)</f>
        <v>4605-505</v>
      </c>
      <c r="D16" s="94" t="str">
        <f>IF(烤漆色號編碼!C14="","-",烤漆色號編碼!C14)</f>
        <v>消光黑</v>
      </c>
      <c r="E16" s="94" t="str">
        <f>IF(烤漆色號編碼!B14="","-",烤漆色號編碼!B14)</f>
        <v>EBK</v>
      </c>
      <c r="F16" s="94">
        <v>22</v>
      </c>
      <c r="G16" s="94"/>
      <c r="H16" s="94">
        <f>(G16*25)+F16</f>
        <v>22</v>
      </c>
      <c r="K16" s="119">
        <v>12</v>
      </c>
      <c r="L16" s="94" t="str">
        <f>IF(烤漆色號編碼!J14="","-",烤漆色號編碼!J14)</f>
        <v>-</v>
      </c>
      <c r="M16" s="94" t="str">
        <f>IF(烤漆色號編碼!L14="","-",烤漆色號編碼!L14)</f>
        <v>-</v>
      </c>
      <c r="N16" s="94" t="str">
        <f>IF(烤漆色號編碼!K14="","-",烤漆色號編碼!K14)</f>
        <v>-</v>
      </c>
      <c r="O16" s="94">
        <v>22</v>
      </c>
      <c r="P16" s="94"/>
      <c r="Q16" s="94">
        <f>(P16*25)+O16</f>
        <v>22</v>
      </c>
    </row>
    <row r="17" spans="2:17" x14ac:dyDescent="0.15">
      <c r="B17" s="119">
        <v>13</v>
      </c>
      <c r="C17" s="100" t="str">
        <f>IF(烤漆色號編碼!A15="","-",烤漆色號編碼!A15)</f>
        <v>O-9850GSNB</v>
      </c>
      <c r="D17" s="100" t="str">
        <f>IF(烤漆色號編碼!C15="","-",烤漆色號編碼!C15)</f>
        <v>黑砂閃銀</v>
      </c>
      <c r="E17" s="100" t="str">
        <f>IF(烤漆色號編碼!B15="","-",烤漆色號編碼!B15)</f>
        <v>BKSA</v>
      </c>
      <c r="F17" s="100">
        <v>23</v>
      </c>
      <c r="G17" s="100">
        <v>3</v>
      </c>
      <c r="H17" s="100">
        <f>(G17*25)+F17</f>
        <v>98</v>
      </c>
      <c r="I17" s="113">
        <v>91</v>
      </c>
      <c r="K17" s="119">
        <v>13</v>
      </c>
      <c r="L17" s="100" t="str">
        <f>IF(烤漆色號編碼!J15="","-",烤漆色號編碼!J15)</f>
        <v>-</v>
      </c>
      <c r="M17" s="100" t="str">
        <f>IF(烤漆色號編碼!L15="","-",烤漆色號編碼!L15)</f>
        <v>-</v>
      </c>
      <c r="N17" s="100" t="str">
        <f>IF(烤漆色號編碼!K15="","-",烤漆色號編碼!K15)</f>
        <v>-</v>
      </c>
      <c r="O17" s="100">
        <v>23</v>
      </c>
      <c r="P17" s="100">
        <v>3</v>
      </c>
      <c r="Q17" s="100">
        <f>(P17*25)+O17</f>
        <v>98</v>
      </c>
    </row>
    <row r="18" spans="2:17" x14ac:dyDescent="0.15">
      <c r="B18" s="119">
        <v>14</v>
      </c>
      <c r="C18" s="94" t="str">
        <f>IF(烤漆色號編碼!A16="","-",烤漆色號編碼!A16)</f>
        <v>K-9287S</v>
      </c>
      <c r="D18" s="94" t="str">
        <f>IF(烤漆色號編碼!C16="","-",烤漆色號編碼!C16)</f>
        <v>黑閃銀</v>
      </c>
      <c r="E18" s="94" t="str">
        <f>IF(烤漆色號編碼!B16="","-",烤漆色號編碼!B16)</f>
        <v>BKSA1</v>
      </c>
      <c r="F18" s="94">
        <v>7</v>
      </c>
      <c r="G18" s="94">
        <v>2</v>
      </c>
      <c r="H18" s="94">
        <f>(G18*25)+F18</f>
        <v>57</v>
      </c>
      <c r="I18" s="113">
        <v>56</v>
      </c>
      <c r="K18" s="119">
        <v>14</v>
      </c>
      <c r="L18" s="94" t="str">
        <f>IF(烤漆色號編碼!J16="","-",烤漆色號編碼!J16)</f>
        <v>-</v>
      </c>
      <c r="M18" s="94" t="str">
        <f>IF(烤漆色號編碼!L16="","-",烤漆色號編碼!L16)</f>
        <v>-</v>
      </c>
      <c r="N18" s="94" t="str">
        <f>IF(烤漆色號編碼!K16="","-",烤漆色號編碼!K16)</f>
        <v>-</v>
      </c>
      <c r="O18" s="94">
        <v>7</v>
      </c>
      <c r="P18" s="94">
        <v>2</v>
      </c>
      <c r="Q18" s="94">
        <f>(P18*25)+O18</f>
        <v>57</v>
      </c>
    </row>
    <row r="19" spans="2:17" x14ac:dyDescent="0.15">
      <c r="B19" s="119">
        <v>15</v>
      </c>
      <c r="C19" s="100" t="str">
        <f>IF(烤漆色號編碼!A17="","-",烤漆色號編碼!A17)</f>
        <v>EL-0365T</v>
      </c>
      <c r="D19" s="100" t="str">
        <f>IF(烤漆色號編碼!C17="","-",烤漆色號編碼!C17)</f>
        <v>鐵灰砂</v>
      </c>
      <c r="E19" s="100" t="str">
        <f>IF(烤漆色號編碼!B17="","-",烤漆色號編碼!B17)</f>
        <v>IGS</v>
      </c>
      <c r="F19" s="100">
        <v>42</v>
      </c>
      <c r="G19" s="100">
        <v>9</v>
      </c>
      <c r="H19" s="100">
        <f>(G19*25)+F19</f>
        <v>267</v>
      </c>
      <c r="I19" s="113">
        <v>266</v>
      </c>
      <c r="K19" s="119">
        <v>15</v>
      </c>
      <c r="L19" s="100" t="str">
        <f>IF(烤漆色號編碼!J17="","-",烤漆色號編碼!J17)</f>
        <v>-</v>
      </c>
      <c r="M19" s="100" t="str">
        <f>IF(烤漆色號編碼!L17="","-",烤漆色號編碼!L17)</f>
        <v>-</v>
      </c>
      <c r="N19" s="100" t="str">
        <f>IF(烤漆色號編碼!K17="","-",烤漆色號編碼!K17)</f>
        <v>-</v>
      </c>
      <c r="O19" s="100">
        <v>42</v>
      </c>
      <c r="P19" s="100">
        <v>9</v>
      </c>
      <c r="Q19" s="100">
        <f>(P19*25)+O19</f>
        <v>267</v>
      </c>
    </row>
    <row r="20" spans="2:17" x14ac:dyDescent="0.15">
      <c r="B20" s="119">
        <v>16</v>
      </c>
      <c r="C20" s="94" t="str">
        <f>IF(烤漆色號編碼!A18="","-",烤漆色號編碼!A18)</f>
        <v>O-22170G</v>
      </c>
      <c r="D20" s="94" t="str">
        <f>IF(烤漆色號編碼!C18="","-",烤漆色號編碼!C18)</f>
        <v>深灰砂</v>
      </c>
      <c r="E20" s="94" t="str">
        <f>IF(烤漆色號編碼!B18="","-",烤漆色號編碼!B18)</f>
        <v>DGS</v>
      </c>
      <c r="F20" s="94">
        <v>36</v>
      </c>
      <c r="G20" s="94">
        <v>4</v>
      </c>
      <c r="H20" s="94">
        <f>(G20*25)+F20</f>
        <v>136</v>
      </c>
      <c r="I20" s="113">
        <v>102</v>
      </c>
      <c r="K20" s="119">
        <v>16</v>
      </c>
      <c r="L20" s="94" t="str">
        <f>IF(烤漆色號編碼!J18="","-",烤漆色號編碼!J18)</f>
        <v>-</v>
      </c>
      <c r="M20" s="94" t="str">
        <f>IF(烤漆色號編碼!L18="","-",烤漆色號編碼!L18)</f>
        <v>-</v>
      </c>
      <c r="N20" s="94" t="str">
        <f>IF(烤漆色號編碼!K18="","-",烤漆色號編碼!K18)</f>
        <v>-</v>
      </c>
      <c r="O20" s="94">
        <v>36</v>
      </c>
      <c r="P20" s="94">
        <v>4</v>
      </c>
      <c r="Q20" s="94">
        <f>(P20*25)+O20</f>
        <v>136</v>
      </c>
    </row>
    <row r="21" spans="2:17" x14ac:dyDescent="0.15">
      <c r="B21" s="119">
        <v>17</v>
      </c>
      <c r="C21" s="100" t="str">
        <f>IF(烤漆色號編碼!A19="","-",烤漆色號編碼!A19)</f>
        <v>O-200SB</v>
      </c>
      <c r="D21" s="100" t="str">
        <f>IF(烤漆色號編碼!C19="","-",烤漆色號編碼!C19)</f>
        <v>閃銀</v>
      </c>
      <c r="E21" s="100" t="str">
        <f>IF(烤漆色號編碼!B19="","-",烤漆色號編碼!B19)</f>
        <v>SAT</v>
      </c>
      <c r="F21" s="100"/>
      <c r="G21" s="100"/>
      <c r="H21" s="100">
        <f>(G21*25)+F21</f>
        <v>0</v>
      </c>
      <c r="K21" s="119">
        <v>17</v>
      </c>
      <c r="L21" s="100" t="str">
        <f>IF(烤漆色號編碼!J19="","-",烤漆色號編碼!J19)</f>
        <v>-</v>
      </c>
      <c r="M21" s="100" t="str">
        <f>IF(烤漆色號編碼!L19="","-",烤漆色號編碼!L19)</f>
        <v>-</v>
      </c>
      <c r="N21" s="100" t="str">
        <f>IF(烤漆色號編碼!K19="","-",烤漆色號編碼!K19)</f>
        <v>-</v>
      </c>
      <c r="O21" s="100"/>
      <c r="P21" s="100"/>
      <c r="Q21" s="100">
        <f>(P21*25)+O21</f>
        <v>0</v>
      </c>
    </row>
    <row r="22" spans="2:17" x14ac:dyDescent="0.15">
      <c r="B22" s="119">
        <v>18</v>
      </c>
      <c r="C22" s="94" t="str">
        <f>IF(烤漆色號編碼!A20="","-",烤漆色號編碼!A20)</f>
        <v>K-5257CSB</v>
      </c>
      <c r="D22" s="94" t="str">
        <f>IF(烤漆色號編碼!C20="","-",烤漆色號編碼!C20)</f>
        <v>新閃銀</v>
      </c>
      <c r="E22" s="94" t="str">
        <f>IF(烤漆色號編碼!B20="","-",烤漆色號編碼!B20)</f>
        <v>SAT1</v>
      </c>
      <c r="F22" s="94">
        <v>29</v>
      </c>
      <c r="G22" s="94">
        <v>3</v>
      </c>
      <c r="H22" s="94">
        <f>(G22*25)+F22</f>
        <v>104</v>
      </c>
      <c r="I22" s="113">
        <v>104</v>
      </c>
      <c r="K22" s="119">
        <v>18</v>
      </c>
      <c r="L22" s="94" t="str">
        <f>IF(烤漆色號編碼!J20="","-",烤漆色號編碼!J20)</f>
        <v>-</v>
      </c>
      <c r="M22" s="94" t="str">
        <f>IF(烤漆色號編碼!L20="","-",烤漆色號編碼!L20)</f>
        <v>-</v>
      </c>
      <c r="N22" s="94" t="str">
        <f>IF(烤漆色號編碼!K20="","-",烤漆色號編碼!K20)</f>
        <v>-</v>
      </c>
      <c r="O22" s="94">
        <v>29</v>
      </c>
      <c r="P22" s="94">
        <v>3</v>
      </c>
      <c r="Q22" s="94">
        <f>(P22*25)+O22</f>
        <v>104</v>
      </c>
    </row>
    <row r="23" spans="2:17" x14ac:dyDescent="0.15">
      <c r="B23" s="119">
        <v>19</v>
      </c>
      <c r="C23" s="100" t="str">
        <f>IF(烤漆色號編碼!A21="","-",烤漆色號編碼!A21)</f>
        <v>K-4654</v>
      </c>
      <c r="D23" s="100" t="str">
        <f>IF(烤漆色號編碼!C21="","-",烤漆色號編碼!C21)</f>
        <v>紫色</v>
      </c>
      <c r="E23" s="100" t="str">
        <f>IF(烤漆色號編碼!B21="","-",烤漆色號編碼!B21)</f>
        <v>PEL</v>
      </c>
      <c r="F23" s="100">
        <v>37</v>
      </c>
      <c r="G23" s="100">
        <v>2</v>
      </c>
      <c r="H23" s="100">
        <f>(G23*25)+F23</f>
        <v>87</v>
      </c>
      <c r="I23" s="113">
        <v>84</v>
      </c>
      <c r="K23" s="119">
        <v>19</v>
      </c>
      <c r="L23" s="100" t="str">
        <f>IF(烤漆色號編碼!J21="","-",烤漆色號編碼!J21)</f>
        <v>-</v>
      </c>
      <c r="M23" s="100" t="str">
        <f>IF(烤漆色號編碼!L21="","-",烤漆色號編碼!L21)</f>
        <v>-</v>
      </c>
      <c r="N23" s="100" t="str">
        <f>IF(烤漆色號編碼!K21="","-",烤漆色號編碼!K21)</f>
        <v>-</v>
      </c>
      <c r="O23" s="100">
        <v>37</v>
      </c>
      <c r="P23" s="100">
        <v>2</v>
      </c>
      <c r="Q23" s="100">
        <f>(P23*25)+O23</f>
        <v>87</v>
      </c>
    </row>
    <row r="24" spans="2:17" x14ac:dyDescent="0.15">
      <c r="B24" s="119">
        <v>20</v>
      </c>
      <c r="C24" s="94" t="str">
        <f>IF(烤漆色號編碼!A22="","-",烤漆色號編碼!A22)</f>
        <v>780-9B65</v>
      </c>
      <c r="D24" s="94" t="str">
        <f>IF(烤漆色號編碼!C22="","-",烤漆色號編碼!C22)</f>
        <v>銀灰</v>
      </c>
      <c r="E24" s="94" t="str">
        <f>IF(烤漆色號編碼!B22="","-",烤漆色號編碼!B22)</f>
        <v>ATG</v>
      </c>
      <c r="F24" s="94"/>
      <c r="G24" s="94"/>
      <c r="H24" s="94">
        <f>(G24*25)+F24</f>
        <v>0</v>
      </c>
      <c r="K24" s="119">
        <v>20</v>
      </c>
      <c r="L24" s="94" t="str">
        <f>IF(烤漆色號編碼!J22="","-",烤漆色號編碼!J22)</f>
        <v>-</v>
      </c>
      <c r="M24" s="94" t="str">
        <f>IF(烤漆色號編碼!L22="","-",烤漆色號編碼!L22)</f>
        <v>-</v>
      </c>
      <c r="N24" s="94" t="str">
        <f>IF(烤漆色號編碼!K22="","-",烤漆色號編碼!K22)</f>
        <v>-</v>
      </c>
      <c r="O24" s="94"/>
      <c r="P24" s="94"/>
      <c r="Q24" s="94">
        <f>(P24*25)+O24</f>
        <v>0</v>
      </c>
    </row>
    <row r="25" spans="2:17" x14ac:dyDescent="0.15">
      <c r="B25" s="119">
        <v>20</v>
      </c>
      <c r="C25" s="100" t="str">
        <f>IF(烤漆色號編碼!A23="","-",烤漆色號編碼!A23)</f>
        <v>780-9Q70</v>
      </c>
      <c r="D25" s="100" t="str">
        <f>IF(烤漆色號編碼!C23="","-",烤漆色號編碼!C23)</f>
        <v>銀灰</v>
      </c>
      <c r="E25" s="100" t="str">
        <f>IF(烤漆色號編碼!B23="","-",烤漆色號編碼!B23)</f>
        <v>ATG</v>
      </c>
      <c r="F25" s="100"/>
      <c r="G25" s="100"/>
      <c r="H25" s="100">
        <f>(G25*25)+F25</f>
        <v>0</v>
      </c>
      <c r="K25" s="119">
        <v>20</v>
      </c>
      <c r="L25" s="100" t="str">
        <f>IF(烤漆色號編碼!J23="","-",烤漆色號編碼!J23)</f>
        <v>-</v>
      </c>
      <c r="M25" s="100" t="str">
        <f>IF(烤漆色號編碼!L23="","-",烤漆色號編碼!L23)</f>
        <v>-</v>
      </c>
      <c r="N25" s="100" t="str">
        <f>IF(烤漆色號編碼!K23="","-",烤漆色號編碼!K23)</f>
        <v>-</v>
      </c>
      <c r="O25" s="100"/>
      <c r="P25" s="100"/>
      <c r="Q25" s="100">
        <f>(P25*25)+O25</f>
        <v>0</v>
      </c>
    </row>
    <row r="26" spans="2:17" x14ac:dyDescent="0.15">
      <c r="B26" s="119">
        <v>21</v>
      </c>
      <c r="C26" s="94" t="str">
        <f>IF(烤漆色號編碼!A24="","-",烤漆色號編碼!A24)</f>
        <v>780-6902</v>
      </c>
      <c r="D26" s="94" t="str">
        <f>IF(烤漆色號編碼!C24="","-",烤漆色號編碼!C24)</f>
        <v>綠色</v>
      </c>
      <c r="E26" s="94" t="str">
        <f>IF(烤漆色號編碼!B24="","-",烤漆色號編碼!B24)</f>
        <v>GN</v>
      </c>
      <c r="F26" s="94">
        <v>16</v>
      </c>
      <c r="G26" s="94">
        <v>3</v>
      </c>
      <c r="H26" s="94">
        <f>(G26*25)+F26</f>
        <v>91</v>
      </c>
      <c r="K26" s="119">
        <v>21</v>
      </c>
      <c r="L26" s="94" t="str">
        <f>IF(烤漆色號編碼!J24="","-",烤漆色號編碼!J24)</f>
        <v>-</v>
      </c>
      <c r="M26" s="94" t="str">
        <f>IF(烤漆色號編碼!L24="","-",烤漆色號編碼!L24)</f>
        <v>-</v>
      </c>
      <c r="N26" s="94" t="str">
        <f>IF(烤漆色號編碼!K24="","-",烤漆色號編碼!K24)</f>
        <v>-</v>
      </c>
      <c r="O26" s="94">
        <v>16</v>
      </c>
      <c r="P26" s="94">
        <v>3</v>
      </c>
      <c r="Q26" s="94">
        <f>(P26*25)+O26</f>
        <v>91</v>
      </c>
    </row>
    <row r="27" spans="2:17" x14ac:dyDescent="0.15">
      <c r="B27" s="119">
        <v>22</v>
      </c>
      <c r="C27" s="100" t="str">
        <f>IF(烤漆色號編碼!A25="","-",烤漆色號編碼!A25)</f>
        <v>A-10067</v>
      </c>
      <c r="D27" s="100" t="str">
        <f>IF(烤漆色號編碼!C25="","-",烤漆色號編碼!C25)</f>
        <v>橘色</v>
      </c>
      <c r="E27" s="100" t="str">
        <f>IF(烤漆色號編碼!B25="","-",烤漆色號編碼!B25)</f>
        <v>OE</v>
      </c>
      <c r="F27" s="100">
        <v>46</v>
      </c>
      <c r="G27" s="100">
        <v>2</v>
      </c>
      <c r="H27" s="100">
        <f>(G27*25)+F27</f>
        <v>96</v>
      </c>
      <c r="K27" s="119">
        <v>22</v>
      </c>
      <c r="L27" s="100" t="str">
        <f>IF(烤漆色號編碼!J25="","-",烤漆色號編碼!J25)</f>
        <v>-</v>
      </c>
      <c r="M27" s="100" t="str">
        <f>IF(烤漆色號編碼!L25="","-",烤漆色號編碼!L25)</f>
        <v>-</v>
      </c>
      <c r="N27" s="100" t="str">
        <f>IF(烤漆色號編碼!K25="","-",烤漆色號編碼!K25)</f>
        <v>-</v>
      </c>
      <c r="O27" s="100">
        <v>46</v>
      </c>
      <c r="P27" s="100">
        <v>2</v>
      </c>
      <c r="Q27" s="100">
        <f>(P27*25)+O27</f>
        <v>96</v>
      </c>
    </row>
    <row r="28" spans="2:17" x14ac:dyDescent="0.15">
      <c r="B28" s="119">
        <v>23</v>
      </c>
      <c r="C28" s="94" t="str">
        <f>IF(烤漆色號編碼!A26="","-",烤漆色號編碼!A26)</f>
        <v>4605-702A</v>
      </c>
      <c r="D28" s="94" t="str">
        <f>IF(烤漆色號編碼!C26="","-",烤漆色號編碼!C26)</f>
        <v>鐵灰</v>
      </c>
      <c r="E28" s="94" t="str">
        <f>IF(烤漆色號編碼!B26="","-",烤漆色號編碼!B26)</f>
        <v>IG</v>
      </c>
      <c r="F28" s="94">
        <v>22</v>
      </c>
      <c r="G28" s="94"/>
      <c r="H28" s="94">
        <f>(G28*25)+F28</f>
        <v>22</v>
      </c>
      <c r="K28" s="119">
        <v>23</v>
      </c>
      <c r="L28" s="94" t="str">
        <f>IF(烤漆色號編碼!J26="","-",烤漆色號編碼!J26)</f>
        <v>-</v>
      </c>
      <c r="M28" s="94" t="str">
        <f>IF(烤漆色號編碼!L26="","-",烤漆色號編碼!L26)</f>
        <v>-</v>
      </c>
      <c r="N28" s="94" t="str">
        <f>IF(烤漆色號編碼!K26="","-",烤漆色號編碼!K26)</f>
        <v>-</v>
      </c>
      <c r="O28" s="94">
        <v>22</v>
      </c>
      <c r="P28" s="94"/>
      <c r="Q28" s="94">
        <f>(P28*25)+O28</f>
        <v>22</v>
      </c>
    </row>
    <row r="29" spans="2:17" x14ac:dyDescent="0.15">
      <c r="B29" s="119">
        <v>24</v>
      </c>
      <c r="C29" s="100" t="str">
        <f>IF(烤漆色號編碼!A27="","-",烤漆色號編碼!A27)</f>
        <v>4900-246</v>
      </c>
      <c r="D29" s="100" t="str">
        <f>IF(烤漆色號編碼!C27="","-",烤漆色號編碼!C27)</f>
        <v>鵝黃色</v>
      </c>
      <c r="E29" s="100" t="str">
        <f>IF(烤漆色號編碼!B27="","-",烤漆色號編碼!B27)</f>
        <v>GYW</v>
      </c>
      <c r="F29" s="100">
        <v>22</v>
      </c>
      <c r="G29" s="100"/>
      <c r="H29" s="100">
        <f>(G29*25)+F29</f>
        <v>22</v>
      </c>
      <c r="K29" s="119">
        <v>24</v>
      </c>
      <c r="L29" s="100" t="str">
        <f>IF(烤漆色號編碼!J27="","-",烤漆色號編碼!J27)</f>
        <v>-</v>
      </c>
      <c r="M29" s="100" t="str">
        <f>IF(烤漆色號編碼!L27="","-",烤漆色號編碼!L27)</f>
        <v>-</v>
      </c>
      <c r="N29" s="100" t="str">
        <f>IF(烤漆色號編碼!K27="","-",烤漆色號編碼!K27)</f>
        <v>-</v>
      </c>
      <c r="O29" s="100">
        <v>22</v>
      </c>
      <c r="P29" s="100"/>
      <c r="Q29" s="100">
        <f>(P29*25)+O29</f>
        <v>22</v>
      </c>
    </row>
    <row r="30" spans="2:17" x14ac:dyDescent="0.15">
      <c r="B30" s="119">
        <v>25</v>
      </c>
      <c r="C30" s="94" t="str">
        <f>IF(烤漆色號編碼!A28="","-",烤漆色號編碼!A28)</f>
        <v>4900-149</v>
      </c>
      <c r="D30" s="94" t="str">
        <f>IF(烤漆色號編碼!C28="","-",烤漆色號編碼!C28)</f>
        <v>粉紅色</v>
      </c>
      <c r="E30" s="94" t="str">
        <f>IF(烤漆色號編碼!B28="","-",烤漆色號編碼!B28)</f>
        <v>PK</v>
      </c>
      <c r="F30" s="94">
        <v>34</v>
      </c>
      <c r="G30" s="94"/>
      <c r="H30" s="94">
        <f>(G30*25)+F30</f>
        <v>34</v>
      </c>
      <c r="K30" s="119">
        <v>25</v>
      </c>
      <c r="L30" s="94" t="str">
        <f>IF(烤漆色號編碼!J28="","-",烤漆色號編碼!J28)</f>
        <v>-</v>
      </c>
      <c r="M30" s="94" t="str">
        <f>IF(烤漆色號編碼!L28="","-",烤漆色號編碼!L28)</f>
        <v>-</v>
      </c>
      <c r="N30" s="94" t="str">
        <f>IF(烤漆色號編碼!K28="","-",烤漆色號編碼!K28)</f>
        <v>-</v>
      </c>
      <c r="O30" s="94">
        <v>34</v>
      </c>
      <c r="P30" s="94"/>
      <c r="Q30" s="94">
        <f>(P30*25)+O30</f>
        <v>34</v>
      </c>
    </row>
    <row r="31" spans="2:17" x14ac:dyDescent="0.15">
      <c r="B31" s="119">
        <v>26</v>
      </c>
      <c r="C31" s="100" t="str">
        <f>IF(烤漆色號編碼!A29="","-",烤漆色號編碼!A29)</f>
        <v>K-5510SCB</v>
      </c>
      <c r="D31" s="100" t="str">
        <f>IF(烤漆色號編碼!C29="","-",烤漆色號編碼!C29)</f>
        <v>黃金閃銀</v>
      </c>
      <c r="E31" s="100" t="str">
        <f>IF(烤漆色號編碼!B29="","-",烤漆色號編碼!B29)</f>
        <v>GSAT</v>
      </c>
      <c r="F31" s="100">
        <v>9</v>
      </c>
      <c r="G31" s="100"/>
      <c r="H31" s="100">
        <f>(G31*25)+F31</f>
        <v>9</v>
      </c>
      <c r="I31" s="113">
        <v>9</v>
      </c>
      <c r="K31" s="119">
        <v>26</v>
      </c>
      <c r="L31" s="100" t="str">
        <f>IF(烤漆色號編碼!J29="","-",烤漆色號編碼!J29)</f>
        <v>-</v>
      </c>
      <c r="M31" s="100" t="str">
        <f>IF(烤漆色號編碼!L29="","-",烤漆色號編碼!L29)</f>
        <v>-</v>
      </c>
      <c r="N31" s="100" t="str">
        <f>IF(烤漆色號編碼!K29="","-",烤漆色號編碼!K29)</f>
        <v>-</v>
      </c>
      <c r="O31" s="100">
        <v>9</v>
      </c>
      <c r="P31" s="100"/>
      <c r="Q31" s="100">
        <f>(P31*25)+O31</f>
        <v>9</v>
      </c>
    </row>
    <row r="32" spans="2:17" x14ac:dyDescent="0.15">
      <c r="B32" s="119">
        <v>27</v>
      </c>
      <c r="C32" s="94" t="str">
        <f>IF(烤漆色號編碼!A30="","-",烤漆色號編碼!A30)</f>
        <v>O-5337H</v>
      </c>
      <c r="D32" s="94" t="str">
        <f>IF(烤漆色號編碼!C30="","-",烤漆色號編碼!C30)</f>
        <v>黃錘紋</v>
      </c>
      <c r="E32" s="94" t="str">
        <f>IF(烤漆色號編碼!B30="","-",烤漆色號編碼!B30)</f>
        <v>YWH</v>
      </c>
      <c r="F32" s="94">
        <v>18</v>
      </c>
      <c r="G32" s="94"/>
      <c r="H32" s="94">
        <f>(G32*25)+F32</f>
        <v>18</v>
      </c>
      <c r="K32" s="119">
        <v>27</v>
      </c>
      <c r="L32" s="94" t="str">
        <f>IF(烤漆色號編碼!J30="","-",烤漆色號編碼!J30)</f>
        <v>-</v>
      </c>
      <c r="M32" s="94" t="str">
        <f>IF(烤漆色號編碼!L30="","-",烤漆色號編碼!L30)</f>
        <v>-</v>
      </c>
      <c r="N32" s="94" t="str">
        <f>IF(烤漆色號編碼!K30="","-",烤漆色號編碼!K30)</f>
        <v>-</v>
      </c>
      <c r="O32" s="94">
        <v>18</v>
      </c>
      <c r="P32" s="94"/>
      <c r="Q32" s="94">
        <f>(P32*25)+O32</f>
        <v>18</v>
      </c>
    </row>
    <row r="33" spans="2:17" x14ac:dyDescent="0.15">
      <c r="B33" s="119">
        <v>28</v>
      </c>
      <c r="C33" s="100" t="str">
        <f>IF(烤漆色號編碼!A31="","-",烤漆色號編碼!A31)</f>
        <v>E-BY112</v>
      </c>
      <c r="D33" s="100" t="str">
        <f>IF(烤漆色號編碼!C31="","-",烤漆色號編碼!C31)</f>
        <v>灰色</v>
      </c>
      <c r="E33" s="100" t="str">
        <f>IF(烤漆色號編碼!B31="","-",烤漆色號編碼!B31)</f>
        <v>ATG</v>
      </c>
      <c r="F33" s="100">
        <v>31</v>
      </c>
      <c r="G33" s="100"/>
      <c r="H33" s="100">
        <f>(G33*25)+F33</f>
        <v>31</v>
      </c>
      <c r="K33" s="119">
        <v>28</v>
      </c>
      <c r="L33" s="100" t="str">
        <f>IF(烤漆色號編碼!J31="","-",烤漆色號編碼!J31)</f>
        <v>-</v>
      </c>
      <c r="M33" s="100" t="str">
        <f>IF(烤漆色號編碼!L31="","-",烤漆色號編碼!L31)</f>
        <v>-</v>
      </c>
      <c r="N33" s="100" t="str">
        <f>IF(烤漆色號編碼!K31="","-",烤漆色號編碼!K31)</f>
        <v>-</v>
      </c>
      <c r="O33" s="100">
        <v>31</v>
      </c>
      <c r="P33" s="100"/>
      <c r="Q33" s="100">
        <f>(P33*25)+O33</f>
        <v>31</v>
      </c>
    </row>
    <row r="34" spans="2:17" x14ac:dyDescent="0.15">
      <c r="B34" s="119">
        <v>29</v>
      </c>
      <c r="C34" s="94" t="str">
        <f>IF(烤漆色號編碼!A32="","-",烤漆色號編碼!A32)</f>
        <v>-</v>
      </c>
      <c r="D34" s="94" t="str">
        <f>IF(烤漆色號編碼!C32="","-",烤漆色號編碼!C32)</f>
        <v>-</v>
      </c>
      <c r="E34" s="94" t="str">
        <f>IF(烤漆色號編碼!B32="","-",烤漆色號編碼!B32)</f>
        <v>-</v>
      </c>
      <c r="F34" s="94"/>
      <c r="G34" s="94"/>
      <c r="H34" s="94"/>
      <c r="K34" s="119">
        <v>29</v>
      </c>
      <c r="L34" s="94" t="str">
        <f>IF(烤漆色號編碼!J32="","-",烤漆色號編碼!J32)</f>
        <v>-</v>
      </c>
      <c r="M34" s="94" t="str">
        <f>IF(烤漆色號編碼!L32="","-",烤漆色號編碼!L32)</f>
        <v>-</v>
      </c>
      <c r="N34" s="94" t="str">
        <f>IF(烤漆色號編碼!K32="","-",烤漆色號編碼!K32)</f>
        <v>-</v>
      </c>
      <c r="O34" s="94"/>
      <c r="P34" s="94"/>
      <c r="Q34" s="94"/>
    </row>
    <row r="35" spans="2:17" x14ac:dyDescent="0.15">
      <c r="B35" s="119">
        <v>30</v>
      </c>
      <c r="C35" s="100" t="s">
        <v>64</v>
      </c>
      <c r="D35" s="100" t="s">
        <v>65</v>
      </c>
      <c r="E35" s="100" t="s">
        <v>64</v>
      </c>
      <c r="F35" s="100" t="s">
        <v>64</v>
      </c>
      <c r="G35" s="100">
        <f>H35/25</f>
        <v>0</v>
      </c>
      <c r="H35" s="100"/>
      <c r="K35" s="119">
        <v>30</v>
      </c>
      <c r="L35" s="100" t="s">
        <v>64</v>
      </c>
      <c r="M35" s="100" t="s">
        <v>65</v>
      </c>
      <c r="N35" s="100" t="s">
        <v>64</v>
      </c>
      <c r="O35" s="100" t="s">
        <v>64</v>
      </c>
      <c r="P35" s="100">
        <f>Q35/25</f>
        <v>0</v>
      </c>
      <c r="Q35" s="100"/>
    </row>
    <row r="36" spans="2:17" x14ac:dyDescent="0.15">
      <c r="B36" s="119">
        <v>31</v>
      </c>
      <c r="C36" s="94" t="s">
        <v>64</v>
      </c>
      <c r="D36" s="94" t="s">
        <v>65</v>
      </c>
      <c r="E36" s="94" t="s">
        <v>64</v>
      </c>
      <c r="F36" s="94" t="s">
        <v>64</v>
      </c>
      <c r="G36" s="94">
        <f>H36/25</f>
        <v>0</v>
      </c>
      <c r="H36" s="94"/>
      <c r="K36" s="119">
        <v>31</v>
      </c>
      <c r="L36" s="94" t="s">
        <v>64</v>
      </c>
      <c r="M36" s="94" t="s">
        <v>65</v>
      </c>
      <c r="N36" s="94" t="s">
        <v>64</v>
      </c>
      <c r="O36" s="94" t="s">
        <v>64</v>
      </c>
      <c r="P36" s="94">
        <f>Q36/25</f>
        <v>0</v>
      </c>
      <c r="Q36" s="94"/>
    </row>
    <row r="37" spans="2:17" x14ac:dyDescent="0.15">
      <c r="B37" s="119">
        <v>32</v>
      </c>
      <c r="C37" s="100" t="s">
        <v>64</v>
      </c>
      <c r="D37" s="100" t="s">
        <v>65</v>
      </c>
      <c r="E37" s="100" t="s">
        <v>64</v>
      </c>
      <c r="F37" s="100" t="s">
        <v>64</v>
      </c>
      <c r="G37" s="100">
        <f>H37/25</f>
        <v>0</v>
      </c>
      <c r="H37" s="100"/>
      <c r="K37" s="119">
        <v>32</v>
      </c>
      <c r="L37" s="100" t="s">
        <v>64</v>
      </c>
      <c r="M37" s="100" t="s">
        <v>65</v>
      </c>
      <c r="N37" s="100" t="s">
        <v>64</v>
      </c>
      <c r="O37" s="100" t="s">
        <v>64</v>
      </c>
      <c r="P37" s="100">
        <f>Q37/25</f>
        <v>0</v>
      </c>
      <c r="Q37" s="100"/>
    </row>
    <row r="38" spans="2:17" x14ac:dyDescent="0.15">
      <c r="B38" s="119">
        <v>33</v>
      </c>
      <c r="C38" s="94" t="s">
        <v>64</v>
      </c>
      <c r="D38" s="94" t="s">
        <v>65</v>
      </c>
      <c r="E38" s="94" t="s">
        <v>64</v>
      </c>
      <c r="F38" s="94" t="s">
        <v>64</v>
      </c>
      <c r="G38" s="94">
        <f>H38/25</f>
        <v>0</v>
      </c>
      <c r="H38" s="94"/>
      <c r="K38" s="119">
        <v>33</v>
      </c>
      <c r="L38" s="94" t="s">
        <v>64</v>
      </c>
      <c r="M38" s="94" t="s">
        <v>65</v>
      </c>
      <c r="N38" s="94" t="s">
        <v>64</v>
      </c>
      <c r="O38" s="94" t="s">
        <v>64</v>
      </c>
      <c r="P38" s="94">
        <f>Q38/25</f>
        <v>0</v>
      </c>
      <c r="Q38" s="94"/>
    </row>
    <row r="39" spans="2:17" x14ac:dyDescent="0.15">
      <c r="B39" s="119">
        <v>34</v>
      </c>
      <c r="C39" s="100" t="s">
        <v>64</v>
      </c>
      <c r="D39" s="100" t="s">
        <v>65</v>
      </c>
      <c r="E39" s="100" t="s">
        <v>64</v>
      </c>
      <c r="F39" s="100" t="s">
        <v>64</v>
      </c>
      <c r="G39" s="100">
        <f>H39/25</f>
        <v>0</v>
      </c>
      <c r="H39" s="100"/>
      <c r="K39" s="119">
        <v>34</v>
      </c>
      <c r="L39" s="100" t="s">
        <v>64</v>
      </c>
      <c r="M39" s="100" t="s">
        <v>65</v>
      </c>
      <c r="N39" s="100" t="s">
        <v>64</v>
      </c>
      <c r="O39" s="100" t="s">
        <v>64</v>
      </c>
      <c r="P39" s="100">
        <f>Q39/25</f>
        <v>0</v>
      </c>
      <c r="Q39" s="100"/>
    </row>
    <row r="40" spans="2:17" x14ac:dyDescent="0.15">
      <c r="B40" s="119">
        <v>35</v>
      </c>
      <c r="C40" s="94" t="s">
        <v>64</v>
      </c>
      <c r="D40" s="94" t="s">
        <v>65</v>
      </c>
      <c r="E40" s="94" t="s">
        <v>64</v>
      </c>
      <c r="F40" s="94" t="s">
        <v>64</v>
      </c>
      <c r="G40" s="94">
        <f>H40/25</f>
        <v>0</v>
      </c>
      <c r="H40" s="94"/>
      <c r="K40" s="119">
        <v>35</v>
      </c>
      <c r="L40" s="94" t="s">
        <v>64</v>
      </c>
      <c r="M40" s="94" t="s">
        <v>65</v>
      </c>
      <c r="N40" s="94" t="s">
        <v>64</v>
      </c>
      <c r="O40" s="94" t="s">
        <v>64</v>
      </c>
      <c r="P40" s="94">
        <f>Q40/25</f>
        <v>0</v>
      </c>
      <c r="Q40" s="94"/>
    </row>
    <row r="41" spans="2:17" x14ac:dyDescent="0.15">
      <c r="B41" s="119">
        <v>36</v>
      </c>
      <c r="C41" s="100" t="s">
        <v>64</v>
      </c>
      <c r="D41" s="100" t="s">
        <v>65</v>
      </c>
      <c r="E41" s="100" t="s">
        <v>64</v>
      </c>
      <c r="F41" s="100" t="s">
        <v>64</v>
      </c>
      <c r="G41" s="100">
        <f>H41/25</f>
        <v>0</v>
      </c>
      <c r="H41" s="100"/>
      <c r="K41" s="119">
        <v>36</v>
      </c>
      <c r="L41" s="100" t="s">
        <v>64</v>
      </c>
      <c r="M41" s="100" t="s">
        <v>65</v>
      </c>
      <c r="N41" s="100" t="s">
        <v>64</v>
      </c>
      <c r="O41" s="100" t="s">
        <v>64</v>
      </c>
      <c r="P41" s="100">
        <f>Q41/25</f>
        <v>0</v>
      </c>
      <c r="Q41" s="100"/>
    </row>
    <row r="42" spans="2:17" x14ac:dyDescent="0.15">
      <c r="B42" s="119">
        <v>37</v>
      </c>
      <c r="C42" s="94" t="s">
        <v>64</v>
      </c>
      <c r="D42" s="94" t="s">
        <v>65</v>
      </c>
      <c r="E42" s="94" t="s">
        <v>64</v>
      </c>
      <c r="F42" s="94" t="s">
        <v>64</v>
      </c>
      <c r="G42" s="94">
        <f>H42/25</f>
        <v>0</v>
      </c>
      <c r="H42" s="94"/>
      <c r="K42" s="119">
        <v>37</v>
      </c>
      <c r="L42" s="94" t="s">
        <v>64</v>
      </c>
      <c r="M42" s="94" t="s">
        <v>65</v>
      </c>
      <c r="N42" s="94" t="s">
        <v>64</v>
      </c>
      <c r="O42" s="94" t="s">
        <v>64</v>
      </c>
      <c r="P42" s="94">
        <f>Q42/25</f>
        <v>0</v>
      </c>
      <c r="Q42" s="94"/>
    </row>
    <row r="43" spans="2:17" x14ac:dyDescent="0.15">
      <c r="B43" s="119">
        <v>38</v>
      </c>
      <c r="C43" s="100" t="s">
        <v>64</v>
      </c>
      <c r="D43" s="100" t="s">
        <v>65</v>
      </c>
      <c r="E43" s="100" t="s">
        <v>64</v>
      </c>
      <c r="F43" s="100" t="s">
        <v>64</v>
      </c>
      <c r="G43" s="100">
        <f>H43/25</f>
        <v>0</v>
      </c>
      <c r="H43" s="100"/>
      <c r="K43" s="119">
        <v>38</v>
      </c>
      <c r="L43" s="100" t="s">
        <v>64</v>
      </c>
      <c r="M43" s="100" t="s">
        <v>65</v>
      </c>
      <c r="N43" s="100" t="s">
        <v>64</v>
      </c>
      <c r="O43" s="100" t="s">
        <v>64</v>
      </c>
      <c r="P43" s="100">
        <f>Q43/25</f>
        <v>0</v>
      </c>
      <c r="Q43" s="100"/>
    </row>
    <row r="44" spans="2:17" x14ac:dyDescent="0.15">
      <c r="B44" s="119">
        <v>39</v>
      </c>
      <c r="C44" s="94" t="s">
        <v>64</v>
      </c>
      <c r="D44" s="94" t="s">
        <v>65</v>
      </c>
      <c r="E44" s="94" t="s">
        <v>64</v>
      </c>
      <c r="F44" s="94" t="s">
        <v>64</v>
      </c>
      <c r="G44" s="94">
        <f>H44/25</f>
        <v>0</v>
      </c>
      <c r="H44" s="94"/>
      <c r="K44" s="119">
        <v>39</v>
      </c>
      <c r="L44" s="94" t="s">
        <v>64</v>
      </c>
      <c r="M44" s="94" t="s">
        <v>65</v>
      </c>
      <c r="N44" s="94" t="s">
        <v>64</v>
      </c>
      <c r="O44" s="94" t="s">
        <v>64</v>
      </c>
      <c r="P44" s="94">
        <f>Q44/25</f>
        <v>0</v>
      </c>
      <c r="Q44" s="94"/>
    </row>
    <row r="45" spans="2:17" x14ac:dyDescent="0.15">
      <c r="B45" s="119">
        <v>40</v>
      </c>
      <c r="C45" s="100" t="s">
        <v>64</v>
      </c>
      <c r="D45" s="100" t="s">
        <v>65</v>
      </c>
      <c r="E45" s="100" t="s">
        <v>64</v>
      </c>
      <c r="F45" s="100" t="s">
        <v>64</v>
      </c>
      <c r="G45" s="100">
        <f>H45/25</f>
        <v>0</v>
      </c>
      <c r="H45" s="100"/>
      <c r="K45" s="119">
        <v>40</v>
      </c>
      <c r="L45" s="100" t="s">
        <v>64</v>
      </c>
      <c r="M45" s="100" t="s">
        <v>65</v>
      </c>
      <c r="N45" s="100" t="s">
        <v>64</v>
      </c>
      <c r="O45" s="100" t="s">
        <v>64</v>
      </c>
      <c r="P45" s="100">
        <f>Q45/25</f>
        <v>0</v>
      </c>
      <c r="Q45" s="100"/>
    </row>
    <row r="46" spans="2:17" x14ac:dyDescent="0.15">
      <c r="B46" s="119">
        <v>41</v>
      </c>
      <c r="C46" s="94" t="s">
        <v>64</v>
      </c>
      <c r="D46" s="94" t="s">
        <v>65</v>
      </c>
      <c r="E46" s="94" t="s">
        <v>64</v>
      </c>
      <c r="F46" s="94" t="s">
        <v>64</v>
      </c>
      <c r="G46" s="94">
        <f>H46/25</f>
        <v>0</v>
      </c>
      <c r="H46" s="94"/>
      <c r="K46" s="119">
        <v>41</v>
      </c>
      <c r="L46" s="94" t="s">
        <v>64</v>
      </c>
      <c r="M46" s="94" t="s">
        <v>65</v>
      </c>
      <c r="N46" s="94" t="s">
        <v>64</v>
      </c>
      <c r="O46" s="94" t="s">
        <v>64</v>
      </c>
      <c r="P46" s="94">
        <f>Q46/25</f>
        <v>0</v>
      </c>
      <c r="Q46" s="94"/>
    </row>
    <row r="47" spans="2:17" x14ac:dyDescent="0.15">
      <c r="B47" s="119">
        <v>42</v>
      </c>
      <c r="C47" s="100" t="s">
        <v>64</v>
      </c>
      <c r="D47" s="100" t="s">
        <v>65</v>
      </c>
      <c r="E47" s="100" t="s">
        <v>64</v>
      </c>
      <c r="F47" s="100" t="s">
        <v>64</v>
      </c>
      <c r="G47" s="100">
        <f>H47/25</f>
        <v>0</v>
      </c>
      <c r="H47" s="100"/>
      <c r="K47" s="119">
        <v>42</v>
      </c>
      <c r="L47" s="100" t="s">
        <v>64</v>
      </c>
      <c r="M47" s="100" t="s">
        <v>65</v>
      </c>
      <c r="N47" s="100" t="s">
        <v>64</v>
      </c>
      <c r="O47" s="100" t="s">
        <v>64</v>
      </c>
      <c r="P47" s="100">
        <f>Q47/25</f>
        <v>0</v>
      </c>
      <c r="Q47" s="100"/>
    </row>
    <row r="48" spans="2:17" x14ac:dyDescent="0.15">
      <c r="B48" s="119">
        <v>43</v>
      </c>
      <c r="C48" s="94" t="s">
        <v>64</v>
      </c>
      <c r="D48" s="94" t="s">
        <v>65</v>
      </c>
      <c r="E48" s="94" t="s">
        <v>64</v>
      </c>
      <c r="F48" s="94" t="s">
        <v>64</v>
      </c>
      <c r="G48" s="94">
        <f>H48/25</f>
        <v>0</v>
      </c>
      <c r="H48" s="94"/>
      <c r="K48" s="119">
        <v>43</v>
      </c>
      <c r="L48" s="94" t="s">
        <v>64</v>
      </c>
      <c r="M48" s="94" t="s">
        <v>65</v>
      </c>
      <c r="N48" s="94" t="s">
        <v>64</v>
      </c>
      <c r="O48" s="94" t="s">
        <v>64</v>
      </c>
      <c r="P48" s="94">
        <f>Q48/25</f>
        <v>0</v>
      </c>
      <c r="Q48" s="94"/>
    </row>
    <row r="49" spans="2:17" x14ac:dyDescent="0.15">
      <c r="B49" s="119">
        <v>44</v>
      </c>
      <c r="C49" s="100" t="s">
        <v>64</v>
      </c>
      <c r="D49" s="100" t="s">
        <v>65</v>
      </c>
      <c r="E49" s="100" t="s">
        <v>64</v>
      </c>
      <c r="F49" s="100" t="s">
        <v>64</v>
      </c>
      <c r="G49" s="100">
        <f>H49/25</f>
        <v>0</v>
      </c>
      <c r="H49" s="100"/>
      <c r="K49" s="119">
        <v>44</v>
      </c>
      <c r="L49" s="100" t="s">
        <v>64</v>
      </c>
      <c r="M49" s="100" t="s">
        <v>65</v>
      </c>
      <c r="N49" s="100" t="s">
        <v>64</v>
      </c>
      <c r="O49" s="100" t="s">
        <v>64</v>
      </c>
      <c r="P49" s="100">
        <f>Q49/25</f>
        <v>0</v>
      </c>
      <c r="Q49" s="100"/>
    </row>
    <row r="50" spans="2:17" x14ac:dyDescent="0.15">
      <c r="B50" s="119">
        <v>45</v>
      </c>
      <c r="C50" s="94" t="s">
        <v>64</v>
      </c>
      <c r="D50" s="94" t="s">
        <v>65</v>
      </c>
      <c r="E50" s="94" t="s">
        <v>64</v>
      </c>
      <c r="F50" s="94" t="s">
        <v>64</v>
      </c>
      <c r="G50" s="94">
        <f>H50/25</f>
        <v>0</v>
      </c>
      <c r="H50" s="94"/>
      <c r="K50" s="119">
        <v>45</v>
      </c>
      <c r="L50" s="94" t="s">
        <v>64</v>
      </c>
      <c r="M50" s="94" t="s">
        <v>65</v>
      </c>
      <c r="N50" s="94" t="s">
        <v>64</v>
      </c>
      <c r="O50" s="94" t="s">
        <v>64</v>
      </c>
      <c r="P50" s="94">
        <f>Q50/25</f>
        <v>0</v>
      </c>
      <c r="Q50" s="94"/>
    </row>
    <row r="51" spans="2:17" x14ac:dyDescent="0.15">
      <c r="B51" s="119">
        <v>46</v>
      </c>
      <c r="C51" s="100" t="s">
        <v>64</v>
      </c>
      <c r="D51" s="100" t="s">
        <v>65</v>
      </c>
      <c r="E51" s="100" t="s">
        <v>64</v>
      </c>
      <c r="F51" s="100" t="s">
        <v>64</v>
      </c>
      <c r="G51" s="100">
        <f>H51/25</f>
        <v>0</v>
      </c>
      <c r="H51" s="100"/>
      <c r="K51" s="119">
        <v>46</v>
      </c>
      <c r="L51" s="100" t="s">
        <v>64</v>
      </c>
      <c r="M51" s="100" t="s">
        <v>65</v>
      </c>
      <c r="N51" s="100" t="s">
        <v>64</v>
      </c>
      <c r="O51" s="100" t="s">
        <v>64</v>
      </c>
      <c r="P51" s="100">
        <f>Q51/25</f>
        <v>0</v>
      </c>
      <c r="Q51" s="100"/>
    </row>
    <row r="52" spans="2:17" x14ac:dyDescent="0.15">
      <c r="B52" s="119">
        <v>47</v>
      </c>
      <c r="C52" s="94" t="s">
        <v>64</v>
      </c>
      <c r="D52" s="94" t="s">
        <v>65</v>
      </c>
      <c r="E52" s="94" t="s">
        <v>64</v>
      </c>
      <c r="F52" s="94" t="s">
        <v>64</v>
      </c>
      <c r="G52" s="94">
        <f>H52/25</f>
        <v>0</v>
      </c>
      <c r="H52" s="94"/>
      <c r="K52" s="119">
        <v>47</v>
      </c>
      <c r="L52" s="94" t="s">
        <v>64</v>
      </c>
      <c r="M52" s="94" t="s">
        <v>65</v>
      </c>
      <c r="N52" s="94" t="s">
        <v>64</v>
      </c>
      <c r="O52" s="94" t="s">
        <v>64</v>
      </c>
      <c r="P52" s="94">
        <f>Q52/25</f>
        <v>0</v>
      </c>
      <c r="Q52" s="94"/>
    </row>
    <row r="53" spans="2:17" x14ac:dyDescent="0.15">
      <c r="B53" s="119">
        <v>48</v>
      </c>
      <c r="C53" s="100" t="s">
        <v>64</v>
      </c>
      <c r="D53" s="100" t="s">
        <v>65</v>
      </c>
      <c r="E53" s="100" t="s">
        <v>64</v>
      </c>
      <c r="F53" s="100" t="s">
        <v>64</v>
      </c>
      <c r="G53" s="100">
        <f>H53/25</f>
        <v>0</v>
      </c>
      <c r="H53" s="100"/>
      <c r="K53" s="119">
        <v>48</v>
      </c>
      <c r="L53" s="100" t="s">
        <v>64</v>
      </c>
      <c r="M53" s="100" t="s">
        <v>65</v>
      </c>
      <c r="N53" s="100" t="s">
        <v>64</v>
      </c>
      <c r="O53" s="100" t="s">
        <v>64</v>
      </c>
      <c r="P53" s="100">
        <f>Q53/25</f>
        <v>0</v>
      </c>
      <c r="Q53" s="100"/>
    </row>
    <row r="54" spans="2:17" x14ac:dyDescent="0.15">
      <c r="B54" s="119">
        <v>49</v>
      </c>
      <c r="C54" s="94" t="s">
        <v>64</v>
      </c>
      <c r="D54" s="94" t="s">
        <v>65</v>
      </c>
      <c r="E54" s="94" t="s">
        <v>64</v>
      </c>
      <c r="F54" s="94" t="s">
        <v>64</v>
      </c>
      <c r="G54" s="94">
        <f>H54/25</f>
        <v>0</v>
      </c>
      <c r="H54" s="94"/>
      <c r="K54" s="119">
        <v>49</v>
      </c>
      <c r="L54" s="94" t="s">
        <v>64</v>
      </c>
      <c r="M54" s="94" t="s">
        <v>65</v>
      </c>
      <c r="N54" s="94" t="s">
        <v>64</v>
      </c>
      <c r="O54" s="94" t="s">
        <v>64</v>
      </c>
      <c r="P54" s="94">
        <f>Q54/25</f>
        <v>0</v>
      </c>
      <c r="Q54" s="94"/>
    </row>
    <row r="55" spans="2:17" x14ac:dyDescent="0.15">
      <c r="B55" s="119">
        <v>50</v>
      </c>
      <c r="C55" s="100" t="s">
        <v>64</v>
      </c>
      <c r="D55" s="100" t="s">
        <v>65</v>
      </c>
      <c r="E55" s="100" t="s">
        <v>64</v>
      </c>
      <c r="F55" s="100" t="s">
        <v>64</v>
      </c>
      <c r="G55" s="100">
        <f>H55/25</f>
        <v>0</v>
      </c>
      <c r="H55" s="100"/>
      <c r="K55" s="119">
        <v>50</v>
      </c>
      <c r="L55" s="100" t="s">
        <v>64</v>
      </c>
      <c r="M55" s="100" t="s">
        <v>65</v>
      </c>
      <c r="N55" s="100" t="s">
        <v>64</v>
      </c>
      <c r="O55" s="100" t="s">
        <v>64</v>
      </c>
      <c r="P55" s="100">
        <f>Q55/25</f>
        <v>0</v>
      </c>
      <c r="Q55" s="100"/>
    </row>
    <row r="56" spans="2:17" x14ac:dyDescent="0.15">
      <c r="B56" s="119">
        <v>51</v>
      </c>
      <c r="C56" s="94" t="s">
        <v>64</v>
      </c>
      <c r="D56" s="94" t="s">
        <v>64</v>
      </c>
      <c r="E56" s="94" t="s">
        <v>64</v>
      </c>
      <c r="F56" s="94" t="s">
        <v>64</v>
      </c>
      <c r="G56" s="94">
        <f>H56/25</f>
        <v>0</v>
      </c>
      <c r="H56" s="94"/>
      <c r="K56" s="119">
        <v>51</v>
      </c>
      <c r="L56" s="94" t="s">
        <v>64</v>
      </c>
      <c r="M56" s="94" t="s">
        <v>64</v>
      </c>
      <c r="N56" s="94" t="s">
        <v>64</v>
      </c>
      <c r="O56" s="94" t="s">
        <v>64</v>
      </c>
      <c r="P56" s="94">
        <f>Q56/25</f>
        <v>0</v>
      </c>
      <c r="Q56" s="94"/>
    </row>
    <row r="57" spans="2:17" x14ac:dyDescent="0.15">
      <c r="B57" s="119">
        <v>52</v>
      </c>
      <c r="C57" s="100" t="s">
        <v>64</v>
      </c>
      <c r="D57" s="100" t="s">
        <v>64</v>
      </c>
      <c r="E57" s="100" t="s">
        <v>64</v>
      </c>
      <c r="F57" s="100" t="s">
        <v>64</v>
      </c>
      <c r="G57" s="100">
        <f>H57/25</f>
        <v>0</v>
      </c>
      <c r="H57" s="100"/>
      <c r="K57" s="119">
        <v>52</v>
      </c>
      <c r="L57" s="100" t="s">
        <v>64</v>
      </c>
      <c r="M57" s="100" t="s">
        <v>64</v>
      </c>
      <c r="N57" s="100" t="s">
        <v>64</v>
      </c>
      <c r="O57" s="100" t="s">
        <v>64</v>
      </c>
      <c r="P57" s="100">
        <f>Q57/25</f>
        <v>0</v>
      </c>
      <c r="Q57" s="100"/>
    </row>
    <row r="58" spans="2:17" x14ac:dyDescent="0.15">
      <c r="B58" s="119">
        <v>53</v>
      </c>
      <c r="C58" s="94" t="s">
        <v>64</v>
      </c>
      <c r="D58" s="94" t="s">
        <v>64</v>
      </c>
      <c r="E58" s="94" t="s">
        <v>64</v>
      </c>
      <c r="F58" s="94" t="s">
        <v>64</v>
      </c>
      <c r="G58" s="94">
        <f>H58/25</f>
        <v>0</v>
      </c>
      <c r="H58" s="94"/>
      <c r="K58" s="119">
        <v>53</v>
      </c>
      <c r="L58" s="94" t="s">
        <v>64</v>
      </c>
      <c r="M58" s="94" t="s">
        <v>64</v>
      </c>
      <c r="N58" s="94" t="s">
        <v>64</v>
      </c>
      <c r="O58" s="94" t="s">
        <v>64</v>
      </c>
      <c r="P58" s="94">
        <f>Q58/25</f>
        <v>0</v>
      </c>
      <c r="Q58" s="94"/>
    </row>
    <row r="59" spans="2:17" x14ac:dyDescent="0.15">
      <c r="B59" s="119">
        <v>54</v>
      </c>
      <c r="C59" s="100" t="s">
        <v>64</v>
      </c>
      <c r="D59" s="100" t="s">
        <v>64</v>
      </c>
      <c r="E59" s="100" t="s">
        <v>64</v>
      </c>
      <c r="F59" s="100" t="s">
        <v>64</v>
      </c>
      <c r="G59" s="100">
        <f>H59/25</f>
        <v>0</v>
      </c>
      <c r="H59" s="100"/>
      <c r="K59" s="119">
        <v>54</v>
      </c>
      <c r="L59" s="100" t="s">
        <v>64</v>
      </c>
      <c r="M59" s="100" t="s">
        <v>64</v>
      </c>
      <c r="N59" s="100" t="s">
        <v>64</v>
      </c>
      <c r="O59" s="100" t="s">
        <v>64</v>
      </c>
      <c r="P59" s="100">
        <f>Q59/25</f>
        <v>0</v>
      </c>
      <c r="Q59" s="100"/>
    </row>
    <row r="60" spans="2:17" x14ac:dyDescent="0.15">
      <c r="B60" s="119">
        <v>55</v>
      </c>
      <c r="C60" s="94" t="s">
        <v>64</v>
      </c>
      <c r="D60" s="94" t="s">
        <v>64</v>
      </c>
      <c r="E60" s="94" t="s">
        <v>64</v>
      </c>
      <c r="F60" s="94" t="s">
        <v>64</v>
      </c>
      <c r="G60" s="94">
        <f>H60/25</f>
        <v>0</v>
      </c>
      <c r="H60" s="94"/>
      <c r="K60" s="119">
        <v>55</v>
      </c>
      <c r="L60" s="94" t="s">
        <v>64</v>
      </c>
      <c r="M60" s="94" t="s">
        <v>64</v>
      </c>
      <c r="N60" s="94" t="s">
        <v>64</v>
      </c>
      <c r="O60" s="94" t="s">
        <v>64</v>
      </c>
      <c r="P60" s="94">
        <f>Q60/25</f>
        <v>0</v>
      </c>
      <c r="Q60" s="94"/>
    </row>
    <row r="61" spans="2:17" x14ac:dyDescent="0.15">
      <c r="B61" s="119">
        <v>56</v>
      </c>
      <c r="C61" s="100" t="s">
        <v>64</v>
      </c>
      <c r="D61" s="100" t="s">
        <v>64</v>
      </c>
      <c r="E61" s="100" t="s">
        <v>64</v>
      </c>
      <c r="F61" s="100" t="s">
        <v>64</v>
      </c>
      <c r="G61" s="100">
        <f>H61/25</f>
        <v>0</v>
      </c>
      <c r="H61" s="100"/>
      <c r="K61" s="119">
        <v>56</v>
      </c>
      <c r="L61" s="100" t="s">
        <v>64</v>
      </c>
      <c r="M61" s="100" t="s">
        <v>64</v>
      </c>
      <c r="N61" s="100" t="s">
        <v>64</v>
      </c>
      <c r="O61" s="100" t="s">
        <v>64</v>
      </c>
      <c r="P61" s="100">
        <f>Q61/25</f>
        <v>0</v>
      </c>
      <c r="Q61" s="100"/>
    </row>
    <row r="62" spans="2:17" x14ac:dyDescent="0.15">
      <c r="B62" s="119">
        <v>57</v>
      </c>
      <c r="C62" s="94" t="s">
        <v>64</v>
      </c>
      <c r="D62" s="94" t="s">
        <v>64</v>
      </c>
      <c r="E62" s="94" t="s">
        <v>64</v>
      </c>
      <c r="F62" s="94" t="s">
        <v>64</v>
      </c>
      <c r="G62" s="94">
        <f>H62/25</f>
        <v>0</v>
      </c>
      <c r="H62" s="94"/>
      <c r="K62" s="119">
        <v>57</v>
      </c>
      <c r="L62" s="94" t="s">
        <v>64</v>
      </c>
      <c r="M62" s="94" t="s">
        <v>64</v>
      </c>
      <c r="N62" s="94" t="s">
        <v>64</v>
      </c>
      <c r="O62" s="94" t="s">
        <v>64</v>
      </c>
      <c r="P62" s="94">
        <f>Q62/25</f>
        <v>0</v>
      </c>
      <c r="Q62" s="94"/>
    </row>
    <row r="63" spans="2:17" x14ac:dyDescent="0.15">
      <c r="B63" s="119">
        <v>58</v>
      </c>
      <c r="C63" s="100" t="s">
        <v>64</v>
      </c>
      <c r="D63" s="100" t="s">
        <v>64</v>
      </c>
      <c r="E63" s="100" t="s">
        <v>64</v>
      </c>
      <c r="F63" s="100" t="s">
        <v>64</v>
      </c>
      <c r="G63" s="100">
        <f>H63/25</f>
        <v>0</v>
      </c>
      <c r="H63" s="100"/>
      <c r="K63" s="119">
        <v>58</v>
      </c>
      <c r="L63" s="100" t="s">
        <v>64</v>
      </c>
      <c r="M63" s="100" t="s">
        <v>64</v>
      </c>
      <c r="N63" s="100" t="s">
        <v>64</v>
      </c>
      <c r="O63" s="100" t="s">
        <v>64</v>
      </c>
      <c r="P63" s="100">
        <f>Q63/25</f>
        <v>0</v>
      </c>
      <c r="Q63" s="100"/>
    </row>
    <row r="64" spans="2:17" x14ac:dyDescent="0.15">
      <c r="B64" s="119">
        <v>59</v>
      </c>
      <c r="C64" s="94" t="s">
        <v>64</v>
      </c>
      <c r="D64" s="94" t="s">
        <v>64</v>
      </c>
      <c r="E64" s="94" t="s">
        <v>64</v>
      </c>
      <c r="F64" s="94" t="s">
        <v>64</v>
      </c>
      <c r="G64" s="94">
        <f>H64/25</f>
        <v>0</v>
      </c>
      <c r="H64" s="94"/>
      <c r="K64" s="119">
        <v>59</v>
      </c>
      <c r="L64" s="94" t="s">
        <v>64</v>
      </c>
      <c r="M64" s="94" t="s">
        <v>64</v>
      </c>
      <c r="N64" s="94" t="s">
        <v>64</v>
      </c>
      <c r="O64" s="94" t="s">
        <v>64</v>
      </c>
      <c r="P64" s="94">
        <f>Q64/25</f>
        <v>0</v>
      </c>
      <c r="Q64" s="94"/>
    </row>
    <row r="65" spans="2:17" x14ac:dyDescent="0.15">
      <c r="B65" s="119">
        <v>60</v>
      </c>
      <c r="C65" s="100" t="s">
        <v>64</v>
      </c>
      <c r="D65" s="100" t="s">
        <v>64</v>
      </c>
      <c r="E65" s="100" t="s">
        <v>64</v>
      </c>
      <c r="F65" s="100" t="s">
        <v>64</v>
      </c>
      <c r="G65" s="100">
        <f>H65/25</f>
        <v>0</v>
      </c>
      <c r="H65" s="100"/>
      <c r="K65" s="119">
        <v>60</v>
      </c>
      <c r="L65" s="100" t="s">
        <v>64</v>
      </c>
      <c r="M65" s="100" t="s">
        <v>64</v>
      </c>
      <c r="N65" s="100" t="s">
        <v>64</v>
      </c>
      <c r="O65" s="100" t="s">
        <v>64</v>
      </c>
      <c r="P65" s="100">
        <f>Q65/25</f>
        <v>0</v>
      </c>
      <c r="Q65" s="100"/>
    </row>
    <row r="66" spans="2:17" x14ac:dyDescent="0.15">
      <c r="B66" s="119">
        <v>61</v>
      </c>
      <c r="C66" s="94" t="s">
        <v>64</v>
      </c>
      <c r="D66" s="94" t="s">
        <v>64</v>
      </c>
      <c r="E66" s="94" t="s">
        <v>64</v>
      </c>
      <c r="F66" s="94" t="s">
        <v>64</v>
      </c>
      <c r="G66" s="94">
        <f>H66/25</f>
        <v>0</v>
      </c>
      <c r="H66" s="94"/>
      <c r="K66" s="119">
        <v>61</v>
      </c>
      <c r="L66" s="94" t="s">
        <v>64</v>
      </c>
      <c r="M66" s="94" t="s">
        <v>64</v>
      </c>
      <c r="N66" s="94" t="s">
        <v>64</v>
      </c>
      <c r="O66" s="94" t="s">
        <v>64</v>
      </c>
      <c r="P66" s="94">
        <f>Q66/25</f>
        <v>0</v>
      </c>
      <c r="Q66" s="94"/>
    </row>
    <row r="67" spans="2:17" x14ac:dyDescent="0.15">
      <c r="B67" s="119">
        <v>62</v>
      </c>
      <c r="C67" s="100" t="s">
        <v>64</v>
      </c>
      <c r="D67" s="100" t="s">
        <v>64</v>
      </c>
      <c r="E67" s="100" t="s">
        <v>64</v>
      </c>
      <c r="F67" s="100" t="s">
        <v>64</v>
      </c>
      <c r="G67" s="100">
        <f>H67/25</f>
        <v>0</v>
      </c>
      <c r="H67" s="100"/>
      <c r="K67" s="119">
        <v>62</v>
      </c>
      <c r="L67" s="100" t="s">
        <v>64</v>
      </c>
      <c r="M67" s="100" t="s">
        <v>64</v>
      </c>
      <c r="N67" s="100" t="s">
        <v>64</v>
      </c>
      <c r="O67" s="100" t="s">
        <v>64</v>
      </c>
      <c r="P67" s="100">
        <f>Q67/25</f>
        <v>0</v>
      </c>
      <c r="Q67" s="100"/>
    </row>
    <row r="68" spans="2:17" x14ac:dyDescent="0.15">
      <c r="B68" s="119">
        <v>63</v>
      </c>
      <c r="C68" s="94" t="s">
        <v>64</v>
      </c>
      <c r="D68" s="94" t="s">
        <v>64</v>
      </c>
      <c r="E68" s="94" t="s">
        <v>64</v>
      </c>
      <c r="F68" s="94" t="s">
        <v>64</v>
      </c>
      <c r="G68" s="94">
        <f>H68/25</f>
        <v>0</v>
      </c>
      <c r="H68" s="94"/>
      <c r="K68" s="119">
        <v>63</v>
      </c>
      <c r="L68" s="94" t="s">
        <v>64</v>
      </c>
      <c r="M68" s="94" t="s">
        <v>64</v>
      </c>
      <c r="N68" s="94" t="s">
        <v>64</v>
      </c>
      <c r="O68" s="94" t="s">
        <v>64</v>
      </c>
      <c r="P68" s="94">
        <f>Q68/25</f>
        <v>0</v>
      </c>
      <c r="Q68" s="94"/>
    </row>
    <row r="69" spans="2:17" x14ac:dyDescent="0.15">
      <c r="B69" s="119">
        <v>64</v>
      </c>
      <c r="C69" s="100" t="s">
        <v>64</v>
      </c>
      <c r="D69" s="100" t="s">
        <v>64</v>
      </c>
      <c r="E69" s="100" t="s">
        <v>64</v>
      </c>
      <c r="F69" s="100" t="s">
        <v>64</v>
      </c>
      <c r="G69" s="100">
        <f>H69/25</f>
        <v>0</v>
      </c>
      <c r="H69" s="100"/>
      <c r="K69" s="119">
        <v>64</v>
      </c>
      <c r="L69" s="100" t="s">
        <v>64</v>
      </c>
      <c r="M69" s="100" t="s">
        <v>64</v>
      </c>
      <c r="N69" s="100" t="s">
        <v>64</v>
      </c>
      <c r="O69" s="100" t="s">
        <v>64</v>
      </c>
      <c r="P69" s="100">
        <f>Q69/25</f>
        <v>0</v>
      </c>
      <c r="Q69" s="100"/>
    </row>
    <row r="70" spans="2:17" x14ac:dyDescent="0.15">
      <c r="B70" s="119">
        <v>65</v>
      </c>
      <c r="C70" s="94" t="s">
        <v>64</v>
      </c>
      <c r="D70" s="94" t="s">
        <v>64</v>
      </c>
      <c r="E70" s="94" t="s">
        <v>64</v>
      </c>
      <c r="F70" s="94" t="s">
        <v>64</v>
      </c>
      <c r="G70" s="94">
        <f>H70/25</f>
        <v>0</v>
      </c>
      <c r="H70" s="94"/>
      <c r="K70" s="119">
        <v>65</v>
      </c>
      <c r="L70" s="94" t="s">
        <v>64</v>
      </c>
      <c r="M70" s="94" t="s">
        <v>64</v>
      </c>
      <c r="N70" s="94" t="s">
        <v>64</v>
      </c>
      <c r="O70" s="94" t="s">
        <v>64</v>
      </c>
      <c r="P70" s="94">
        <f>Q70/25</f>
        <v>0</v>
      </c>
      <c r="Q70" s="94"/>
    </row>
    <row r="71" spans="2:17" x14ac:dyDescent="0.15">
      <c r="B71" s="119">
        <v>66</v>
      </c>
      <c r="C71" s="100" t="s">
        <v>64</v>
      </c>
      <c r="D71" s="100" t="s">
        <v>64</v>
      </c>
      <c r="E71" s="100" t="s">
        <v>64</v>
      </c>
      <c r="F71" s="100" t="s">
        <v>64</v>
      </c>
      <c r="G71" s="100">
        <f>H71/25</f>
        <v>0</v>
      </c>
      <c r="H71" s="100"/>
      <c r="K71" s="119">
        <v>66</v>
      </c>
      <c r="L71" s="100" t="s">
        <v>64</v>
      </c>
      <c r="M71" s="100" t="s">
        <v>64</v>
      </c>
      <c r="N71" s="100" t="s">
        <v>64</v>
      </c>
      <c r="O71" s="100" t="s">
        <v>64</v>
      </c>
      <c r="P71" s="100">
        <f>Q71/25</f>
        <v>0</v>
      </c>
      <c r="Q71" s="100"/>
    </row>
    <row r="72" spans="2:17" x14ac:dyDescent="0.15">
      <c r="B72" s="119">
        <v>67</v>
      </c>
      <c r="C72" s="94" t="s">
        <v>64</v>
      </c>
      <c r="D72" s="94" t="s">
        <v>64</v>
      </c>
      <c r="E72" s="94" t="s">
        <v>64</v>
      </c>
      <c r="F72" s="94" t="s">
        <v>64</v>
      </c>
      <c r="G72" s="94">
        <f>H72/25</f>
        <v>0</v>
      </c>
      <c r="H72" s="94"/>
      <c r="K72" s="119">
        <v>67</v>
      </c>
      <c r="L72" s="94" t="s">
        <v>64</v>
      </c>
      <c r="M72" s="94" t="s">
        <v>64</v>
      </c>
      <c r="N72" s="94" t="s">
        <v>64</v>
      </c>
      <c r="O72" s="94" t="s">
        <v>64</v>
      </c>
      <c r="P72" s="94">
        <f>Q72/25</f>
        <v>0</v>
      </c>
      <c r="Q72" s="94"/>
    </row>
    <row r="73" spans="2:17" x14ac:dyDescent="0.15">
      <c r="B73" s="119">
        <v>68</v>
      </c>
      <c r="C73" s="100" t="s">
        <v>64</v>
      </c>
      <c r="D73" s="100" t="s">
        <v>64</v>
      </c>
      <c r="E73" s="100" t="s">
        <v>64</v>
      </c>
      <c r="F73" s="100" t="s">
        <v>64</v>
      </c>
      <c r="G73" s="100">
        <f>H73/25</f>
        <v>0</v>
      </c>
      <c r="H73" s="100"/>
      <c r="K73" s="119">
        <v>68</v>
      </c>
      <c r="L73" s="100" t="s">
        <v>64</v>
      </c>
      <c r="M73" s="100" t="s">
        <v>64</v>
      </c>
      <c r="N73" s="100" t="s">
        <v>64</v>
      </c>
      <c r="O73" s="100" t="s">
        <v>64</v>
      </c>
      <c r="P73" s="100">
        <f>Q73/25</f>
        <v>0</v>
      </c>
      <c r="Q73" s="100"/>
    </row>
    <row r="74" spans="2:17" x14ac:dyDescent="0.15">
      <c r="B74" s="119">
        <v>69</v>
      </c>
      <c r="C74" s="94" t="s">
        <v>64</v>
      </c>
      <c r="D74" s="94" t="s">
        <v>64</v>
      </c>
      <c r="E74" s="94" t="s">
        <v>64</v>
      </c>
      <c r="F74" s="94" t="s">
        <v>64</v>
      </c>
      <c r="G74" s="94">
        <f>H74/25</f>
        <v>0</v>
      </c>
      <c r="H74" s="94"/>
      <c r="K74" s="119">
        <v>69</v>
      </c>
      <c r="L74" s="94" t="s">
        <v>64</v>
      </c>
      <c r="M74" s="94" t="s">
        <v>64</v>
      </c>
      <c r="N74" s="94" t="s">
        <v>64</v>
      </c>
      <c r="O74" s="94" t="s">
        <v>64</v>
      </c>
      <c r="P74" s="94">
        <f>Q74/25</f>
        <v>0</v>
      </c>
      <c r="Q74" s="94"/>
    </row>
    <row r="75" spans="2:17" x14ac:dyDescent="0.15">
      <c r="B75" s="119">
        <v>70</v>
      </c>
      <c r="C75" s="100" t="s">
        <v>64</v>
      </c>
      <c r="D75" s="100" t="s">
        <v>64</v>
      </c>
      <c r="E75" s="100" t="s">
        <v>64</v>
      </c>
      <c r="F75" s="100" t="s">
        <v>64</v>
      </c>
      <c r="G75" s="100">
        <f>H75/25</f>
        <v>0</v>
      </c>
      <c r="H75" s="100"/>
      <c r="K75" s="119">
        <v>70</v>
      </c>
      <c r="L75" s="100" t="s">
        <v>64</v>
      </c>
      <c r="M75" s="100" t="s">
        <v>64</v>
      </c>
      <c r="N75" s="100" t="s">
        <v>64</v>
      </c>
      <c r="O75" s="100" t="s">
        <v>64</v>
      </c>
      <c r="P75" s="100">
        <f>Q75/25</f>
        <v>0</v>
      </c>
      <c r="Q75" s="100"/>
    </row>
    <row r="76" spans="2:17" x14ac:dyDescent="0.15">
      <c r="B76" s="119">
        <v>71</v>
      </c>
      <c r="C76" s="94" t="s">
        <v>64</v>
      </c>
      <c r="D76" s="94" t="s">
        <v>64</v>
      </c>
      <c r="E76" s="94" t="s">
        <v>64</v>
      </c>
      <c r="F76" s="94" t="s">
        <v>64</v>
      </c>
      <c r="G76" s="94">
        <f>H76/25</f>
        <v>0</v>
      </c>
      <c r="H76" s="94"/>
      <c r="K76" s="119">
        <v>71</v>
      </c>
      <c r="L76" s="94" t="s">
        <v>64</v>
      </c>
      <c r="M76" s="94" t="s">
        <v>64</v>
      </c>
      <c r="N76" s="94" t="s">
        <v>64</v>
      </c>
      <c r="O76" s="94" t="s">
        <v>64</v>
      </c>
      <c r="P76" s="94">
        <f>Q76/25</f>
        <v>0</v>
      </c>
      <c r="Q76" s="94"/>
    </row>
    <row r="77" spans="2:17" x14ac:dyDescent="0.15">
      <c r="B77" s="119">
        <v>72</v>
      </c>
      <c r="C77" s="100" t="s">
        <v>64</v>
      </c>
      <c r="D77" s="100" t="s">
        <v>64</v>
      </c>
      <c r="E77" s="100" t="s">
        <v>64</v>
      </c>
      <c r="F77" s="100" t="s">
        <v>64</v>
      </c>
      <c r="G77" s="100">
        <f>H77/25</f>
        <v>0</v>
      </c>
      <c r="H77" s="100"/>
      <c r="K77" s="119">
        <v>72</v>
      </c>
      <c r="L77" s="100" t="s">
        <v>64</v>
      </c>
      <c r="M77" s="100" t="s">
        <v>64</v>
      </c>
      <c r="N77" s="100" t="s">
        <v>64</v>
      </c>
      <c r="O77" s="100" t="s">
        <v>64</v>
      </c>
      <c r="P77" s="100">
        <f>Q77/25</f>
        <v>0</v>
      </c>
      <c r="Q77" s="100"/>
    </row>
    <row r="78" spans="2:17" x14ac:dyDescent="0.15">
      <c r="B78" s="119">
        <v>73</v>
      </c>
      <c r="C78" s="94" t="s">
        <v>64</v>
      </c>
      <c r="D78" s="94" t="s">
        <v>64</v>
      </c>
      <c r="E78" s="94" t="s">
        <v>64</v>
      </c>
      <c r="F78" s="94" t="s">
        <v>64</v>
      </c>
      <c r="G78" s="94">
        <f>H78/25</f>
        <v>0</v>
      </c>
      <c r="H78" s="94"/>
      <c r="K78" s="119">
        <v>73</v>
      </c>
      <c r="L78" s="94" t="s">
        <v>64</v>
      </c>
      <c r="M78" s="94" t="s">
        <v>64</v>
      </c>
      <c r="N78" s="94" t="s">
        <v>64</v>
      </c>
      <c r="O78" s="94" t="s">
        <v>64</v>
      </c>
      <c r="P78" s="94">
        <f>Q78/25</f>
        <v>0</v>
      </c>
      <c r="Q78" s="94"/>
    </row>
    <row r="79" spans="2:17" x14ac:dyDescent="0.15">
      <c r="B79" s="119">
        <v>74</v>
      </c>
      <c r="C79" s="100" t="s">
        <v>64</v>
      </c>
      <c r="D79" s="100" t="s">
        <v>64</v>
      </c>
      <c r="E79" s="100" t="s">
        <v>64</v>
      </c>
      <c r="F79" s="100" t="s">
        <v>64</v>
      </c>
      <c r="G79" s="100">
        <f>H79/25</f>
        <v>0</v>
      </c>
      <c r="H79" s="100"/>
      <c r="K79" s="119">
        <v>74</v>
      </c>
      <c r="L79" s="100" t="s">
        <v>64</v>
      </c>
      <c r="M79" s="100" t="s">
        <v>64</v>
      </c>
      <c r="N79" s="100" t="s">
        <v>64</v>
      </c>
      <c r="O79" s="100" t="s">
        <v>64</v>
      </c>
      <c r="P79" s="100">
        <f>Q79/25</f>
        <v>0</v>
      </c>
      <c r="Q79" s="100"/>
    </row>
    <row r="80" spans="2:17" x14ac:dyDescent="0.15">
      <c r="B80" s="119">
        <v>75</v>
      </c>
      <c r="C80" s="94" t="s">
        <v>64</v>
      </c>
      <c r="D80" s="94" t="s">
        <v>64</v>
      </c>
      <c r="E80" s="94" t="s">
        <v>64</v>
      </c>
      <c r="F80" s="94" t="s">
        <v>64</v>
      </c>
      <c r="G80" s="94">
        <f>H80/25</f>
        <v>0</v>
      </c>
      <c r="H80" s="94"/>
      <c r="K80" s="119">
        <v>75</v>
      </c>
      <c r="L80" s="94" t="s">
        <v>64</v>
      </c>
      <c r="M80" s="94" t="s">
        <v>64</v>
      </c>
      <c r="N80" s="94" t="s">
        <v>64</v>
      </c>
      <c r="O80" s="94" t="s">
        <v>64</v>
      </c>
      <c r="P80" s="94">
        <f>Q80/25</f>
        <v>0</v>
      </c>
      <c r="Q80" s="94"/>
    </row>
    <row r="81" spans="2:17" x14ac:dyDescent="0.15">
      <c r="B81" s="119">
        <v>76</v>
      </c>
      <c r="C81" s="100" t="s">
        <v>64</v>
      </c>
      <c r="D81" s="100" t="s">
        <v>64</v>
      </c>
      <c r="E81" s="100" t="s">
        <v>64</v>
      </c>
      <c r="F81" s="100" t="s">
        <v>64</v>
      </c>
      <c r="G81" s="100">
        <f>H81/25</f>
        <v>0</v>
      </c>
      <c r="H81" s="100"/>
      <c r="K81" s="119">
        <v>76</v>
      </c>
      <c r="L81" s="100" t="s">
        <v>64</v>
      </c>
      <c r="M81" s="100" t="s">
        <v>64</v>
      </c>
      <c r="N81" s="100" t="s">
        <v>64</v>
      </c>
      <c r="O81" s="100" t="s">
        <v>64</v>
      </c>
      <c r="P81" s="100">
        <f>Q81/25</f>
        <v>0</v>
      </c>
      <c r="Q81" s="100"/>
    </row>
    <row r="82" spans="2:17" x14ac:dyDescent="0.15">
      <c r="B82" s="119">
        <v>77</v>
      </c>
      <c r="C82" s="94" t="s">
        <v>64</v>
      </c>
      <c r="D82" s="94" t="s">
        <v>64</v>
      </c>
      <c r="E82" s="94" t="s">
        <v>64</v>
      </c>
      <c r="F82" s="94" t="s">
        <v>64</v>
      </c>
      <c r="G82" s="94">
        <f>H82/25</f>
        <v>0</v>
      </c>
      <c r="H82" s="94"/>
      <c r="K82" s="119">
        <v>77</v>
      </c>
      <c r="L82" s="94" t="s">
        <v>64</v>
      </c>
      <c r="M82" s="94" t="s">
        <v>64</v>
      </c>
      <c r="N82" s="94" t="s">
        <v>64</v>
      </c>
      <c r="O82" s="94" t="s">
        <v>64</v>
      </c>
      <c r="P82" s="94">
        <f>Q82/25</f>
        <v>0</v>
      </c>
      <c r="Q82" s="94"/>
    </row>
    <row r="83" spans="2:17" x14ac:dyDescent="0.15">
      <c r="B83" s="119">
        <v>78</v>
      </c>
      <c r="C83" s="100" t="s">
        <v>64</v>
      </c>
      <c r="D83" s="100" t="s">
        <v>64</v>
      </c>
      <c r="E83" s="100" t="s">
        <v>64</v>
      </c>
      <c r="F83" s="100" t="s">
        <v>64</v>
      </c>
      <c r="G83" s="100">
        <f>H83/25</f>
        <v>0</v>
      </c>
      <c r="H83" s="100"/>
      <c r="K83" s="119">
        <v>78</v>
      </c>
      <c r="L83" s="100" t="s">
        <v>64</v>
      </c>
      <c r="M83" s="100" t="s">
        <v>64</v>
      </c>
      <c r="N83" s="100" t="s">
        <v>64</v>
      </c>
      <c r="O83" s="100" t="s">
        <v>64</v>
      </c>
      <c r="P83" s="100">
        <f>Q83/25</f>
        <v>0</v>
      </c>
      <c r="Q83" s="100"/>
    </row>
    <row r="84" spans="2:17" x14ac:dyDescent="0.15">
      <c r="B84" s="119">
        <v>79</v>
      </c>
      <c r="C84" s="94" t="s">
        <v>64</v>
      </c>
      <c r="D84" s="94" t="s">
        <v>64</v>
      </c>
      <c r="E84" s="94" t="s">
        <v>64</v>
      </c>
      <c r="F84" s="94" t="s">
        <v>64</v>
      </c>
      <c r="G84" s="94"/>
      <c r="H84" s="94"/>
      <c r="K84" s="119">
        <v>79</v>
      </c>
      <c r="L84" s="94" t="s">
        <v>64</v>
      </c>
      <c r="M84" s="94" t="s">
        <v>64</v>
      </c>
      <c r="N84" s="94" t="s">
        <v>64</v>
      </c>
      <c r="O84" s="94" t="s">
        <v>64</v>
      </c>
      <c r="P84" s="94"/>
      <c r="Q84" s="94"/>
    </row>
    <row r="85" spans="2:17" x14ac:dyDescent="0.15">
      <c r="B85" s="119">
        <v>80</v>
      </c>
      <c r="C85" s="100" t="s">
        <v>64</v>
      </c>
      <c r="D85" s="100" t="s">
        <v>64</v>
      </c>
      <c r="E85" s="100" t="s">
        <v>64</v>
      </c>
      <c r="F85" s="100" t="s">
        <v>64</v>
      </c>
      <c r="G85" s="100"/>
      <c r="H85" s="100"/>
    </row>
    <row r="86" spans="2:17" x14ac:dyDescent="0.15">
      <c r="B86" s="119">
        <v>81</v>
      </c>
      <c r="C86" s="94" t="s">
        <v>64</v>
      </c>
      <c r="D86" s="94" t="s">
        <v>64</v>
      </c>
      <c r="E86" s="94" t="s">
        <v>64</v>
      </c>
      <c r="F86" s="94" t="s">
        <v>64</v>
      </c>
      <c r="G86" s="94"/>
      <c r="H86" s="94"/>
    </row>
    <row r="87" spans="2:17" x14ac:dyDescent="0.15">
      <c r="B87" s="119">
        <v>82</v>
      </c>
      <c r="C87" s="100" t="s">
        <v>64</v>
      </c>
      <c r="D87" s="100" t="s">
        <v>64</v>
      </c>
      <c r="E87" s="100" t="s">
        <v>64</v>
      </c>
      <c r="F87" s="100" t="s">
        <v>64</v>
      </c>
      <c r="G87" s="100"/>
      <c r="H87" s="100"/>
    </row>
    <row r="88" spans="2:17" x14ac:dyDescent="0.15">
      <c r="B88" s="119">
        <v>83</v>
      </c>
      <c r="C88" s="94" t="s">
        <v>64</v>
      </c>
      <c r="D88" s="94" t="s">
        <v>64</v>
      </c>
      <c r="E88" s="94" t="s">
        <v>64</v>
      </c>
      <c r="F88" s="94" t="s">
        <v>64</v>
      </c>
      <c r="G88" s="94"/>
      <c r="H88" s="94"/>
    </row>
    <row r="89" spans="2:17" x14ac:dyDescent="0.15">
      <c r="B89" s="119">
        <v>84</v>
      </c>
      <c r="C89" s="100" t="s">
        <v>64</v>
      </c>
      <c r="D89" s="100" t="s">
        <v>64</v>
      </c>
      <c r="E89" s="100" t="s">
        <v>64</v>
      </c>
      <c r="F89" s="100" t="s">
        <v>64</v>
      </c>
      <c r="G89" s="100"/>
      <c r="H89" s="100"/>
    </row>
    <row r="90" spans="2:17" x14ac:dyDescent="0.15">
      <c r="B90" s="119">
        <v>85</v>
      </c>
      <c r="C90" s="94" t="s">
        <v>64</v>
      </c>
      <c r="D90" s="94" t="s">
        <v>64</v>
      </c>
      <c r="E90" s="94" t="s">
        <v>64</v>
      </c>
      <c r="F90" s="94" t="s">
        <v>64</v>
      </c>
      <c r="G90" s="94"/>
      <c r="H90" s="94"/>
    </row>
    <row r="91" spans="2:17" x14ac:dyDescent="0.15">
      <c r="B91" s="119">
        <v>86</v>
      </c>
      <c r="C91" s="100" t="s">
        <v>64</v>
      </c>
      <c r="D91" s="100" t="s">
        <v>64</v>
      </c>
      <c r="E91" s="100" t="s">
        <v>64</v>
      </c>
      <c r="F91" s="100" t="s">
        <v>64</v>
      </c>
      <c r="G91" s="100"/>
      <c r="H91" s="100"/>
    </row>
    <row r="92" spans="2:17" x14ac:dyDescent="0.15">
      <c r="B92" s="119">
        <v>87</v>
      </c>
      <c r="C92" s="94" t="s">
        <v>64</v>
      </c>
      <c r="D92" s="94" t="s">
        <v>64</v>
      </c>
      <c r="E92" s="94" t="s">
        <v>64</v>
      </c>
      <c r="F92" s="94" t="s">
        <v>64</v>
      </c>
      <c r="G92" s="94"/>
      <c r="H92" s="94"/>
    </row>
    <row r="93" spans="2:17" x14ac:dyDescent="0.15">
      <c r="B93" s="119">
        <v>88</v>
      </c>
      <c r="C93" s="100" t="s">
        <v>64</v>
      </c>
      <c r="D93" s="100" t="s">
        <v>64</v>
      </c>
      <c r="E93" s="100" t="s">
        <v>64</v>
      </c>
      <c r="F93" s="100" t="s">
        <v>64</v>
      </c>
      <c r="G93" s="100"/>
      <c r="H93" s="100"/>
    </row>
    <row r="94" spans="2:17" x14ac:dyDescent="0.15">
      <c r="B94" s="119">
        <v>89</v>
      </c>
      <c r="C94" s="94" t="s">
        <v>64</v>
      </c>
      <c r="D94" s="94" t="s">
        <v>64</v>
      </c>
      <c r="E94" s="94" t="s">
        <v>64</v>
      </c>
      <c r="F94" s="94" t="s">
        <v>64</v>
      </c>
      <c r="G94" s="94"/>
      <c r="H94" s="94"/>
    </row>
    <row r="95" spans="2:17" x14ac:dyDescent="0.15">
      <c r="B95" s="119">
        <v>90</v>
      </c>
      <c r="C95" s="100" t="s">
        <v>64</v>
      </c>
      <c r="D95" s="100" t="s">
        <v>64</v>
      </c>
      <c r="E95" s="100" t="s">
        <v>64</v>
      </c>
      <c r="F95" s="100" t="s">
        <v>64</v>
      </c>
      <c r="G95" s="100"/>
      <c r="H95" s="100"/>
    </row>
    <row r="96" spans="2:17" x14ac:dyDescent="0.15">
      <c r="B96" s="119">
        <v>91</v>
      </c>
      <c r="C96" s="94" t="s">
        <v>64</v>
      </c>
      <c r="D96" s="94" t="s">
        <v>64</v>
      </c>
      <c r="E96" s="94" t="s">
        <v>64</v>
      </c>
      <c r="F96" s="94" t="s">
        <v>64</v>
      </c>
      <c r="G96" s="94"/>
      <c r="H96" s="94"/>
    </row>
    <row r="97" spans="2:8" x14ac:dyDescent="0.15">
      <c r="B97" s="119">
        <v>92</v>
      </c>
      <c r="C97" s="100" t="s">
        <v>64</v>
      </c>
      <c r="D97" s="100" t="s">
        <v>64</v>
      </c>
      <c r="E97" s="100" t="s">
        <v>64</v>
      </c>
      <c r="F97" s="100" t="s">
        <v>64</v>
      </c>
      <c r="G97" s="100"/>
      <c r="H97" s="100"/>
    </row>
    <row r="98" spans="2:8" x14ac:dyDescent="0.15">
      <c r="B98" s="119">
        <v>93</v>
      </c>
      <c r="C98" s="94" t="s">
        <v>64</v>
      </c>
      <c r="D98" s="94" t="s">
        <v>64</v>
      </c>
      <c r="E98" s="94" t="s">
        <v>64</v>
      </c>
      <c r="F98" s="94" t="s">
        <v>64</v>
      </c>
      <c r="G98" s="94"/>
      <c r="H98" s="94"/>
    </row>
    <row r="99" spans="2:8" x14ac:dyDescent="0.15">
      <c r="B99" s="119">
        <v>94</v>
      </c>
      <c r="C99" s="100" t="s">
        <v>64</v>
      </c>
      <c r="D99" s="100" t="s">
        <v>64</v>
      </c>
      <c r="E99" s="100" t="s">
        <v>64</v>
      </c>
      <c r="F99" s="100" t="s">
        <v>64</v>
      </c>
      <c r="G99" s="100"/>
      <c r="H99" s="100"/>
    </row>
    <row r="100" spans="2:8" x14ac:dyDescent="0.15">
      <c r="B100" s="119">
        <v>95</v>
      </c>
      <c r="C100" s="94" t="s">
        <v>64</v>
      </c>
      <c r="D100" s="94" t="s">
        <v>64</v>
      </c>
      <c r="E100" s="94" t="s">
        <v>64</v>
      </c>
      <c r="F100" s="94" t="s">
        <v>64</v>
      </c>
      <c r="G100" s="94"/>
      <c r="H100" s="94"/>
    </row>
    <row r="101" spans="2:8" x14ac:dyDescent="0.15">
      <c r="B101" s="119">
        <v>96</v>
      </c>
      <c r="C101" s="100" t="s">
        <v>64</v>
      </c>
      <c r="D101" s="100" t="s">
        <v>64</v>
      </c>
      <c r="E101" s="100" t="s">
        <v>64</v>
      </c>
      <c r="F101" s="100" t="s">
        <v>64</v>
      </c>
      <c r="G101" s="100"/>
      <c r="H101" s="100"/>
    </row>
    <row r="102" spans="2:8" x14ac:dyDescent="0.15">
      <c r="B102" s="119">
        <v>97</v>
      </c>
      <c r="C102" s="94" t="s">
        <v>64</v>
      </c>
      <c r="D102" s="94" t="s">
        <v>64</v>
      </c>
      <c r="E102" s="94" t="s">
        <v>64</v>
      </c>
      <c r="F102" s="94" t="s">
        <v>64</v>
      </c>
      <c r="G102" s="94"/>
      <c r="H102" s="94"/>
    </row>
    <row r="103" spans="2:8" x14ac:dyDescent="0.15">
      <c r="B103" s="119">
        <v>98</v>
      </c>
      <c r="C103" s="100" t="s">
        <v>64</v>
      </c>
      <c r="D103" s="100" t="s">
        <v>64</v>
      </c>
      <c r="E103" s="100" t="s">
        <v>64</v>
      </c>
      <c r="F103" s="100" t="s">
        <v>64</v>
      </c>
      <c r="G103" s="100"/>
      <c r="H103" s="100"/>
    </row>
    <row r="104" spans="2:8" x14ac:dyDescent="0.15">
      <c r="B104" s="119">
        <v>99</v>
      </c>
      <c r="C104" s="94" t="s">
        <v>64</v>
      </c>
      <c r="D104" s="94" t="s">
        <v>64</v>
      </c>
      <c r="E104" s="94" t="s">
        <v>64</v>
      </c>
      <c r="F104" s="94" t="s">
        <v>64</v>
      </c>
      <c r="G104" s="94"/>
      <c r="H104" s="94"/>
    </row>
    <row r="105" spans="2:8" x14ac:dyDescent="0.15">
      <c r="B105" s="119">
        <v>100</v>
      </c>
      <c r="C105" s="100" t="s">
        <v>64</v>
      </c>
      <c r="D105" s="100" t="s">
        <v>64</v>
      </c>
      <c r="E105" s="100" t="s">
        <v>64</v>
      </c>
      <c r="F105" s="100" t="s">
        <v>64</v>
      </c>
      <c r="G105" s="100"/>
      <c r="H105" s="100"/>
    </row>
    <row r="106" spans="2:8" x14ac:dyDescent="0.15">
      <c r="B106" s="119">
        <v>101</v>
      </c>
      <c r="C106" s="94" t="s">
        <v>64</v>
      </c>
      <c r="D106" s="94" t="s">
        <v>64</v>
      </c>
      <c r="E106" s="94" t="s">
        <v>64</v>
      </c>
      <c r="F106" s="94" t="s">
        <v>64</v>
      </c>
      <c r="G106" s="94"/>
      <c r="H106" s="94"/>
    </row>
    <row r="107" spans="2:8" x14ac:dyDescent="0.15">
      <c r="B107" s="119">
        <v>102</v>
      </c>
      <c r="C107" s="100" t="s">
        <v>64</v>
      </c>
      <c r="D107" s="100" t="s">
        <v>64</v>
      </c>
      <c r="E107" s="100" t="s">
        <v>64</v>
      </c>
      <c r="F107" s="100" t="s">
        <v>64</v>
      </c>
      <c r="G107" s="100"/>
      <c r="H107" s="100"/>
    </row>
    <row r="108" spans="2:8" x14ac:dyDescent="0.15">
      <c r="B108" s="119">
        <v>103</v>
      </c>
      <c r="C108" s="94" t="s">
        <v>64</v>
      </c>
      <c r="D108" s="94" t="s">
        <v>64</v>
      </c>
      <c r="E108" s="94" t="s">
        <v>64</v>
      </c>
      <c r="F108" s="94" t="s">
        <v>64</v>
      </c>
      <c r="G108" s="94"/>
      <c r="H108" s="94"/>
    </row>
    <row r="109" spans="2:8" x14ac:dyDescent="0.15">
      <c r="B109" s="119">
        <v>104</v>
      </c>
      <c r="C109" s="100" t="s">
        <v>64</v>
      </c>
      <c r="D109" s="100" t="s">
        <v>64</v>
      </c>
      <c r="E109" s="100" t="s">
        <v>64</v>
      </c>
      <c r="F109" s="100" t="s">
        <v>64</v>
      </c>
      <c r="G109" s="100"/>
      <c r="H109" s="100"/>
    </row>
    <row r="110" spans="2:8" x14ac:dyDescent="0.15">
      <c r="B110" s="119">
        <v>105</v>
      </c>
      <c r="C110" s="94" t="s">
        <v>64</v>
      </c>
      <c r="D110" s="94" t="s">
        <v>64</v>
      </c>
      <c r="E110" s="94" t="s">
        <v>64</v>
      </c>
      <c r="F110" s="94" t="s">
        <v>64</v>
      </c>
      <c r="G110" s="94"/>
      <c r="H110" s="94"/>
    </row>
    <row r="111" spans="2:8" x14ac:dyDescent="0.15">
      <c r="B111" s="119">
        <v>106</v>
      </c>
      <c r="C111" s="100" t="s">
        <v>64</v>
      </c>
      <c r="D111" s="100" t="s">
        <v>64</v>
      </c>
      <c r="E111" s="100" t="s">
        <v>64</v>
      </c>
      <c r="F111" s="100" t="s">
        <v>64</v>
      </c>
      <c r="G111" s="100"/>
      <c r="H111" s="100"/>
    </row>
    <row r="112" spans="2:8" x14ac:dyDescent="0.15">
      <c r="B112" s="119">
        <v>107</v>
      </c>
      <c r="C112" s="94" t="s">
        <v>64</v>
      </c>
      <c r="D112" s="94" t="s">
        <v>64</v>
      </c>
      <c r="E112" s="94" t="s">
        <v>64</v>
      </c>
      <c r="F112" s="94" t="s">
        <v>64</v>
      </c>
      <c r="G112" s="94"/>
      <c r="H112" s="94"/>
    </row>
    <row r="113" spans="2:8" x14ac:dyDescent="0.15">
      <c r="B113" s="119">
        <v>108</v>
      </c>
      <c r="C113" s="100" t="s">
        <v>64</v>
      </c>
      <c r="D113" s="100" t="s">
        <v>64</v>
      </c>
      <c r="E113" s="100" t="s">
        <v>64</v>
      </c>
      <c r="F113" s="100" t="s">
        <v>64</v>
      </c>
      <c r="G113" s="100"/>
      <c r="H113" s="100"/>
    </row>
    <row r="114" spans="2:8" x14ac:dyDescent="0.15">
      <c r="B114" s="119">
        <v>109</v>
      </c>
      <c r="C114" s="94" t="s">
        <v>64</v>
      </c>
      <c r="D114" s="94" t="s">
        <v>64</v>
      </c>
      <c r="E114" s="94" t="s">
        <v>64</v>
      </c>
      <c r="F114" s="94" t="s">
        <v>64</v>
      </c>
      <c r="G114" s="94"/>
      <c r="H114" s="94"/>
    </row>
    <row r="115" spans="2:8" x14ac:dyDescent="0.15">
      <c r="B115" s="119">
        <v>110</v>
      </c>
      <c r="C115" s="100" t="s">
        <v>64</v>
      </c>
      <c r="D115" s="100" t="s">
        <v>64</v>
      </c>
      <c r="E115" s="100" t="s">
        <v>64</v>
      </c>
      <c r="F115" s="100" t="s">
        <v>64</v>
      </c>
      <c r="G115" s="100"/>
      <c r="H115" s="100"/>
    </row>
    <row r="116" spans="2:8" x14ac:dyDescent="0.15">
      <c r="B116" s="119">
        <v>111</v>
      </c>
      <c r="C116" s="94" t="s">
        <v>64</v>
      </c>
      <c r="D116" s="94" t="s">
        <v>64</v>
      </c>
      <c r="E116" s="94" t="s">
        <v>64</v>
      </c>
      <c r="F116" s="94" t="s">
        <v>64</v>
      </c>
      <c r="G116" s="94"/>
      <c r="H116" s="94"/>
    </row>
    <row r="117" spans="2:8" x14ac:dyDescent="0.15">
      <c r="B117" s="119">
        <v>112</v>
      </c>
      <c r="C117" s="100" t="s">
        <v>64</v>
      </c>
      <c r="D117" s="100" t="s">
        <v>64</v>
      </c>
      <c r="E117" s="100" t="s">
        <v>64</v>
      </c>
      <c r="F117" s="100" t="s">
        <v>64</v>
      </c>
      <c r="G117" s="100"/>
      <c r="H117" s="100"/>
    </row>
    <row r="118" spans="2:8" x14ac:dyDescent="0.15">
      <c r="B118" s="119">
        <v>113</v>
      </c>
      <c r="C118" s="94" t="s">
        <v>64</v>
      </c>
      <c r="D118" s="94" t="s">
        <v>64</v>
      </c>
      <c r="E118" s="94" t="s">
        <v>64</v>
      </c>
      <c r="F118" s="94" t="s">
        <v>64</v>
      </c>
      <c r="G118" s="94"/>
      <c r="H118" s="94"/>
    </row>
    <row r="119" spans="2:8" x14ac:dyDescent="0.15">
      <c r="B119" s="119">
        <v>114</v>
      </c>
      <c r="C119" s="100" t="s">
        <v>64</v>
      </c>
      <c r="D119" s="100" t="s">
        <v>64</v>
      </c>
      <c r="E119" s="100" t="s">
        <v>64</v>
      </c>
      <c r="F119" s="100" t="s">
        <v>64</v>
      </c>
      <c r="G119" s="100"/>
      <c r="H119" s="100"/>
    </row>
    <row r="120" spans="2:8" x14ac:dyDescent="0.15">
      <c r="B120" s="119">
        <v>115</v>
      </c>
      <c r="C120" s="94" t="s">
        <v>64</v>
      </c>
      <c r="D120" s="94" t="s">
        <v>64</v>
      </c>
      <c r="E120" s="94" t="s">
        <v>64</v>
      </c>
      <c r="F120" s="94" t="s">
        <v>64</v>
      </c>
      <c r="G120" s="94"/>
      <c r="H120" s="94"/>
    </row>
    <row r="121" spans="2:8" x14ac:dyDescent="0.15">
      <c r="B121" s="119">
        <v>116</v>
      </c>
      <c r="C121" s="100" t="s">
        <v>64</v>
      </c>
      <c r="D121" s="100" t="s">
        <v>64</v>
      </c>
      <c r="E121" s="100" t="s">
        <v>64</v>
      </c>
      <c r="F121" s="100" t="s">
        <v>64</v>
      </c>
      <c r="G121" s="100"/>
      <c r="H121" s="100"/>
    </row>
    <row r="122" spans="2:8" x14ac:dyDescent="0.15">
      <c r="B122" s="119">
        <v>117</v>
      </c>
      <c r="C122" s="94" t="s">
        <v>64</v>
      </c>
      <c r="D122" s="94" t="s">
        <v>64</v>
      </c>
      <c r="E122" s="94" t="s">
        <v>64</v>
      </c>
      <c r="F122" s="94" t="s">
        <v>64</v>
      </c>
      <c r="G122" s="94"/>
      <c r="H122" s="94"/>
    </row>
    <row r="123" spans="2:8" x14ac:dyDescent="0.15">
      <c r="B123" s="119">
        <v>118</v>
      </c>
      <c r="C123" s="100" t="s">
        <v>64</v>
      </c>
      <c r="D123" s="100" t="s">
        <v>64</v>
      </c>
      <c r="E123" s="100" t="s">
        <v>64</v>
      </c>
      <c r="F123" s="100" t="s">
        <v>64</v>
      </c>
      <c r="G123" s="100"/>
      <c r="H123" s="100"/>
    </row>
    <row r="124" spans="2:8" x14ac:dyDescent="0.15">
      <c r="B124" s="119">
        <v>119</v>
      </c>
      <c r="C124" s="94" t="s">
        <v>64</v>
      </c>
      <c r="D124" s="94" t="s">
        <v>64</v>
      </c>
      <c r="E124" s="94" t="s">
        <v>64</v>
      </c>
      <c r="F124" s="94" t="s">
        <v>64</v>
      </c>
      <c r="G124" s="94"/>
      <c r="H124" s="94"/>
    </row>
    <row r="125" spans="2:8" x14ac:dyDescent="0.15">
      <c r="B125" s="119">
        <v>120</v>
      </c>
      <c r="C125" s="100" t="s">
        <v>64</v>
      </c>
      <c r="D125" s="100" t="s">
        <v>64</v>
      </c>
      <c r="E125" s="100" t="s">
        <v>64</v>
      </c>
      <c r="F125" s="100" t="s">
        <v>64</v>
      </c>
      <c r="G125" s="100"/>
      <c r="H125" s="100"/>
    </row>
    <row r="126" spans="2:8" x14ac:dyDescent="0.15">
      <c r="B126" s="119">
        <v>121</v>
      </c>
      <c r="C126" s="94" t="s">
        <v>64</v>
      </c>
      <c r="D126" s="94" t="s">
        <v>64</v>
      </c>
      <c r="E126" s="94" t="s">
        <v>64</v>
      </c>
      <c r="F126" s="94" t="s">
        <v>64</v>
      </c>
      <c r="G126" s="94"/>
      <c r="H126" s="94"/>
    </row>
    <row r="127" spans="2:8" x14ac:dyDescent="0.15">
      <c r="B127" s="119">
        <v>122</v>
      </c>
      <c r="C127" s="100" t="s">
        <v>64</v>
      </c>
      <c r="D127" s="100" t="s">
        <v>64</v>
      </c>
      <c r="E127" s="100" t="s">
        <v>64</v>
      </c>
      <c r="F127" s="100" t="s">
        <v>64</v>
      </c>
      <c r="G127" s="100"/>
      <c r="H127" s="100"/>
    </row>
    <row r="128" spans="2:8" x14ac:dyDescent="0.15">
      <c r="B128" s="119">
        <v>123</v>
      </c>
      <c r="C128" s="94" t="s">
        <v>64</v>
      </c>
      <c r="D128" s="94" t="s">
        <v>64</v>
      </c>
      <c r="E128" s="94" t="s">
        <v>64</v>
      </c>
      <c r="F128" s="94" t="s">
        <v>64</v>
      </c>
      <c r="G128" s="94"/>
      <c r="H128" s="94"/>
    </row>
    <row r="129" spans="2:8" x14ac:dyDescent="0.15">
      <c r="B129" s="119">
        <v>124</v>
      </c>
      <c r="C129" s="100" t="s">
        <v>64</v>
      </c>
      <c r="D129" s="100" t="s">
        <v>64</v>
      </c>
      <c r="E129" s="100" t="s">
        <v>64</v>
      </c>
      <c r="F129" s="100" t="s">
        <v>64</v>
      </c>
      <c r="G129" s="100"/>
      <c r="H129" s="100"/>
    </row>
    <row r="130" spans="2:8" x14ac:dyDescent="0.15">
      <c r="B130" s="119">
        <v>125</v>
      </c>
      <c r="C130" s="94" t="s">
        <v>64</v>
      </c>
      <c r="D130" s="94" t="s">
        <v>64</v>
      </c>
      <c r="E130" s="94" t="s">
        <v>64</v>
      </c>
      <c r="F130" s="94" t="s">
        <v>64</v>
      </c>
      <c r="G130" s="94"/>
      <c r="H130" s="94"/>
    </row>
    <row r="131" spans="2:8" x14ac:dyDescent="0.15">
      <c r="B131" s="119">
        <v>126</v>
      </c>
      <c r="C131" s="100" t="s">
        <v>64</v>
      </c>
      <c r="D131" s="100" t="s">
        <v>64</v>
      </c>
      <c r="E131" s="100" t="s">
        <v>64</v>
      </c>
      <c r="F131" s="100" t="s">
        <v>64</v>
      </c>
      <c r="G131" s="100"/>
      <c r="H131" s="100"/>
    </row>
    <row r="132" spans="2:8" x14ac:dyDescent="0.15">
      <c r="B132" s="119">
        <v>127</v>
      </c>
      <c r="C132" s="94" t="s">
        <v>64</v>
      </c>
      <c r="D132" s="94" t="s">
        <v>64</v>
      </c>
      <c r="E132" s="94" t="s">
        <v>64</v>
      </c>
      <c r="F132" s="94" t="s">
        <v>64</v>
      </c>
      <c r="G132" s="94"/>
      <c r="H132" s="94"/>
    </row>
    <row r="133" spans="2:8" x14ac:dyDescent="0.15">
      <c r="B133" s="119">
        <v>128</v>
      </c>
      <c r="C133" s="100" t="s">
        <v>64</v>
      </c>
      <c r="D133" s="100" t="s">
        <v>64</v>
      </c>
      <c r="E133" s="100" t="s">
        <v>64</v>
      </c>
      <c r="F133" s="100" t="s">
        <v>64</v>
      </c>
      <c r="G133" s="100"/>
      <c r="H133" s="100"/>
    </row>
    <row r="134" spans="2:8" x14ac:dyDescent="0.15">
      <c r="B134" s="119">
        <v>129</v>
      </c>
      <c r="C134" s="94" t="s">
        <v>64</v>
      </c>
      <c r="D134" s="94" t="s">
        <v>64</v>
      </c>
      <c r="E134" s="94" t="s">
        <v>64</v>
      </c>
      <c r="F134" s="94" t="s">
        <v>64</v>
      </c>
      <c r="G134" s="94"/>
      <c r="H134" s="94"/>
    </row>
    <row r="135" spans="2:8" x14ac:dyDescent="0.15">
      <c r="B135" s="119">
        <v>130</v>
      </c>
      <c r="C135" s="100" t="s">
        <v>64</v>
      </c>
      <c r="D135" s="100" t="s">
        <v>64</v>
      </c>
      <c r="E135" s="100" t="s">
        <v>64</v>
      </c>
      <c r="F135" s="100" t="s">
        <v>64</v>
      </c>
      <c r="G135" s="100"/>
      <c r="H135" s="100"/>
    </row>
    <row r="136" spans="2:8" x14ac:dyDescent="0.15">
      <c r="B136" s="119">
        <v>131</v>
      </c>
      <c r="C136" s="94" t="s">
        <v>64</v>
      </c>
      <c r="D136" s="94" t="s">
        <v>64</v>
      </c>
      <c r="E136" s="94" t="s">
        <v>64</v>
      </c>
      <c r="F136" s="94" t="s">
        <v>64</v>
      </c>
      <c r="G136" s="94"/>
      <c r="H136" s="94"/>
    </row>
    <row r="137" spans="2:8" x14ac:dyDescent="0.15">
      <c r="B137" s="119">
        <v>132</v>
      </c>
      <c r="C137" s="100" t="s">
        <v>64</v>
      </c>
      <c r="D137" s="100" t="s">
        <v>64</v>
      </c>
      <c r="E137" s="100" t="s">
        <v>64</v>
      </c>
      <c r="F137" s="100" t="s">
        <v>64</v>
      </c>
      <c r="G137" s="100"/>
      <c r="H137" s="100"/>
    </row>
    <row r="138" spans="2:8" x14ac:dyDescent="0.15">
      <c r="B138" s="119">
        <v>133</v>
      </c>
      <c r="C138" s="94" t="s">
        <v>64</v>
      </c>
      <c r="D138" s="94" t="s">
        <v>64</v>
      </c>
      <c r="E138" s="94" t="s">
        <v>64</v>
      </c>
      <c r="F138" s="94" t="s">
        <v>64</v>
      </c>
      <c r="G138" s="94"/>
      <c r="H138" s="94"/>
    </row>
    <row r="139" spans="2:8" x14ac:dyDescent="0.15">
      <c r="B139" s="119">
        <v>134</v>
      </c>
      <c r="C139" s="100" t="s">
        <v>64</v>
      </c>
      <c r="D139" s="100" t="s">
        <v>64</v>
      </c>
      <c r="E139" s="100" t="s">
        <v>64</v>
      </c>
      <c r="F139" s="100" t="s">
        <v>64</v>
      </c>
      <c r="G139" s="100"/>
      <c r="H139" s="100"/>
    </row>
    <row r="140" spans="2:8" x14ac:dyDescent="0.15">
      <c r="B140" s="119">
        <v>135</v>
      </c>
      <c r="C140" s="94" t="s">
        <v>64</v>
      </c>
      <c r="D140" s="94" t="s">
        <v>64</v>
      </c>
      <c r="E140" s="94" t="s">
        <v>64</v>
      </c>
      <c r="F140" s="94" t="s">
        <v>64</v>
      </c>
      <c r="G140" s="94"/>
      <c r="H140" s="94"/>
    </row>
    <row r="141" spans="2:8" x14ac:dyDescent="0.15">
      <c r="B141" s="119">
        <v>136</v>
      </c>
      <c r="C141" s="100" t="s">
        <v>64</v>
      </c>
      <c r="D141" s="100" t="s">
        <v>64</v>
      </c>
      <c r="E141" s="100" t="s">
        <v>64</v>
      </c>
      <c r="F141" s="100" t="s">
        <v>64</v>
      </c>
      <c r="G141" s="100"/>
      <c r="H141" s="100"/>
    </row>
    <row r="142" spans="2:8" x14ac:dyDescent="0.15">
      <c r="B142" s="119">
        <v>137</v>
      </c>
      <c r="C142" s="94" t="s">
        <v>64</v>
      </c>
      <c r="D142" s="94" t="s">
        <v>64</v>
      </c>
      <c r="E142" s="94" t="s">
        <v>64</v>
      </c>
      <c r="F142" s="94" t="s">
        <v>64</v>
      </c>
      <c r="G142" s="94"/>
      <c r="H142" s="94"/>
    </row>
    <row r="143" spans="2:8" x14ac:dyDescent="0.15">
      <c r="B143" s="119">
        <v>138</v>
      </c>
      <c r="C143" s="100" t="s">
        <v>64</v>
      </c>
      <c r="D143" s="100" t="s">
        <v>64</v>
      </c>
      <c r="E143" s="100" t="s">
        <v>64</v>
      </c>
      <c r="F143" s="100" t="s">
        <v>64</v>
      </c>
      <c r="G143" s="100"/>
      <c r="H143" s="100"/>
    </row>
    <row r="144" spans="2:8" x14ac:dyDescent="0.15">
      <c r="B144" s="119">
        <v>139</v>
      </c>
      <c r="C144" s="94" t="s">
        <v>64</v>
      </c>
      <c r="D144" s="94" t="s">
        <v>64</v>
      </c>
      <c r="E144" s="94" t="s">
        <v>64</v>
      </c>
      <c r="F144" s="94" t="s">
        <v>64</v>
      </c>
      <c r="G144" s="94"/>
      <c r="H144" s="94"/>
    </row>
    <row r="145" spans="2:8" x14ac:dyDescent="0.15">
      <c r="B145" s="119">
        <v>140</v>
      </c>
      <c r="C145" s="100" t="s">
        <v>64</v>
      </c>
      <c r="D145" s="100" t="s">
        <v>64</v>
      </c>
      <c r="E145" s="100" t="s">
        <v>64</v>
      </c>
      <c r="F145" s="100" t="s">
        <v>64</v>
      </c>
      <c r="G145" s="100"/>
      <c r="H145" s="100"/>
    </row>
    <row r="146" spans="2:8" x14ac:dyDescent="0.15">
      <c r="B146" s="119">
        <v>141</v>
      </c>
      <c r="C146" s="94" t="s">
        <v>64</v>
      </c>
      <c r="D146" s="94" t="s">
        <v>64</v>
      </c>
      <c r="E146" s="94" t="s">
        <v>64</v>
      </c>
      <c r="F146" s="94" t="s">
        <v>64</v>
      </c>
      <c r="G146" s="94"/>
      <c r="H146" s="94"/>
    </row>
    <row r="147" spans="2:8" x14ac:dyDescent="0.15">
      <c r="B147" s="119">
        <v>142</v>
      </c>
      <c r="C147" s="100" t="s">
        <v>64</v>
      </c>
      <c r="D147" s="100" t="s">
        <v>64</v>
      </c>
      <c r="E147" s="100" t="s">
        <v>64</v>
      </c>
      <c r="F147" s="100" t="s">
        <v>64</v>
      </c>
      <c r="G147" s="100"/>
      <c r="H147" s="100"/>
    </row>
    <row r="148" spans="2:8" x14ac:dyDescent="0.15">
      <c r="B148" s="119">
        <v>143</v>
      </c>
      <c r="C148" s="94" t="s">
        <v>64</v>
      </c>
      <c r="D148" s="94" t="s">
        <v>64</v>
      </c>
      <c r="E148" s="94" t="s">
        <v>64</v>
      </c>
      <c r="F148" s="94" t="s">
        <v>64</v>
      </c>
      <c r="G148" s="94"/>
      <c r="H148" s="94"/>
    </row>
    <row r="149" spans="2:8" x14ac:dyDescent="0.15">
      <c r="B149" s="119">
        <v>144</v>
      </c>
      <c r="C149" s="100" t="s">
        <v>64</v>
      </c>
      <c r="D149" s="100" t="s">
        <v>64</v>
      </c>
      <c r="E149" s="100" t="s">
        <v>64</v>
      </c>
      <c r="F149" s="100" t="s">
        <v>64</v>
      </c>
      <c r="G149" s="100"/>
      <c r="H149" s="100"/>
    </row>
    <row r="150" spans="2:8" x14ac:dyDescent="0.15">
      <c r="B150" s="119">
        <v>145</v>
      </c>
      <c r="C150" s="94" t="s">
        <v>64</v>
      </c>
      <c r="D150" s="94" t="s">
        <v>64</v>
      </c>
      <c r="E150" s="94" t="s">
        <v>64</v>
      </c>
      <c r="F150" s="94" t="s">
        <v>64</v>
      </c>
      <c r="G150" s="94"/>
      <c r="H150" s="94"/>
    </row>
    <row r="151" spans="2:8" x14ac:dyDescent="0.15">
      <c r="B151" s="119">
        <v>146</v>
      </c>
      <c r="C151" s="100" t="s">
        <v>64</v>
      </c>
      <c r="D151" s="100" t="s">
        <v>64</v>
      </c>
      <c r="E151" s="100" t="s">
        <v>64</v>
      </c>
      <c r="F151" s="100" t="s">
        <v>64</v>
      </c>
      <c r="G151" s="100"/>
      <c r="H151" s="100"/>
    </row>
    <row r="152" spans="2:8" x14ac:dyDescent="0.15">
      <c r="B152" s="119">
        <v>147</v>
      </c>
      <c r="C152" s="94" t="s">
        <v>64</v>
      </c>
      <c r="D152" s="94" t="s">
        <v>64</v>
      </c>
      <c r="E152" s="94" t="s">
        <v>64</v>
      </c>
      <c r="F152" s="94" t="s">
        <v>64</v>
      </c>
      <c r="G152" s="94"/>
      <c r="H152" s="94"/>
    </row>
    <row r="153" spans="2:8" x14ac:dyDescent="0.15">
      <c r="B153" s="119">
        <v>148</v>
      </c>
      <c r="C153" s="100" t="s">
        <v>64</v>
      </c>
      <c r="D153" s="100" t="s">
        <v>64</v>
      </c>
      <c r="E153" s="100" t="s">
        <v>64</v>
      </c>
      <c r="F153" s="100" t="s">
        <v>64</v>
      </c>
      <c r="G153" s="100"/>
      <c r="H153" s="100"/>
    </row>
    <row r="154" spans="2:8" x14ac:dyDescent="0.15">
      <c r="B154" s="119">
        <v>149</v>
      </c>
      <c r="C154" s="94" t="s">
        <v>64</v>
      </c>
      <c r="D154" s="94" t="s">
        <v>64</v>
      </c>
      <c r="E154" s="94" t="s">
        <v>64</v>
      </c>
      <c r="F154" s="94" t="s">
        <v>64</v>
      </c>
      <c r="G154" s="94"/>
      <c r="H154" s="94"/>
    </row>
    <row r="155" spans="2:8" x14ac:dyDescent="0.15">
      <c r="B155" s="119">
        <v>150</v>
      </c>
      <c r="C155" s="100" t="s">
        <v>64</v>
      </c>
      <c r="D155" s="100" t="s">
        <v>64</v>
      </c>
      <c r="E155" s="100" t="s">
        <v>64</v>
      </c>
      <c r="F155" s="100" t="s">
        <v>64</v>
      </c>
      <c r="G155" s="100"/>
      <c r="H155" s="100"/>
    </row>
    <row r="156" spans="2:8" x14ac:dyDescent="0.15">
      <c r="B156" s="119">
        <v>151</v>
      </c>
      <c r="C156" s="94" t="s">
        <v>64</v>
      </c>
      <c r="D156" s="94" t="s">
        <v>64</v>
      </c>
      <c r="E156" s="94" t="s">
        <v>64</v>
      </c>
      <c r="F156" s="94" t="s">
        <v>64</v>
      </c>
      <c r="G156" s="94"/>
      <c r="H156" s="94"/>
    </row>
    <row r="157" spans="2:8" x14ac:dyDescent="0.15">
      <c r="B157" s="119">
        <v>152</v>
      </c>
      <c r="C157" s="100" t="s">
        <v>64</v>
      </c>
      <c r="D157" s="100" t="s">
        <v>64</v>
      </c>
      <c r="E157" s="100" t="s">
        <v>64</v>
      </c>
      <c r="F157" s="100" t="s">
        <v>64</v>
      </c>
      <c r="G157" s="100"/>
      <c r="H157" s="100"/>
    </row>
    <row r="158" spans="2:8" x14ac:dyDescent="0.15">
      <c r="B158" s="119">
        <v>153</v>
      </c>
      <c r="C158" s="94" t="s">
        <v>64</v>
      </c>
      <c r="D158" s="94" t="s">
        <v>64</v>
      </c>
      <c r="E158" s="94" t="s">
        <v>64</v>
      </c>
      <c r="F158" s="94" t="s">
        <v>64</v>
      </c>
      <c r="G158" s="94"/>
      <c r="H158" s="94"/>
    </row>
    <row r="159" spans="2:8" x14ac:dyDescent="0.15">
      <c r="B159" s="119">
        <v>154</v>
      </c>
      <c r="C159" s="100" t="s">
        <v>64</v>
      </c>
      <c r="D159" s="100" t="s">
        <v>64</v>
      </c>
      <c r="E159" s="100" t="s">
        <v>64</v>
      </c>
      <c r="F159" s="100" t="s">
        <v>64</v>
      </c>
      <c r="G159" s="100"/>
      <c r="H159" s="100"/>
    </row>
    <row r="160" spans="2:8" x14ac:dyDescent="0.15">
      <c r="B160" s="119">
        <v>155</v>
      </c>
      <c r="C160" s="94" t="s">
        <v>64</v>
      </c>
      <c r="D160" s="94" t="s">
        <v>64</v>
      </c>
      <c r="E160" s="94" t="s">
        <v>64</v>
      </c>
      <c r="F160" s="94" t="s">
        <v>64</v>
      </c>
      <c r="G160" s="94"/>
      <c r="H160" s="94"/>
    </row>
    <row r="161" spans="2:8" x14ac:dyDescent="0.15">
      <c r="B161" s="119">
        <v>156</v>
      </c>
      <c r="C161" s="100" t="s">
        <v>64</v>
      </c>
      <c r="D161" s="100" t="s">
        <v>64</v>
      </c>
      <c r="E161" s="100" t="s">
        <v>64</v>
      </c>
      <c r="F161" s="100" t="s">
        <v>64</v>
      </c>
      <c r="G161" s="100"/>
      <c r="H161" s="100"/>
    </row>
    <row r="162" spans="2:8" x14ac:dyDescent="0.15">
      <c r="B162" s="119">
        <v>157</v>
      </c>
      <c r="C162" s="94" t="s">
        <v>64</v>
      </c>
      <c r="D162" s="94" t="s">
        <v>64</v>
      </c>
      <c r="E162" s="94" t="s">
        <v>64</v>
      </c>
      <c r="F162" s="94" t="s">
        <v>64</v>
      </c>
      <c r="G162" s="94"/>
      <c r="H162" s="94"/>
    </row>
    <row r="163" spans="2:8" x14ac:dyDescent="0.15">
      <c r="B163" s="119">
        <v>158</v>
      </c>
      <c r="C163" s="100" t="s">
        <v>64</v>
      </c>
      <c r="D163" s="100" t="s">
        <v>64</v>
      </c>
      <c r="E163" s="100" t="s">
        <v>64</v>
      </c>
      <c r="F163" s="100" t="s">
        <v>64</v>
      </c>
      <c r="G163" s="100"/>
      <c r="H163" s="100"/>
    </row>
    <row r="164" spans="2:8" x14ac:dyDescent="0.15">
      <c r="B164" s="119">
        <v>159</v>
      </c>
      <c r="C164" s="94" t="s">
        <v>64</v>
      </c>
      <c r="D164" s="94" t="s">
        <v>64</v>
      </c>
      <c r="E164" s="94" t="s">
        <v>64</v>
      </c>
      <c r="F164" s="94" t="s">
        <v>64</v>
      </c>
      <c r="G164" s="94"/>
      <c r="H164" s="94"/>
    </row>
    <row r="165" spans="2:8" x14ac:dyDescent="0.15">
      <c r="B165" s="119">
        <v>160</v>
      </c>
      <c r="C165" s="100" t="s">
        <v>64</v>
      </c>
      <c r="D165" s="100" t="s">
        <v>64</v>
      </c>
      <c r="E165" s="100" t="s">
        <v>64</v>
      </c>
      <c r="F165" s="100" t="s">
        <v>64</v>
      </c>
      <c r="G165" s="100"/>
      <c r="H165" s="100"/>
    </row>
    <row r="166" spans="2:8" x14ac:dyDescent="0.15">
      <c r="B166" s="119">
        <v>161</v>
      </c>
      <c r="C166" s="94" t="s">
        <v>64</v>
      </c>
      <c r="D166" s="94" t="s">
        <v>64</v>
      </c>
      <c r="E166" s="94" t="s">
        <v>64</v>
      </c>
      <c r="F166" s="94" t="s">
        <v>64</v>
      </c>
      <c r="G166" s="94"/>
      <c r="H166" s="94"/>
    </row>
    <row r="167" spans="2:8" x14ac:dyDescent="0.15">
      <c r="B167" s="119">
        <v>162</v>
      </c>
      <c r="C167" s="100" t="s">
        <v>64</v>
      </c>
      <c r="D167" s="100" t="s">
        <v>64</v>
      </c>
      <c r="E167" s="100" t="s">
        <v>64</v>
      </c>
      <c r="F167" s="100" t="s">
        <v>64</v>
      </c>
      <c r="G167" s="100"/>
      <c r="H167" s="100"/>
    </row>
    <row r="168" spans="2:8" x14ac:dyDescent="0.15">
      <c r="B168" s="119">
        <v>163</v>
      </c>
      <c r="C168" s="94" t="s">
        <v>64</v>
      </c>
      <c r="D168" s="94" t="s">
        <v>64</v>
      </c>
      <c r="E168" s="94" t="s">
        <v>64</v>
      </c>
      <c r="F168" s="94" t="s">
        <v>64</v>
      </c>
      <c r="G168" s="94"/>
      <c r="H168" s="94"/>
    </row>
    <row r="169" spans="2:8" x14ac:dyDescent="0.15">
      <c r="B169" s="119">
        <v>164</v>
      </c>
      <c r="C169" s="100" t="s">
        <v>64</v>
      </c>
      <c r="D169" s="100" t="s">
        <v>64</v>
      </c>
      <c r="E169" s="100" t="s">
        <v>64</v>
      </c>
      <c r="F169" s="100" t="s">
        <v>64</v>
      </c>
      <c r="G169" s="100"/>
      <c r="H169" s="100"/>
    </row>
    <row r="170" spans="2:8" x14ac:dyDescent="0.15">
      <c r="B170" s="119">
        <v>165</v>
      </c>
      <c r="C170" s="94" t="s">
        <v>64</v>
      </c>
      <c r="D170" s="94" t="s">
        <v>64</v>
      </c>
      <c r="E170" s="94" t="s">
        <v>64</v>
      </c>
      <c r="F170" s="94" t="s">
        <v>64</v>
      </c>
      <c r="G170" s="94"/>
      <c r="H170" s="94"/>
    </row>
    <row r="171" spans="2:8" x14ac:dyDescent="0.15">
      <c r="B171" s="119">
        <v>166</v>
      </c>
      <c r="C171" s="100" t="s">
        <v>64</v>
      </c>
      <c r="D171" s="100" t="s">
        <v>64</v>
      </c>
      <c r="E171" s="100" t="s">
        <v>64</v>
      </c>
      <c r="F171" s="100" t="s">
        <v>64</v>
      </c>
      <c r="G171" s="100"/>
      <c r="H171" s="100"/>
    </row>
    <row r="172" spans="2:8" x14ac:dyDescent="0.15">
      <c r="B172" s="119">
        <v>167</v>
      </c>
      <c r="C172" s="94" t="s">
        <v>64</v>
      </c>
      <c r="D172" s="94" t="s">
        <v>64</v>
      </c>
      <c r="E172" s="94" t="s">
        <v>64</v>
      </c>
      <c r="F172" s="94" t="s">
        <v>64</v>
      </c>
      <c r="G172" s="94"/>
      <c r="H172" s="94"/>
    </row>
    <row r="173" spans="2:8" x14ac:dyDescent="0.15">
      <c r="B173" s="119">
        <v>168</v>
      </c>
      <c r="C173" s="100" t="s">
        <v>64</v>
      </c>
      <c r="D173" s="100" t="s">
        <v>64</v>
      </c>
      <c r="E173" s="100" t="s">
        <v>64</v>
      </c>
      <c r="F173" s="100" t="s">
        <v>64</v>
      </c>
      <c r="G173" s="100"/>
      <c r="H173" s="100"/>
    </row>
    <row r="174" spans="2:8" x14ac:dyDescent="0.15">
      <c r="B174" s="119">
        <v>169</v>
      </c>
      <c r="C174" s="94" t="s">
        <v>64</v>
      </c>
      <c r="D174" s="94" t="s">
        <v>64</v>
      </c>
      <c r="E174" s="94" t="s">
        <v>64</v>
      </c>
      <c r="F174" s="94" t="s">
        <v>64</v>
      </c>
      <c r="G174" s="94"/>
      <c r="H174" s="94"/>
    </row>
    <row r="175" spans="2:8" x14ac:dyDescent="0.15">
      <c r="B175" s="119">
        <v>170</v>
      </c>
      <c r="C175" s="100" t="s">
        <v>64</v>
      </c>
      <c r="D175" s="100" t="s">
        <v>64</v>
      </c>
      <c r="E175" s="100" t="s">
        <v>64</v>
      </c>
      <c r="F175" s="100" t="s">
        <v>64</v>
      </c>
      <c r="G175" s="100"/>
      <c r="H175" s="100"/>
    </row>
    <row r="176" spans="2:8" x14ac:dyDescent="0.15">
      <c r="B176" s="119">
        <v>171</v>
      </c>
      <c r="C176" s="94" t="s">
        <v>64</v>
      </c>
      <c r="D176" s="94" t="s">
        <v>64</v>
      </c>
      <c r="E176" s="94" t="s">
        <v>64</v>
      </c>
      <c r="F176" s="94" t="s">
        <v>64</v>
      </c>
      <c r="G176" s="94"/>
      <c r="H176" s="94"/>
    </row>
    <row r="177" spans="2:8" x14ac:dyDescent="0.15">
      <c r="B177" s="119">
        <v>172</v>
      </c>
      <c r="C177" s="100" t="s">
        <v>64</v>
      </c>
      <c r="D177" s="100" t="s">
        <v>64</v>
      </c>
      <c r="E177" s="100" t="s">
        <v>64</v>
      </c>
      <c r="F177" s="100" t="s">
        <v>64</v>
      </c>
      <c r="G177" s="100"/>
      <c r="H177" s="100"/>
    </row>
    <row r="178" spans="2:8" x14ac:dyDescent="0.15">
      <c r="B178" s="119">
        <v>173</v>
      </c>
      <c r="C178" s="94" t="s">
        <v>64</v>
      </c>
      <c r="D178" s="94" t="s">
        <v>64</v>
      </c>
      <c r="E178" s="94" t="s">
        <v>64</v>
      </c>
      <c r="F178" s="94" t="s">
        <v>64</v>
      </c>
      <c r="G178" s="94"/>
      <c r="H178" s="94"/>
    </row>
    <row r="179" spans="2:8" x14ac:dyDescent="0.15">
      <c r="B179" s="119">
        <v>174</v>
      </c>
      <c r="C179" s="100" t="s">
        <v>64</v>
      </c>
      <c r="D179" s="100" t="s">
        <v>64</v>
      </c>
      <c r="E179" s="100" t="s">
        <v>64</v>
      </c>
      <c r="F179" s="100" t="s">
        <v>64</v>
      </c>
      <c r="G179" s="100"/>
      <c r="H179" s="100"/>
    </row>
    <row r="180" spans="2:8" x14ac:dyDescent="0.15">
      <c r="B180" s="119">
        <v>175</v>
      </c>
      <c r="C180" s="94" t="s">
        <v>64</v>
      </c>
      <c r="D180" s="94" t="s">
        <v>64</v>
      </c>
      <c r="E180" s="94" t="s">
        <v>64</v>
      </c>
      <c r="F180" s="94" t="s">
        <v>64</v>
      </c>
      <c r="G180" s="94"/>
      <c r="H180" s="94"/>
    </row>
    <row r="181" spans="2:8" x14ac:dyDescent="0.15">
      <c r="B181" s="119">
        <v>176</v>
      </c>
      <c r="C181" s="100" t="s">
        <v>64</v>
      </c>
      <c r="D181" s="100" t="s">
        <v>64</v>
      </c>
      <c r="E181" s="100" t="s">
        <v>64</v>
      </c>
      <c r="F181" s="100" t="s">
        <v>64</v>
      </c>
      <c r="G181" s="100"/>
      <c r="H181" s="100"/>
    </row>
    <row r="182" spans="2:8" x14ac:dyDescent="0.15">
      <c r="B182" s="119">
        <v>177</v>
      </c>
      <c r="C182" s="94" t="s">
        <v>64</v>
      </c>
      <c r="D182" s="94" t="s">
        <v>64</v>
      </c>
      <c r="E182" s="94" t="s">
        <v>64</v>
      </c>
      <c r="F182" s="94" t="s">
        <v>64</v>
      </c>
      <c r="G182" s="94"/>
      <c r="H182" s="94"/>
    </row>
    <row r="183" spans="2:8" x14ac:dyDescent="0.15">
      <c r="B183" s="119">
        <v>178</v>
      </c>
      <c r="C183" s="100" t="s">
        <v>64</v>
      </c>
      <c r="D183" s="100" t="s">
        <v>64</v>
      </c>
      <c r="E183" s="100" t="s">
        <v>64</v>
      </c>
      <c r="F183" s="100" t="s">
        <v>64</v>
      </c>
      <c r="G183" s="100"/>
      <c r="H183" s="100"/>
    </row>
    <row r="184" spans="2:8" x14ac:dyDescent="0.15">
      <c r="B184" s="119">
        <v>179</v>
      </c>
      <c r="C184" s="94" t="s">
        <v>64</v>
      </c>
      <c r="D184" s="94" t="s">
        <v>64</v>
      </c>
      <c r="E184" s="94" t="s">
        <v>64</v>
      </c>
      <c r="F184" s="94" t="s">
        <v>64</v>
      </c>
      <c r="G184" s="94"/>
      <c r="H184" s="94"/>
    </row>
    <row r="185" spans="2:8" x14ac:dyDescent="0.15">
      <c r="B185" s="119">
        <v>180</v>
      </c>
      <c r="C185" s="100" t="s">
        <v>64</v>
      </c>
      <c r="D185" s="100" t="s">
        <v>64</v>
      </c>
      <c r="E185" s="100" t="s">
        <v>64</v>
      </c>
      <c r="F185" s="100" t="s">
        <v>64</v>
      </c>
      <c r="G185" s="100"/>
      <c r="H185" s="100"/>
    </row>
    <row r="186" spans="2:8" x14ac:dyDescent="0.15">
      <c r="B186" s="119">
        <v>181</v>
      </c>
      <c r="C186" s="94" t="s">
        <v>64</v>
      </c>
      <c r="D186" s="94" t="s">
        <v>64</v>
      </c>
      <c r="E186" s="94" t="s">
        <v>64</v>
      </c>
      <c r="F186" s="94" t="s">
        <v>64</v>
      </c>
      <c r="G186" s="94"/>
      <c r="H186" s="94"/>
    </row>
    <row r="187" spans="2:8" x14ac:dyDescent="0.15">
      <c r="B187" s="119">
        <v>182</v>
      </c>
      <c r="C187" s="100" t="s">
        <v>64</v>
      </c>
      <c r="D187" s="100" t="s">
        <v>64</v>
      </c>
      <c r="E187" s="100" t="s">
        <v>64</v>
      </c>
      <c r="F187" s="100" t="s">
        <v>64</v>
      </c>
      <c r="G187" s="100"/>
      <c r="H187" s="100"/>
    </row>
    <row r="188" spans="2:8" x14ac:dyDescent="0.15">
      <c r="B188" s="119">
        <v>183</v>
      </c>
      <c r="C188" s="94" t="s">
        <v>64</v>
      </c>
      <c r="D188" s="94" t="s">
        <v>64</v>
      </c>
      <c r="E188" s="94" t="s">
        <v>64</v>
      </c>
      <c r="F188" s="94" t="s">
        <v>64</v>
      </c>
      <c r="G188" s="94"/>
      <c r="H188" s="94"/>
    </row>
    <row r="189" spans="2:8" x14ac:dyDescent="0.15">
      <c r="B189" s="119">
        <v>184</v>
      </c>
      <c r="C189" s="100" t="s">
        <v>64</v>
      </c>
      <c r="D189" s="100" t="s">
        <v>64</v>
      </c>
      <c r="E189" s="100" t="s">
        <v>64</v>
      </c>
      <c r="F189" s="100" t="s">
        <v>64</v>
      </c>
      <c r="G189" s="100"/>
      <c r="H189" s="100"/>
    </row>
    <row r="190" spans="2:8" x14ac:dyDescent="0.15">
      <c r="B190" s="119">
        <v>185</v>
      </c>
      <c r="C190" s="94" t="s">
        <v>64</v>
      </c>
      <c r="D190" s="94" t="s">
        <v>64</v>
      </c>
      <c r="E190" s="94" t="s">
        <v>64</v>
      </c>
      <c r="F190" s="94" t="s">
        <v>64</v>
      </c>
      <c r="G190" s="94"/>
      <c r="H190" s="94"/>
    </row>
    <row r="191" spans="2:8" x14ac:dyDescent="0.15">
      <c r="B191" s="119">
        <v>186</v>
      </c>
      <c r="C191" s="100" t="s">
        <v>64</v>
      </c>
      <c r="D191" s="100" t="s">
        <v>64</v>
      </c>
      <c r="E191" s="100" t="s">
        <v>64</v>
      </c>
      <c r="F191" s="100" t="s">
        <v>64</v>
      </c>
      <c r="G191" s="100"/>
      <c r="H191" s="100"/>
    </row>
    <row r="192" spans="2:8" x14ac:dyDescent="0.15">
      <c r="B192" s="119">
        <v>187</v>
      </c>
      <c r="C192" s="94" t="s">
        <v>64</v>
      </c>
      <c r="D192" s="94" t="s">
        <v>64</v>
      </c>
      <c r="E192" s="94" t="s">
        <v>64</v>
      </c>
      <c r="F192" s="94" t="s">
        <v>64</v>
      </c>
      <c r="G192" s="94"/>
      <c r="H192" s="94"/>
    </row>
    <row r="193" spans="2:8" x14ac:dyDescent="0.15">
      <c r="B193" s="119">
        <v>188</v>
      </c>
      <c r="C193" s="100" t="s">
        <v>64</v>
      </c>
      <c r="D193" s="100" t="s">
        <v>64</v>
      </c>
      <c r="E193" s="100" t="s">
        <v>64</v>
      </c>
      <c r="F193" s="100" t="s">
        <v>64</v>
      </c>
      <c r="G193" s="100"/>
      <c r="H193" s="100"/>
    </row>
    <row r="194" spans="2:8" x14ac:dyDescent="0.15">
      <c r="B194" s="119">
        <v>189</v>
      </c>
      <c r="C194" s="94" t="s">
        <v>64</v>
      </c>
      <c r="D194" s="94" t="s">
        <v>64</v>
      </c>
      <c r="E194" s="94" t="s">
        <v>64</v>
      </c>
      <c r="F194" s="94" t="s">
        <v>64</v>
      </c>
      <c r="G194" s="94"/>
      <c r="H194" s="94"/>
    </row>
    <row r="195" spans="2:8" x14ac:dyDescent="0.15">
      <c r="B195" s="119">
        <v>190</v>
      </c>
      <c r="C195" s="100" t="s">
        <v>64</v>
      </c>
      <c r="D195" s="100" t="s">
        <v>64</v>
      </c>
      <c r="E195" s="100" t="s">
        <v>64</v>
      </c>
      <c r="F195" s="100" t="s">
        <v>64</v>
      </c>
      <c r="G195" s="100"/>
      <c r="H195" s="100"/>
    </row>
    <row r="196" spans="2:8" x14ac:dyDescent="0.15">
      <c r="B196" s="119">
        <v>191</v>
      </c>
      <c r="C196" s="94" t="s">
        <v>64</v>
      </c>
      <c r="D196" s="94" t="s">
        <v>64</v>
      </c>
      <c r="E196" s="94" t="s">
        <v>64</v>
      </c>
      <c r="F196" s="94" t="s">
        <v>64</v>
      </c>
      <c r="G196" s="94"/>
      <c r="H196" s="94"/>
    </row>
    <row r="197" spans="2:8" x14ac:dyDescent="0.15">
      <c r="B197" s="119">
        <v>192</v>
      </c>
      <c r="C197" s="100" t="s">
        <v>64</v>
      </c>
      <c r="D197" s="100" t="s">
        <v>64</v>
      </c>
      <c r="E197" s="100" t="s">
        <v>64</v>
      </c>
      <c r="F197" s="100" t="s">
        <v>64</v>
      </c>
      <c r="G197" s="100"/>
      <c r="H197" s="100"/>
    </row>
    <row r="198" spans="2:8" x14ac:dyDescent="0.15">
      <c r="B198" s="119">
        <v>193</v>
      </c>
      <c r="C198" s="94" t="s">
        <v>64</v>
      </c>
      <c r="D198" s="94" t="s">
        <v>64</v>
      </c>
      <c r="E198" s="94" t="s">
        <v>64</v>
      </c>
      <c r="F198" s="94" t="s">
        <v>64</v>
      </c>
      <c r="G198" s="94"/>
      <c r="H198" s="94"/>
    </row>
    <row r="199" spans="2:8" x14ac:dyDescent="0.15">
      <c r="B199" s="119">
        <v>194</v>
      </c>
      <c r="C199" s="100" t="s">
        <v>64</v>
      </c>
      <c r="D199" s="100" t="s">
        <v>64</v>
      </c>
      <c r="E199" s="100" t="s">
        <v>64</v>
      </c>
      <c r="F199" s="100" t="s">
        <v>64</v>
      </c>
      <c r="G199" s="100"/>
      <c r="H199" s="100"/>
    </row>
    <row r="200" spans="2:8" x14ac:dyDescent="0.15">
      <c r="B200" s="119">
        <v>195</v>
      </c>
      <c r="C200" s="94" t="s">
        <v>64</v>
      </c>
      <c r="D200" s="94" t="s">
        <v>64</v>
      </c>
      <c r="E200" s="94" t="s">
        <v>64</v>
      </c>
      <c r="F200" s="94" t="s">
        <v>64</v>
      </c>
      <c r="G200" s="94"/>
      <c r="H200" s="94"/>
    </row>
    <row r="201" spans="2:8" x14ac:dyDescent="0.15">
      <c r="B201" s="119">
        <v>196</v>
      </c>
      <c r="C201" s="100" t="s">
        <v>64</v>
      </c>
      <c r="D201" s="100" t="s">
        <v>64</v>
      </c>
      <c r="E201" s="100" t="s">
        <v>64</v>
      </c>
      <c r="F201" s="100" t="s">
        <v>64</v>
      </c>
      <c r="G201" s="100"/>
      <c r="H201" s="100"/>
    </row>
    <row r="202" spans="2:8" x14ac:dyDescent="0.15">
      <c r="B202" s="119">
        <v>197</v>
      </c>
      <c r="C202" s="94" t="s">
        <v>64</v>
      </c>
      <c r="D202" s="94" t="s">
        <v>64</v>
      </c>
      <c r="E202" s="94" t="s">
        <v>64</v>
      </c>
      <c r="F202" s="94" t="s">
        <v>64</v>
      </c>
      <c r="G202" s="94"/>
      <c r="H202" s="94"/>
    </row>
    <row r="203" spans="2:8" x14ac:dyDescent="0.15">
      <c r="B203" s="119">
        <v>198</v>
      </c>
      <c r="C203" s="100" t="s">
        <v>64</v>
      </c>
      <c r="D203" s="100" t="s">
        <v>64</v>
      </c>
      <c r="E203" s="100" t="s">
        <v>64</v>
      </c>
      <c r="F203" s="100" t="s">
        <v>64</v>
      </c>
      <c r="G203" s="100"/>
      <c r="H203" s="100"/>
    </row>
    <row r="204" spans="2:8" x14ac:dyDescent="0.15">
      <c r="B204" s="119">
        <v>199</v>
      </c>
      <c r="C204" s="94" t="s">
        <v>64</v>
      </c>
      <c r="D204" s="94" t="s">
        <v>64</v>
      </c>
      <c r="E204" s="94" t="s">
        <v>64</v>
      </c>
      <c r="F204" s="94" t="s">
        <v>64</v>
      </c>
      <c r="G204" s="94"/>
      <c r="H204" s="94"/>
    </row>
    <row r="205" spans="2:8" x14ac:dyDescent="0.15">
      <c r="B205" s="119">
        <v>200</v>
      </c>
      <c r="C205" s="100" t="s">
        <v>64</v>
      </c>
      <c r="D205" s="100" t="s">
        <v>64</v>
      </c>
      <c r="E205" s="100" t="s">
        <v>64</v>
      </c>
      <c r="F205" s="100" t="s">
        <v>64</v>
      </c>
      <c r="G205" s="100"/>
      <c r="H205" s="100"/>
    </row>
    <row r="206" spans="2:8" x14ac:dyDescent="0.15">
      <c r="B206" s="115"/>
      <c r="C206" s="116"/>
      <c r="D206" s="122" t="s">
        <v>64</v>
      </c>
      <c r="E206" s="116"/>
      <c r="F206" s="116"/>
      <c r="G206" s="116"/>
      <c r="H206" s="116"/>
    </row>
    <row r="207" spans="2:8" x14ac:dyDescent="0.15">
      <c r="D207" s="122" t="s">
        <v>64</v>
      </c>
    </row>
    <row r="208" spans="2:8" x14ac:dyDescent="0.15">
      <c r="D208" s="122" t="s">
        <v>64</v>
      </c>
    </row>
    <row r="209" spans="4:4" x14ac:dyDescent="0.15">
      <c r="D209" s="122" t="s">
        <v>64</v>
      </c>
    </row>
    <row r="210" spans="4:4" x14ac:dyDescent="0.15">
      <c r="D210" s="122" t="s">
        <v>64</v>
      </c>
    </row>
    <row r="211" spans="4:4" x14ac:dyDescent="0.15">
      <c r="D211" s="122" t="s">
        <v>64</v>
      </c>
    </row>
    <row r="212" spans="4:4" x14ac:dyDescent="0.15">
      <c r="D212" s="122" t="s">
        <v>64</v>
      </c>
    </row>
    <row r="213" spans="4:4" x14ac:dyDescent="0.15">
      <c r="D213" s="122" t="s">
        <v>64</v>
      </c>
    </row>
    <row r="214" spans="4:4" x14ac:dyDescent="0.15">
      <c r="D214" s="122" t="s">
        <v>64</v>
      </c>
    </row>
    <row r="215" spans="4:4" x14ac:dyDescent="0.15">
      <c r="D215" s="122" t="s">
        <v>64</v>
      </c>
    </row>
    <row r="216" spans="4:4" x14ac:dyDescent="0.15">
      <c r="D216" s="122" t="s">
        <v>64</v>
      </c>
    </row>
    <row r="217" spans="4:4" x14ac:dyDescent="0.15">
      <c r="D217" s="122" t="s">
        <v>64</v>
      </c>
    </row>
    <row r="218" spans="4:4" x14ac:dyDescent="0.15">
      <c r="D218" s="122" t="s">
        <v>64</v>
      </c>
    </row>
    <row r="219" spans="4:4" x14ac:dyDescent="0.15">
      <c r="D219" s="122" t="s">
        <v>64</v>
      </c>
    </row>
    <row r="220" spans="4:4" x14ac:dyDescent="0.15">
      <c r="D220" s="122" t="s">
        <v>64</v>
      </c>
    </row>
    <row r="221" spans="4:4" x14ac:dyDescent="0.15">
      <c r="D221" s="122" t="s">
        <v>64</v>
      </c>
    </row>
    <row r="222" spans="4:4" x14ac:dyDescent="0.15">
      <c r="D222" s="122" t="s">
        <v>64</v>
      </c>
    </row>
    <row r="223" spans="4:4" x14ac:dyDescent="0.15">
      <c r="D223" s="122" t="s">
        <v>64</v>
      </c>
    </row>
    <row r="224" spans="4:4" x14ac:dyDescent="0.15">
      <c r="D224" s="122" t="s">
        <v>64</v>
      </c>
    </row>
    <row r="225" spans="4:4" x14ac:dyDescent="0.15">
      <c r="D225" s="122" t="s">
        <v>64</v>
      </c>
    </row>
    <row r="226" spans="4:4" x14ac:dyDescent="0.15">
      <c r="D226" s="122" t="s">
        <v>64</v>
      </c>
    </row>
    <row r="227" spans="4:4" x14ac:dyDescent="0.15">
      <c r="D227" s="122" t="s">
        <v>64</v>
      </c>
    </row>
    <row r="228" spans="4:4" x14ac:dyDescent="0.15">
      <c r="D228" s="122" t="s">
        <v>64</v>
      </c>
    </row>
    <row r="229" spans="4:4" x14ac:dyDescent="0.15">
      <c r="D229" s="122" t="s">
        <v>64</v>
      </c>
    </row>
    <row r="230" spans="4:4" x14ac:dyDescent="0.15">
      <c r="D230" s="122" t="s">
        <v>64</v>
      </c>
    </row>
    <row r="231" spans="4:4" x14ac:dyDescent="0.15">
      <c r="D231" s="122" t="s">
        <v>64</v>
      </c>
    </row>
    <row r="232" spans="4:4" x14ac:dyDescent="0.15">
      <c r="D232" s="122" t="s">
        <v>64</v>
      </c>
    </row>
    <row r="233" spans="4:4" x14ac:dyDescent="0.15">
      <c r="D233" s="122" t="s">
        <v>64</v>
      </c>
    </row>
    <row r="234" spans="4:4" x14ac:dyDescent="0.15">
      <c r="D234" s="122" t="s">
        <v>64</v>
      </c>
    </row>
    <row r="235" spans="4:4" x14ac:dyDescent="0.15">
      <c r="D235" s="122" t="s">
        <v>64</v>
      </c>
    </row>
    <row r="236" spans="4:4" x14ac:dyDescent="0.15">
      <c r="D236" s="122" t="s">
        <v>64</v>
      </c>
    </row>
    <row r="237" spans="4:4" x14ac:dyDescent="0.15">
      <c r="D237" s="122" t="s">
        <v>64</v>
      </c>
    </row>
    <row r="238" spans="4:4" x14ac:dyDescent="0.15">
      <c r="D238" s="122" t="s">
        <v>64</v>
      </c>
    </row>
    <row r="239" spans="4:4" x14ac:dyDescent="0.15">
      <c r="D239" s="122" t="s">
        <v>64</v>
      </c>
    </row>
    <row r="240" spans="4:4" x14ac:dyDescent="0.15">
      <c r="D240" s="122" t="s">
        <v>64</v>
      </c>
    </row>
    <row r="241" spans="4:4" x14ac:dyDescent="0.15">
      <c r="D241" s="122" t="s">
        <v>64</v>
      </c>
    </row>
    <row r="242" spans="4:4" x14ac:dyDescent="0.15">
      <c r="D242" s="122" t="s">
        <v>64</v>
      </c>
    </row>
    <row r="243" spans="4:4" x14ac:dyDescent="0.15">
      <c r="D243" s="122" t="s">
        <v>64</v>
      </c>
    </row>
    <row r="244" spans="4:4" x14ac:dyDescent="0.15">
      <c r="D244" s="122" t="s">
        <v>64</v>
      </c>
    </row>
    <row r="245" spans="4:4" x14ac:dyDescent="0.15">
      <c r="D245" s="122" t="s">
        <v>64</v>
      </c>
    </row>
    <row r="246" spans="4:4" x14ac:dyDescent="0.15">
      <c r="D246" s="122" t="s">
        <v>64</v>
      </c>
    </row>
    <row r="247" spans="4:4" x14ac:dyDescent="0.15">
      <c r="D247" s="122" t="s">
        <v>64</v>
      </c>
    </row>
    <row r="248" spans="4:4" x14ac:dyDescent="0.15">
      <c r="D248" s="122" t="s">
        <v>64</v>
      </c>
    </row>
    <row r="249" spans="4:4" x14ac:dyDescent="0.15">
      <c r="D249" s="122" t="s">
        <v>64</v>
      </c>
    </row>
    <row r="250" spans="4:4" x14ac:dyDescent="0.15">
      <c r="D250" s="122" t="s">
        <v>64</v>
      </c>
    </row>
    <row r="251" spans="4:4" x14ac:dyDescent="0.15">
      <c r="D251" s="122" t="s">
        <v>64</v>
      </c>
    </row>
    <row r="252" spans="4:4" x14ac:dyDescent="0.15">
      <c r="D252" s="122" t="s">
        <v>64</v>
      </c>
    </row>
    <row r="253" spans="4:4" x14ac:dyDescent="0.15">
      <c r="D253" s="122" t="s">
        <v>64</v>
      </c>
    </row>
    <row r="254" spans="4:4" x14ac:dyDescent="0.15">
      <c r="D254" s="122" t="s">
        <v>64</v>
      </c>
    </row>
    <row r="255" spans="4:4" x14ac:dyDescent="0.15">
      <c r="D255" s="122" t="s">
        <v>64</v>
      </c>
    </row>
    <row r="256" spans="4:4" x14ac:dyDescent="0.15">
      <c r="D256" s="122" t="s">
        <v>64</v>
      </c>
    </row>
    <row r="257" spans="4:4" x14ac:dyDescent="0.15">
      <c r="D257" s="122" t="s">
        <v>64</v>
      </c>
    </row>
    <row r="258" spans="4:4" x14ac:dyDescent="0.15">
      <c r="D258" s="122" t="s">
        <v>64</v>
      </c>
    </row>
    <row r="259" spans="4:4" x14ac:dyDescent="0.15">
      <c r="D259" s="122" t="s">
        <v>64</v>
      </c>
    </row>
    <row r="260" spans="4:4" x14ac:dyDescent="0.15">
      <c r="D260" s="122" t="s">
        <v>64</v>
      </c>
    </row>
    <row r="261" spans="4:4" x14ac:dyDescent="0.15">
      <c r="D261" s="122" t="s">
        <v>64</v>
      </c>
    </row>
    <row r="262" spans="4:4" x14ac:dyDescent="0.15">
      <c r="D262" s="122" t="s">
        <v>64</v>
      </c>
    </row>
    <row r="263" spans="4:4" x14ac:dyDescent="0.15">
      <c r="D263" s="122" t="s">
        <v>64</v>
      </c>
    </row>
    <row r="264" spans="4:4" x14ac:dyDescent="0.15">
      <c r="D264" s="122" t="s">
        <v>64</v>
      </c>
    </row>
    <row r="265" spans="4:4" x14ac:dyDescent="0.15">
      <c r="D265" s="122" t="s">
        <v>64</v>
      </c>
    </row>
    <row r="266" spans="4:4" x14ac:dyDescent="0.15">
      <c r="D266" s="122" t="s">
        <v>64</v>
      </c>
    </row>
    <row r="267" spans="4:4" x14ac:dyDescent="0.15">
      <c r="D267" s="122" t="s">
        <v>64</v>
      </c>
    </row>
    <row r="268" spans="4:4" x14ac:dyDescent="0.15">
      <c r="D268" s="122" t="s">
        <v>64</v>
      </c>
    </row>
    <row r="269" spans="4:4" x14ac:dyDescent="0.15">
      <c r="D269" s="122" t="s">
        <v>64</v>
      </c>
    </row>
    <row r="270" spans="4:4" x14ac:dyDescent="0.15">
      <c r="D270" s="122" t="s">
        <v>64</v>
      </c>
    </row>
    <row r="271" spans="4:4" x14ac:dyDescent="0.15">
      <c r="D271" s="122" t="s">
        <v>64</v>
      </c>
    </row>
    <row r="272" spans="4:4" x14ac:dyDescent="0.15">
      <c r="D272" s="122" t="s">
        <v>64</v>
      </c>
    </row>
    <row r="273" spans="4:4" x14ac:dyDescent="0.15">
      <c r="D273" s="122" t="s">
        <v>64</v>
      </c>
    </row>
    <row r="274" spans="4:4" x14ac:dyDescent="0.15">
      <c r="D274" s="122" t="s">
        <v>64</v>
      </c>
    </row>
    <row r="275" spans="4:4" x14ac:dyDescent="0.15">
      <c r="D275" s="122" t="s">
        <v>64</v>
      </c>
    </row>
    <row r="276" spans="4:4" x14ac:dyDescent="0.15">
      <c r="D276" s="122" t="s">
        <v>64</v>
      </c>
    </row>
    <row r="277" spans="4:4" x14ac:dyDescent="0.15">
      <c r="D277" s="122" t="s">
        <v>64</v>
      </c>
    </row>
    <row r="278" spans="4:4" x14ac:dyDescent="0.15">
      <c r="D278" s="122" t="s">
        <v>64</v>
      </c>
    </row>
    <row r="279" spans="4:4" x14ac:dyDescent="0.15">
      <c r="D279" s="122" t="s">
        <v>64</v>
      </c>
    </row>
    <row r="280" spans="4:4" x14ac:dyDescent="0.15">
      <c r="D280" s="122" t="s">
        <v>64</v>
      </c>
    </row>
    <row r="281" spans="4:4" x14ac:dyDescent="0.15">
      <c r="D281" s="122" t="s">
        <v>64</v>
      </c>
    </row>
    <row r="282" spans="4:4" x14ac:dyDescent="0.15">
      <c r="D282" s="122" t="s">
        <v>64</v>
      </c>
    </row>
    <row r="283" spans="4:4" x14ac:dyDescent="0.15">
      <c r="D283" s="122" t="s">
        <v>64</v>
      </c>
    </row>
    <row r="284" spans="4:4" x14ac:dyDescent="0.15">
      <c r="D284" s="122" t="s">
        <v>64</v>
      </c>
    </row>
    <row r="285" spans="4:4" x14ac:dyDescent="0.15">
      <c r="D285" s="122" t="s">
        <v>64</v>
      </c>
    </row>
    <row r="286" spans="4:4" x14ac:dyDescent="0.15">
      <c r="D286" s="122" t="s">
        <v>64</v>
      </c>
    </row>
    <row r="287" spans="4:4" x14ac:dyDescent="0.15">
      <c r="D287" s="122" t="s">
        <v>64</v>
      </c>
    </row>
    <row r="288" spans="4:4" x14ac:dyDescent="0.15">
      <c r="D288" s="122" t="s">
        <v>64</v>
      </c>
    </row>
    <row r="289" spans="4:4" x14ac:dyDescent="0.15">
      <c r="D289" s="122" t="s">
        <v>64</v>
      </c>
    </row>
    <row r="290" spans="4:4" x14ac:dyDescent="0.15">
      <c r="D290" s="122" t="s">
        <v>64</v>
      </c>
    </row>
    <row r="291" spans="4:4" x14ac:dyDescent="0.15">
      <c r="D291" s="122" t="s">
        <v>64</v>
      </c>
    </row>
    <row r="292" spans="4:4" x14ac:dyDescent="0.15">
      <c r="D292" s="122" t="s">
        <v>64</v>
      </c>
    </row>
    <row r="293" spans="4:4" x14ac:dyDescent="0.15">
      <c r="D293" s="122" t="s">
        <v>64</v>
      </c>
    </row>
    <row r="294" spans="4:4" x14ac:dyDescent="0.15">
      <c r="D294" s="122" t="s">
        <v>64</v>
      </c>
    </row>
    <row r="295" spans="4:4" x14ac:dyDescent="0.15">
      <c r="D295" s="122" t="s">
        <v>64</v>
      </c>
    </row>
    <row r="296" spans="4:4" x14ac:dyDescent="0.15">
      <c r="D296" s="122" t="s">
        <v>64</v>
      </c>
    </row>
    <row r="297" spans="4:4" x14ac:dyDescent="0.15">
      <c r="D297" s="122" t="s">
        <v>64</v>
      </c>
    </row>
    <row r="298" spans="4:4" x14ac:dyDescent="0.15">
      <c r="D298" s="122" t="s">
        <v>64</v>
      </c>
    </row>
    <row r="299" spans="4:4" x14ac:dyDescent="0.15">
      <c r="D299" s="122" t="s">
        <v>64</v>
      </c>
    </row>
    <row r="300" spans="4:4" x14ac:dyDescent="0.15">
      <c r="D300" s="122" t="s">
        <v>64</v>
      </c>
    </row>
    <row r="301" spans="4:4" x14ac:dyDescent="0.15">
      <c r="D301" s="122" t="s">
        <v>64</v>
      </c>
    </row>
    <row r="302" spans="4:4" x14ac:dyDescent="0.15">
      <c r="D302" s="122" t="s">
        <v>64</v>
      </c>
    </row>
    <row r="303" spans="4:4" x14ac:dyDescent="0.15">
      <c r="D303" s="122" t="s">
        <v>64</v>
      </c>
    </row>
    <row r="304" spans="4:4" x14ac:dyDescent="0.15">
      <c r="D304" s="122" t="s">
        <v>64</v>
      </c>
    </row>
    <row r="305" spans="4:4" x14ac:dyDescent="0.15">
      <c r="D305" s="122" t="s">
        <v>64</v>
      </c>
    </row>
    <row r="306" spans="4:4" x14ac:dyDescent="0.15">
      <c r="D306" s="122" t="s">
        <v>64</v>
      </c>
    </row>
    <row r="307" spans="4:4" x14ac:dyDescent="0.15">
      <c r="D307" s="122" t="s">
        <v>64</v>
      </c>
    </row>
    <row r="308" spans="4:4" x14ac:dyDescent="0.15">
      <c r="D308" s="122" t="s">
        <v>64</v>
      </c>
    </row>
    <row r="309" spans="4:4" x14ac:dyDescent="0.15">
      <c r="D309" s="122" t="s">
        <v>64</v>
      </c>
    </row>
    <row r="310" spans="4:4" x14ac:dyDescent="0.15">
      <c r="D310" s="122" t="s">
        <v>64</v>
      </c>
    </row>
    <row r="311" spans="4:4" x14ac:dyDescent="0.15">
      <c r="D311" s="122" t="s">
        <v>64</v>
      </c>
    </row>
    <row r="312" spans="4:4" x14ac:dyDescent="0.15">
      <c r="D312" s="122" t="s">
        <v>64</v>
      </c>
    </row>
    <row r="313" spans="4:4" x14ac:dyDescent="0.15">
      <c r="D313" s="122" t="s">
        <v>64</v>
      </c>
    </row>
    <row r="314" spans="4:4" x14ac:dyDescent="0.15">
      <c r="D314" s="122" t="s">
        <v>64</v>
      </c>
    </row>
    <row r="315" spans="4:4" x14ac:dyDescent="0.15">
      <c r="D315" s="122" t="s">
        <v>64</v>
      </c>
    </row>
    <row r="316" spans="4:4" x14ac:dyDescent="0.15">
      <c r="D316" s="122" t="s">
        <v>64</v>
      </c>
    </row>
    <row r="317" spans="4:4" x14ac:dyDescent="0.15">
      <c r="D317" s="122" t="s">
        <v>64</v>
      </c>
    </row>
    <row r="318" spans="4:4" x14ac:dyDescent="0.15">
      <c r="D318" s="122" t="s">
        <v>64</v>
      </c>
    </row>
    <row r="319" spans="4:4" x14ac:dyDescent="0.15">
      <c r="D319" s="122" t="s">
        <v>64</v>
      </c>
    </row>
    <row r="320" spans="4:4" x14ac:dyDescent="0.15">
      <c r="D320" s="122" t="s">
        <v>64</v>
      </c>
    </row>
    <row r="321" spans="4:4" x14ac:dyDescent="0.15">
      <c r="D321" s="122" t="s">
        <v>64</v>
      </c>
    </row>
    <row r="322" spans="4:4" x14ac:dyDescent="0.15">
      <c r="D322" s="122" t="s">
        <v>64</v>
      </c>
    </row>
    <row r="323" spans="4:4" x14ac:dyDescent="0.15">
      <c r="D323" s="122" t="s">
        <v>64</v>
      </c>
    </row>
    <row r="324" spans="4:4" x14ac:dyDescent="0.15">
      <c r="D324" s="122" t="s">
        <v>64</v>
      </c>
    </row>
    <row r="325" spans="4:4" x14ac:dyDescent="0.15">
      <c r="D325" s="122" t="s">
        <v>64</v>
      </c>
    </row>
    <row r="326" spans="4:4" x14ac:dyDescent="0.15">
      <c r="D326" s="122" t="s">
        <v>64</v>
      </c>
    </row>
    <row r="327" spans="4:4" x14ac:dyDescent="0.15">
      <c r="D327" s="122" t="s">
        <v>64</v>
      </c>
    </row>
    <row r="328" spans="4:4" x14ac:dyDescent="0.15">
      <c r="D328" s="122" t="s">
        <v>64</v>
      </c>
    </row>
    <row r="329" spans="4:4" x14ac:dyDescent="0.15">
      <c r="D329" s="122" t="s">
        <v>64</v>
      </c>
    </row>
    <row r="330" spans="4:4" x14ac:dyDescent="0.15">
      <c r="D330" s="122" t="s">
        <v>64</v>
      </c>
    </row>
    <row r="331" spans="4:4" x14ac:dyDescent="0.15">
      <c r="D331" s="122" t="s">
        <v>64</v>
      </c>
    </row>
    <row r="332" spans="4:4" x14ac:dyDescent="0.15">
      <c r="D332" s="122" t="s">
        <v>64</v>
      </c>
    </row>
    <row r="333" spans="4:4" x14ac:dyDescent="0.15">
      <c r="D333" s="122" t="s">
        <v>64</v>
      </c>
    </row>
    <row r="334" spans="4:4" x14ac:dyDescent="0.15">
      <c r="D334" s="122" t="s">
        <v>64</v>
      </c>
    </row>
    <row r="335" spans="4:4" x14ac:dyDescent="0.15">
      <c r="D335" s="122" t="s">
        <v>64</v>
      </c>
    </row>
    <row r="336" spans="4:4" x14ac:dyDescent="0.15">
      <c r="D336" s="122" t="s">
        <v>64</v>
      </c>
    </row>
    <row r="337" spans="4:4" x14ac:dyDescent="0.15">
      <c r="D337" s="122" t="s">
        <v>64</v>
      </c>
    </row>
    <row r="338" spans="4:4" x14ac:dyDescent="0.15">
      <c r="D338" s="122" t="s">
        <v>64</v>
      </c>
    </row>
    <row r="339" spans="4:4" x14ac:dyDescent="0.15">
      <c r="D339" s="122" t="s">
        <v>64</v>
      </c>
    </row>
    <row r="340" spans="4:4" x14ac:dyDescent="0.15">
      <c r="D340" s="122" t="s">
        <v>64</v>
      </c>
    </row>
    <row r="341" spans="4:4" x14ac:dyDescent="0.15">
      <c r="D341" s="122" t="s">
        <v>64</v>
      </c>
    </row>
    <row r="342" spans="4:4" x14ac:dyDescent="0.15">
      <c r="D342" s="122" t="s">
        <v>64</v>
      </c>
    </row>
    <row r="343" spans="4:4" x14ac:dyDescent="0.15">
      <c r="D343" s="122" t="s">
        <v>64</v>
      </c>
    </row>
    <row r="344" spans="4:4" x14ac:dyDescent="0.15">
      <c r="D344" s="122" t="s">
        <v>64</v>
      </c>
    </row>
    <row r="345" spans="4:4" x14ac:dyDescent="0.15">
      <c r="D345" s="122" t="s">
        <v>64</v>
      </c>
    </row>
    <row r="346" spans="4:4" x14ac:dyDescent="0.15">
      <c r="D346" s="122" t="s">
        <v>64</v>
      </c>
    </row>
    <row r="347" spans="4:4" x14ac:dyDescent="0.15">
      <c r="D347" s="122" t="s">
        <v>64</v>
      </c>
    </row>
    <row r="348" spans="4:4" x14ac:dyDescent="0.15">
      <c r="D348" s="122" t="s">
        <v>64</v>
      </c>
    </row>
    <row r="349" spans="4:4" x14ac:dyDescent="0.15">
      <c r="D349" s="122" t="s">
        <v>64</v>
      </c>
    </row>
    <row r="350" spans="4:4" x14ac:dyDescent="0.15">
      <c r="D350" s="122" t="s">
        <v>64</v>
      </c>
    </row>
    <row r="351" spans="4:4" x14ac:dyDescent="0.15">
      <c r="D351" s="122" t="s">
        <v>64</v>
      </c>
    </row>
    <row r="352" spans="4:4" x14ac:dyDescent="0.15">
      <c r="D352" s="122" t="s">
        <v>64</v>
      </c>
    </row>
    <row r="353" spans="4:4" x14ac:dyDescent="0.15">
      <c r="D353" s="122" t="s">
        <v>64</v>
      </c>
    </row>
    <row r="354" spans="4:4" x14ac:dyDescent="0.15">
      <c r="D354" s="122" t="s">
        <v>64</v>
      </c>
    </row>
    <row r="355" spans="4:4" x14ac:dyDescent="0.15">
      <c r="D355" s="122" t="s">
        <v>64</v>
      </c>
    </row>
    <row r="356" spans="4:4" x14ac:dyDescent="0.15">
      <c r="D356" s="122" t="s">
        <v>64</v>
      </c>
    </row>
    <row r="357" spans="4:4" x14ac:dyDescent="0.15">
      <c r="D357" s="122" t="s">
        <v>64</v>
      </c>
    </row>
    <row r="358" spans="4:4" x14ac:dyDescent="0.15">
      <c r="D358" s="122" t="s">
        <v>64</v>
      </c>
    </row>
    <row r="359" spans="4:4" x14ac:dyDescent="0.15">
      <c r="D359" s="122" t="s">
        <v>64</v>
      </c>
    </row>
    <row r="360" spans="4:4" x14ac:dyDescent="0.15">
      <c r="D360" s="122" t="s">
        <v>64</v>
      </c>
    </row>
    <row r="361" spans="4:4" x14ac:dyDescent="0.15">
      <c r="D361" s="122" t="s">
        <v>64</v>
      </c>
    </row>
    <row r="362" spans="4:4" x14ac:dyDescent="0.15">
      <c r="D362" s="122" t="s">
        <v>64</v>
      </c>
    </row>
    <row r="363" spans="4:4" x14ac:dyDescent="0.15">
      <c r="D363" s="122" t="s">
        <v>64</v>
      </c>
    </row>
    <row r="364" spans="4:4" x14ac:dyDescent="0.15">
      <c r="D364" s="122" t="s">
        <v>64</v>
      </c>
    </row>
    <row r="365" spans="4:4" x14ac:dyDescent="0.15">
      <c r="D365" s="122" t="s">
        <v>64</v>
      </c>
    </row>
    <row r="366" spans="4:4" x14ac:dyDescent="0.15">
      <c r="D366" s="122" t="s">
        <v>64</v>
      </c>
    </row>
    <row r="367" spans="4:4" x14ac:dyDescent="0.15">
      <c r="D367" s="122" t="s">
        <v>64</v>
      </c>
    </row>
    <row r="368" spans="4:4" x14ac:dyDescent="0.15">
      <c r="D368" s="122" t="s">
        <v>64</v>
      </c>
    </row>
    <row r="369" spans="4:4" x14ac:dyDescent="0.15">
      <c r="D369" s="122" t="s">
        <v>64</v>
      </c>
    </row>
    <row r="370" spans="4:4" x14ac:dyDescent="0.15">
      <c r="D370" s="122" t="s">
        <v>64</v>
      </c>
    </row>
    <row r="371" spans="4:4" x14ac:dyDescent="0.15">
      <c r="D371" s="122" t="s">
        <v>64</v>
      </c>
    </row>
    <row r="372" spans="4:4" x14ac:dyDescent="0.15">
      <c r="D372" s="122" t="s">
        <v>64</v>
      </c>
    </row>
    <row r="373" spans="4:4" x14ac:dyDescent="0.15">
      <c r="D373" s="122" t="s">
        <v>64</v>
      </c>
    </row>
    <row r="374" spans="4:4" x14ac:dyDescent="0.15">
      <c r="D374" s="122" t="s">
        <v>64</v>
      </c>
    </row>
    <row r="375" spans="4:4" x14ac:dyDescent="0.15">
      <c r="D375" s="122" t="s">
        <v>64</v>
      </c>
    </row>
    <row r="376" spans="4:4" x14ac:dyDescent="0.15">
      <c r="D376" s="122" t="s">
        <v>64</v>
      </c>
    </row>
    <row r="377" spans="4:4" x14ac:dyDescent="0.15">
      <c r="D377" s="122" t="s">
        <v>64</v>
      </c>
    </row>
    <row r="378" spans="4:4" x14ac:dyDescent="0.15">
      <c r="D378" s="122" t="s">
        <v>64</v>
      </c>
    </row>
    <row r="379" spans="4:4" x14ac:dyDescent="0.15">
      <c r="D379" s="122" t="s">
        <v>64</v>
      </c>
    </row>
    <row r="380" spans="4:4" x14ac:dyDescent="0.15">
      <c r="D380" s="122" t="s">
        <v>64</v>
      </c>
    </row>
    <row r="381" spans="4:4" x14ac:dyDescent="0.15">
      <c r="D381" s="122" t="s">
        <v>64</v>
      </c>
    </row>
    <row r="382" spans="4:4" x14ac:dyDescent="0.15">
      <c r="D382" s="122" t="s">
        <v>64</v>
      </c>
    </row>
    <row r="383" spans="4:4" x14ac:dyDescent="0.15">
      <c r="D383" s="122" t="s">
        <v>64</v>
      </c>
    </row>
    <row r="384" spans="4:4" x14ac:dyDescent="0.15">
      <c r="D384" s="122" t="s">
        <v>64</v>
      </c>
    </row>
    <row r="385" spans="4:4" x14ac:dyDescent="0.15">
      <c r="D385" s="122" t="s">
        <v>64</v>
      </c>
    </row>
    <row r="386" spans="4:4" x14ac:dyDescent="0.15">
      <c r="D386" s="122" t="s">
        <v>64</v>
      </c>
    </row>
    <row r="387" spans="4:4" x14ac:dyDescent="0.15">
      <c r="D387" s="122" t="s">
        <v>64</v>
      </c>
    </row>
    <row r="388" spans="4:4" x14ac:dyDescent="0.15">
      <c r="D388" s="122" t="s">
        <v>64</v>
      </c>
    </row>
    <row r="389" spans="4:4" x14ac:dyDescent="0.15">
      <c r="D389" s="122" t="s">
        <v>64</v>
      </c>
    </row>
    <row r="390" spans="4:4" x14ac:dyDescent="0.15">
      <c r="D390" s="122" t="s">
        <v>64</v>
      </c>
    </row>
    <row r="391" spans="4:4" x14ac:dyDescent="0.15">
      <c r="D391" s="122" t="s">
        <v>64</v>
      </c>
    </row>
    <row r="392" spans="4:4" x14ac:dyDescent="0.15">
      <c r="D392" s="122" t="s">
        <v>64</v>
      </c>
    </row>
    <row r="393" spans="4:4" x14ac:dyDescent="0.15">
      <c r="D393" s="122" t="s">
        <v>64</v>
      </c>
    </row>
    <row r="394" spans="4:4" x14ac:dyDescent="0.15">
      <c r="D394" s="122" t="s">
        <v>64</v>
      </c>
    </row>
    <row r="395" spans="4:4" x14ac:dyDescent="0.15">
      <c r="D395" s="122" t="s">
        <v>64</v>
      </c>
    </row>
    <row r="396" spans="4:4" x14ac:dyDescent="0.15">
      <c r="D396" s="122" t="s">
        <v>64</v>
      </c>
    </row>
    <row r="397" spans="4:4" x14ac:dyDescent="0.15">
      <c r="D397" s="122" t="s">
        <v>64</v>
      </c>
    </row>
    <row r="398" spans="4:4" x14ac:dyDescent="0.15">
      <c r="D398" s="122" t="s">
        <v>64</v>
      </c>
    </row>
    <row r="399" spans="4:4" x14ac:dyDescent="0.15">
      <c r="D399" s="122" t="s">
        <v>64</v>
      </c>
    </row>
    <row r="400" spans="4:4" x14ac:dyDescent="0.15">
      <c r="D400" s="122" t="s">
        <v>64</v>
      </c>
    </row>
    <row r="401" spans="4:4" x14ac:dyDescent="0.15">
      <c r="D401" s="122" t="s">
        <v>64</v>
      </c>
    </row>
    <row r="402" spans="4:4" x14ac:dyDescent="0.15">
      <c r="D402" s="122" t="s">
        <v>64</v>
      </c>
    </row>
    <row r="403" spans="4:4" x14ac:dyDescent="0.15">
      <c r="D403" s="122" t="s">
        <v>64</v>
      </c>
    </row>
    <row r="404" spans="4:4" x14ac:dyDescent="0.15">
      <c r="D404" s="122" t="s">
        <v>64</v>
      </c>
    </row>
    <row r="405" spans="4:4" x14ac:dyDescent="0.15">
      <c r="D405" s="122" t="s">
        <v>64</v>
      </c>
    </row>
    <row r="406" spans="4:4" x14ac:dyDescent="0.15">
      <c r="D406" s="122" t="s">
        <v>64</v>
      </c>
    </row>
    <row r="407" spans="4:4" x14ac:dyDescent="0.15">
      <c r="D407" s="122" t="s">
        <v>64</v>
      </c>
    </row>
    <row r="408" spans="4:4" x14ac:dyDescent="0.15">
      <c r="D408" s="122" t="s">
        <v>64</v>
      </c>
    </row>
    <row r="409" spans="4:4" x14ac:dyDescent="0.15">
      <c r="D409" s="122" t="s">
        <v>64</v>
      </c>
    </row>
    <row r="410" spans="4:4" x14ac:dyDescent="0.15">
      <c r="D410" s="122" t="s">
        <v>64</v>
      </c>
    </row>
    <row r="411" spans="4:4" x14ac:dyDescent="0.15">
      <c r="D411" s="122" t="s">
        <v>64</v>
      </c>
    </row>
    <row r="412" spans="4:4" x14ac:dyDescent="0.15">
      <c r="D412" s="122" t="s">
        <v>64</v>
      </c>
    </row>
    <row r="413" spans="4:4" x14ac:dyDescent="0.15">
      <c r="D413" s="122" t="s">
        <v>64</v>
      </c>
    </row>
    <row r="414" spans="4:4" x14ac:dyDescent="0.15">
      <c r="D414" s="122" t="s">
        <v>64</v>
      </c>
    </row>
    <row r="415" spans="4:4" x14ac:dyDescent="0.15">
      <c r="D415" s="122" t="s">
        <v>64</v>
      </c>
    </row>
    <row r="416" spans="4:4" x14ac:dyDescent="0.15">
      <c r="D416" s="122" t="s">
        <v>64</v>
      </c>
    </row>
    <row r="417" spans="4:4" x14ac:dyDescent="0.15">
      <c r="D417" s="122" t="s">
        <v>64</v>
      </c>
    </row>
    <row r="418" spans="4:4" x14ac:dyDescent="0.15">
      <c r="D418" s="122" t="s">
        <v>64</v>
      </c>
    </row>
    <row r="419" spans="4:4" x14ac:dyDescent="0.15">
      <c r="D419" s="122" t="s">
        <v>64</v>
      </c>
    </row>
    <row r="420" spans="4:4" x14ac:dyDescent="0.15">
      <c r="D420" s="122" t="s">
        <v>64</v>
      </c>
    </row>
    <row r="421" spans="4:4" x14ac:dyDescent="0.15">
      <c r="D421" s="122" t="s">
        <v>64</v>
      </c>
    </row>
    <row r="422" spans="4:4" x14ac:dyDescent="0.15">
      <c r="D422" s="122" t="s">
        <v>64</v>
      </c>
    </row>
    <row r="423" spans="4:4" x14ac:dyDescent="0.15">
      <c r="D423" s="122" t="s">
        <v>64</v>
      </c>
    </row>
    <row r="424" spans="4:4" x14ac:dyDescent="0.15">
      <c r="D424" s="122" t="s">
        <v>64</v>
      </c>
    </row>
    <row r="425" spans="4:4" x14ac:dyDescent="0.15">
      <c r="D425" s="122" t="s">
        <v>64</v>
      </c>
    </row>
    <row r="426" spans="4:4" x14ac:dyDescent="0.15">
      <c r="D426" s="122" t="s">
        <v>64</v>
      </c>
    </row>
    <row r="427" spans="4:4" x14ac:dyDescent="0.15">
      <c r="D427" s="122" t="s">
        <v>64</v>
      </c>
    </row>
    <row r="428" spans="4:4" x14ac:dyDescent="0.15">
      <c r="D428" s="122" t="s">
        <v>64</v>
      </c>
    </row>
    <row r="429" spans="4:4" x14ac:dyDescent="0.15">
      <c r="D429" s="122" t="s">
        <v>64</v>
      </c>
    </row>
    <row r="430" spans="4:4" x14ac:dyDescent="0.15">
      <c r="D430" s="122" t="s">
        <v>64</v>
      </c>
    </row>
    <row r="431" spans="4:4" x14ac:dyDescent="0.15">
      <c r="D431" s="122" t="s">
        <v>64</v>
      </c>
    </row>
    <row r="432" spans="4:4" x14ac:dyDescent="0.15">
      <c r="D432" s="122" t="s">
        <v>64</v>
      </c>
    </row>
    <row r="433" spans="4:4" x14ac:dyDescent="0.15">
      <c r="D433" s="122" t="s">
        <v>64</v>
      </c>
    </row>
    <row r="434" spans="4:4" x14ac:dyDescent="0.15">
      <c r="D434" s="122" t="s">
        <v>64</v>
      </c>
    </row>
    <row r="435" spans="4:4" x14ac:dyDescent="0.15">
      <c r="D435" s="122" t="s">
        <v>64</v>
      </c>
    </row>
    <row r="436" spans="4:4" x14ac:dyDescent="0.15">
      <c r="D436" s="122" t="s">
        <v>64</v>
      </c>
    </row>
    <row r="437" spans="4:4" x14ac:dyDescent="0.15">
      <c r="D437" s="122" t="s">
        <v>64</v>
      </c>
    </row>
    <row r="438" spans="4:4" x14ac:dyDescent="0.15">
      <c r="D438" s="122" t="s">
        <v>64</v>
      </c>
    </row>
    <row r="439" spans="4:4" x14ac:dyDescent="0.15">
      <c r="D439" s="122" t="s">
        <v>64</v>
      </c>
    </row>
    <row r="440" spans="4:4" x14ac:dyDescent="0.15">
      <c r="D440" s="122" t="s">
        <v>64</v>
      </c>
    </row>
    <row r="441" spans="4:4" x14ac:dyDescent="0.15">
      <c r="D441" s="122" t="s">
        <v>64</v>
      </c>
    </row>
    <row r="442" spans="4:4" x14ac:dyDescent="0.15">
      <c r="D442" s="122" t="s">
        <v>64</v>
      </c>
    </row>
    <row r="443" spans="4:4" x14ac:dyDescent="0.15">
      <c r="D443" s="122" t="s">
        <v>64</v>
      </c>
    </row>
    <row r="444" spans="4:4" x14ac:dyDescent="0.15">
      <c r="D444" s="122" t="s">
        <v>64</v>
      </c>
    </row>
    <row r="445" spans="4:4" x14ac:dyDescent="0.15">
      <c r="D445" s="122" t="s">
        <v>64</v>
      </c>
    </row>
    <row r="446" spans="4:4" x14ac:dyDescent="0.15">
      <c r="D446" s="122" t="s">
        <v>64</v>
      </c>
    </row>
    <row r="447" spans="4:4" x14ac:dyDescent="0.15">
      <c r="D447" s="122" t="s">
        <v>64</v>
      </c>
    </row>
    <row r="448" spans="4:4" x14ac:dyDescent="0.15">
      <c r="D448" s="122" t="s">
        <v>64</v>
      </c>
    </row>
    <row r="449" spans="4:4" x14ac:dyDescent="0.15">
      <c r="D449" s="122" t="s">
        <v>64</v>
      </c>
    </row>
    <row r="450" spans="4:4" x14ac:dyDescent="0.15">
      <c r="D450" s="122" t="s">
        <v>64</v>
      </c>
    </row>
    <row r="451" spans="4:4" x14ac:dyDescent="0.15">
      <c r="D451" s="122" t="s">
        <v>64</v>
      </c>
    </row>
    <row r="452" spans="4:4" x14ac:dyDescent="0.15">
      <c r="D452" s="122" t="s">
        <v>64</v>
      </c>
    </row>
    <row r="453" spans="4:4" x14ac:dyDescent="0.15">
      <c r="D453" s="122" t="s">
        <v>64</v>
      </c>
    </row>
    <row r="454" spans="4:4" x14ac:dyDescent="0.15">
      <c r="D454" s="122" t="s">
        <v>64</v>
      </c>
    </row>
    <row r="455" spans="4:4" x14ac:dyDescent="0.15">
      <c r="D455" s="122" t="s">
        <v>64</v>
      </c>
    </row>
    <row r="456" spans="4:4" x14ac:dyDescent="0.15">
      <c r="D456" s="122" t="s">
        <v>64</v>
      </c>
    </row>
    <row r="457" spans="4:4" x14ac:dyDescent="0.15">
      <c r="D457" s="122" t="s">
        <v>64</v>
      </c>
    </row>
    <row r="458" spans="4:4" x14ac:dyDescent="0.15">
      <c r="D458" s="122" t="s">
        <v>64</v>
      </c>
    </row>
    <row r="459" spans="4:4" x14ac:dyDescent="0.15">
      <c r="D459" s="122" t="s">
        <v>64</v>
      </c>
    </row>
    <row r="460" spans="4:4" x14ac:dyDescent="0.15">
      <c r="D460" s="122" t="s">
        <v>64</v>
      </c>
    </row>
    <row r="461" spans="4:4" x14ac:dyDescent="0.15">
      <c r="D461" s="122" t="s">
        <v>64</v>
      </c>
    </row>
    <row r="462" spans="4:4" x14ac:dyDescent="0.15">
      <c r="D462" s="122" t="s">
        <v>64</v>
      </c>
    </row>
    <row r="463" spans="4:4" x14ac:dyDescent="0.15">
      <c r="D463" s="122" t="s">
        <v>64</v>
      </c>
    </row>
    <row r="464" spans="4:4" x14ac:dyDescent="0.15">
      <c r="D464" s="122" t="s">
        <v>64</v>
      </c>
    </row>
    <row r="465" spans="4:4" x14ac:dyDescent="0.15">
      <c r="D465" s="122" t="s">
        <v>64</v>
      </c>
    </row>
    <row r="466" spans="4:4" x14ac:dyDescent="0.15">
      <c r="D466" s="122" t="s">
        <v>64</v>
      </c>
    </row>
    <row r="467" spans="4:4" x14ac:dyDescent="0.15">
      <c r="D467" s="122" t="s">
        <v>64</v>
      </c>
    </row>
    <row r="468" spans="4:4" x14ac:dyDescent="0.15">
      <c r="D468" s="122" t="s">
        <v>64</v>
      </c>
    </row>
    <row r="469" spans="4:4" x14ac:dyDescent="0.15">
      <c r="D469" s="122" t="s">
        <v>64</v>
      </c>
    </row>
    <row r="470" spans="4:4" x14ac:dyDescent="0.15">
      <c r="D470" s="122" t="s">
        <v>64</v>
      </c>
    </row>
    <row r="471" spans="4:4" x14ac:dyDescent="0.15">
      <c r="D471" s="122" t="s">
        <v>64</v>
      </c>
    </row>
    <row r="472" spans="4:4" x14ac:dyDescent="0.15">
      <c r="D472" s="122" t="s">
        <v>64</v>
      </c>
    </row>
    <row r="473" spans="4:4" x14ac:dyDescent="0.15">
      <c r="D473" s="122" t="s">
        <v>64</v>
      </c>
    </row>
    <row r="474" spans="4:4" x14ac:dyDescent="0.15">
      <c r="D474" s="122" t="s">
        <v>64</v>
      </c>
    </row>
    <row r="475" spans="4:4" x14ac:dyDescent="0.15">
      <c r="D475" s="122" t="s">
        <v>64</v>
      </c>
    </row>
    <row r="476" spans="4:4" x14ac:dyDescent="0.15">
      <c r="D476" s="122" t="s">
        <v>64</v>
      </c>
    </row>
    <row r="477" spans="4:4" x14ac:dyDescent="0.15">
      <c r="D477" s="122" t="s">
        <v>64</v>
      </c>
    </row>
    <row r="478" spans="4:4" x14ac:dyDescent="0.15">
      <c r="D478" s="122" t="s">
        <v>64</v>
      </c>
    </row>
    <row r="479" spans="4:4" x14ac:dyDescent="0.15">
      <c r="D479" s="122" t="s">
        <v>64</v>
      </c>
    </row>
    <row r="480" spans="4:4" x14ac:dyDescent="0.15">
      <c r="D480" s="122" t="s">
        <v>64</v>
      </c>
    </row>
    <row r="481" spans="4:4" x14ac:dyDescent="0.15">
      <c r="D481" s="122" t="s">
        <v>64</v>
      </c>
    </row>
    <row r="482" spans="4:4" x14ac:dyDescent="0.15">
      <c r="D482" s="122" t="s">
        <v>64</v>
      </c>
    </row>
    <row r="483" spans="4:4" x14ac:dyDescent="0.15">
      <c r="D483" s="122" t="s">
        <v>64</v>
      </c>
    </row>
    <row r="484" spans="4:4" x14ac:dyDescent="0.15">
      <c r="D484" s="122" t="s">
        <v>64</v>
      </c>
    </row>
    <row r="485" spans="4:4" x14ac:dyDescent="0.15">
      <c r="D485" s="122" t="s">
        <v>64</v>
      </c>
    </row>
    <row r="486" spans="4:4" x14ac:dyDescent="0.15">
      <c r="D486" s="122" t="s">
        <v>64</v>
      </c>
    </row>
    <row r="487" spans="4:4" x14ac:dyDescent="0.15">
      <c r="D487" s="122" t="s">
        <v>64</v>
      </c>
    </row>
    <row r="488" spans="4:4" x14ac:dyDescent="0.15">
      <c r="D488" s="122" t="s">
        <v>64</v>
      </c>
    </row>
    <row r="489" spans="4:4" x14ac:dyDescent="0.15">
      <c r="D489" s="122" t="s">
        <v>64</v>
      </c>
    </row>
    <row r="490" spans="4:4" x14ac:dyDescent="0.15">
      <c r="D490" s="122" t="s">
        <v>64</v>
      </c>
    </row>
    <row r="491" spans="4:4" x14ac:dyDescent="0.15">
      <c r="D491" s="122" t="s">
        <v>64</v>
      </c>
    </row>
    <row r="492" spans="4:4" x14ac:dyDescent="0.15">
      <c r="D492" s="122" t="s">
        <v>64</v>
      </c>
    </row>
    <row r="493" spans="4:4" x14ac:dyDescent="0.15">
      <c r="D493" s="122" t="s">
        <v>64</v>
      </c>
    </row>
    <row r="494" spans="4:4" x14ac:dyDescent="0.15">
      <c r="D494" s="122" t="s">
        <v>64</v>
      </c>
    </row>
    <row r="495" spans="4:4" x14ac:dyDescent="0.15">
      <c r="D495" s="122" t="s">
        <v>64</v>
      </c>
    </row>
    <row r="496" spans="4:4" x14ac:dyDescent="0.15">
      <c r="D496" s="122" t="s">
        <v>64</v>
      </c>
    </row>
    <row r="497" spans="4:4" x14ac:dyDescent="0.15">
      <c r="D497" s="122" t="s">
        <v>64</v>
      </c>
    </row>
    <row r="498" spans="4:4" x14ac:dyDescent="0.15">
      <c r="D498" s="122" t="s">
        <v>64</v>
      </c>
    </row>
    <row r="499" spans="4:4" x14ac:dyDescent="0.15">
      <c r="D499" s="122" t="s">
        <v>64</v>
      </c>
    </row>
    <row r="500" spans="4:4" x14ac:dyDescent="0.15">
      <c r="D500" s="122" t="s">
        <v>64</v>
      </c>
    </row>
    <row r="501" spans="4:4" x14ac:dyDescent="0.15">
      <c r="D501" s="122" t="s">
        <v>64</v>
      </c>
    </row>
    <row r="502" spans="4:4" x14ac:dyDescent="0.15">
      <c r="D502" s="122" t="s">
        <v>64</v>
      </c>
    </row>
    <row r="503" spans="4:4" x14ac:dyDescent="0.15">
      <c r="D503" s="122" t="s">
        <v>64</v>
      </c>
    </row>
    <row r="504" spans="4:4" x14ac:dyDescent="0.15">
      <c r="D504" s="122" t="s">
        <v>64</v>
      </c>
    </row>
    <row r="505" spans="4:4" x14ac:dyDescent="0.15">
      <c r="D505" s="122" t="s">
        <v>64</v>
      </c>
    </row>
    <row r="506" spans="4:4" x14ac:dyDescent="0.15">
      <c r="D506" s="122" t="s">
        <v>64</v>
      </c>
    </row>
    <row r="507" spans="4:4" x14ac:dyDescent="0.15">
      <c r="D507" s="122" t="s">
        <v>64</v>
      </c>
    </row>
    <row r="508" spans="4:4" x14ac:dyDescent="0.15">
      <c r="D508" s="122" t="s">
        <v>64</v>
      </c>
    </row>
    <row r="509" spans="4:4" x14ac:dyDescent="0.15">
      <c r="D509" s="122" t="s">
        <v>64</v>
      </c>
    </row>
    <row r="510" spans="4:4" x14ac:dyDescent="0.15">
      <c r="D510" s="122" t="s">
        <v>64</v>
      </c>
    </row>
    <row r="511" spans="4:4" x14ac:dyDescent="0.15">
      <c r="D511" s="122" t="s">
        <v>64</v>
      </c>
    </row>
    <row r="512" spans="4:4" x14ac:dyDescent="0.15">
      <c r="D512" s="122" t="s">
        <v>64</v>
      </c>
    </row>
    <row r="513" spans="4:4" x14ac:dyDescent="0.15">
      <c r="D513" s="122" t="s">
        <v>64</v>
      </c>
    </row>
    <row r="514" spans="4:4" x14ac:dyDescent="0.15">
      <c r="D514" s="122" t="s">
        <v>64</v>
      </c>
    </row>
    <row r="515" spans="4:4" x14ac:dyDescent="0.15">
      <c r="D515" s="122" t="s">
        <v>64</v>
      </c>
    </row>
    <row r="516" spans="4:4" x14ac:dyDescent="0.15">
      <c r="D516" s="122" t="s">
        <v>64</v>
      </c>
    </row>
    <row r="517" spans="4:4" x14ac:dyDescent="0.15">
      <c r="D517" s="122" t="s">
        <v>64</v>
      </c>
    </row>
    <row r="518" spans="4:4" x14ac:dyDescent="0.15">
      <c r="D518" s="122" t="s">
        <v>64</v>
      </c>
    </row>
    <row r="519" spans="4:4" x14ac:dyDescent="0.15">
      <c r="D519" s="122" t="s">
        <v>64</v>
      </c>
    </row>
    <row r="520" spans="4:4" x14ac:dyDescent="0.15">
      <c r="D520" s="122" t="s">
        <v>64</v>
      </c>
    </row>
    <row r="521" spans="4:4" x14ac:dyDescent="0.15">
      <c r="D521" s="122" t="s">
        <v>64</v>
      </c>
    </row>
    <row r="522" spans="4:4" x14ac:dyDescent="0.15">
      <c r="D522" s="122" t="s">
        <v>64</v>
      </c>
    </row>
    <row r="523" spans="4:4" x14ac:dyDescent="0.15">
      <c r="D523" s="122" t="s">
        <v>64</v>
      </c>
    </row>
    <row r="524" spans="4:4" x14ac:dyDescent="0.15">
      <c r="D524" s="122" t="s">
        <v>64</v>
      </c>
    </row>
    <row r="525" spans="4:4" x14ac:dyDescent="0.15">
      <c r="D525" s="122" t="s">
        <v>64</v>
      </c>
    </row>
    <row r="526" spans="4:4" x14ac:dyDescent="0.15">
      <c r="D526" s="122" t="s">
        <v>64</v>
      </c>
    </row>
    <row r="527" spans="4:4" x14ac:dyDescent="0.15">
      <c r="D527" s="122" t="s">
        <v>64</v>
      </c>
    </row>
    <row r="528" spans="4:4" x14ac:dyDescent="0.15">
      <c r="D528" s="122" t="s">
        <v>64</v>
      </c>
    </row>
    <row r="529" spans="4:4" x14ac:dyDescent="0.15">
      <c r="D529" s="122" t="s">
        <v>64</v>
      </c>
    </row>
    <row r="530" spans="4:4" x14ac:dyDescent="0.15">
      <c r="D530" s="122" t="s">
        <v>64</v>
      </c>
    </row>
    <row r="531" spans="4:4" x14ac:dyDescent="0.15">
      <c r="D531" s="122" t="s">
        <v>64</v>
      </c>
    </row>
    <row r="532" spans="4:4" x14ac:dyDescent="0.15">
      <c r="D532" s="122" t="s">
        <v>64</v>
      </c>
    </row>
    <row r="533" spans="4:4" x14ac:dyDescent="0.15">
      <c r="D533" s="122" t="s">
        <v>64</v>
      </c>
    </row>
    <row r="534" spans="4:4" x14ac:dyDescent="0.15">
      <c r="D534" s="122" t="s">
        <v>64</v>
      </c>
    </row>
    <row r="535" spans="4:4" x14ac:dyDescent="0.15">
      <c r="D535" s="122" t="s">
        <v>64</v>
      </c>
    </row>
    <row r="536" spans="4:4" x14ac:dyDescent="0.15">
      <c r="D536" s="122" t="s">
        <v>64</v>
      </c>
    </row>
    <row r="537" spans="4:4" x14ac:dyDescent="0.15">
      <c r="D537" s="122" t="s">
        <v>64</v>
      </c>
    </row>
    <row r="538" spans="4:4" x14ac:dyDescent="0.15">
      <c r="D538" s="122" t="s">
        <v>64</v>
      </c>
    </row>
    <row r="539" spans="4:4" x14ac:dyDescent="0.15">
      <c r="D539" s="122" t="s">
        <v>64</v>
      </c>
    </row>
    <row r="540" spans="4:4" x14ac:dyDescent="0.15">
      <c r="D540" s="122" t="s">
        <v>64</v>
      </c>
    </row>
    <row r="541" spans="4:4" x14ac:dyDescent="0.15">
      <c r="D541" s="122" t="s">
        <v>64</v>
      </c>
    </row>
    <row r="542" spans="4:4" x14ac:dyDescent="0.15">
      <c r="D542" s="122" t="s">
        <v>64</v>
      </c>
    </row>
    <row r="543" spans="4:4" x14ac:dyDescent="0.15">
      <c r="D543" s="122" t="s">
        <v>64</v>
      </c>
    </row>
    <row r="544" spans="4:4" x14ac:dyDescent="0.15">
      <c r="D544" s="122" t="s">
        <v>64</v>
      </c>
    </row>
    <row r="545" spans="4:4" x14ac:dyDescent="0.15">
      <c r="D545" s="122" t="s">
        <v>64</v>
      </c>
    </row>
    <row r="546" spans="4:4" x14ac:dyDescent="0.15">
      <c r="D546" s="122" t="s">
        <v>64</v>
      </c>
    </row>
    <row r="547" spans="4:4" x14ac:dyDescent="0.15">
      <c r="D547" s="122" t="s">
        <v>64</v>
      </c>
    </row>
    <row r="548" spans="4:4" x14ac:dyDescent="0.15">
      <c r="D548" s="122" t="s">
        <v>64</v>
      </c>
    </row>
    <row r="549" spans="4:4" x14ac:dyDescent="0.15">
      <c r="D549" s="122" t="s">
        <v>64</v>
      </c>
    </row>
    <row r="550" spans="4:4" x14ac:dyDescent="0.15">
      <c r="D550" s="122" t="s">
        <v>64</v>
      </c>
    </row>
    <row r="551" spans="4:4" x14ac:dyDescent="0.15">
      <c r="D551" s="122" t="s">
        <v>64</v>
      </c>
    </row>
    <row r="552" spans="4:4" x14ac:dyDescent="0.15">
      <c r="D552" s="122" t="s">
        <v>64</v>
      </c>
    </row>
    <row r="553" spans="4:4" x14ac:dyDescent="0.15">
      <c r="D553" s="122" t="s">
        <v>64</v>
      </c>
    </row>
    <row r="554" spans="4:4" x14ac:dyDescent="0.15">
      <c r="D554" s="122" t="s">
        <v>64</v>
      </c>
    </row>
    <row r="555" spans="4:4" x14ac:dyDescent="0.15">
      <c r="D555" s="122" t="s">
        <v>64</v>
      </c>
    </row>
    <row r="556" spans="4:4" x14ac:dyDescent="0.15">
      <c r="D556" s="122" t="s">
        <v>64</v>
      </c>
    </row>
    <row r="557" spans="4:4" x14ac:dyDescent="0.15">
      <c r="D557" s="122" t="s">
        <v>64</v>
      </c>
    </row>
    <row r="558" spans="4:4" x14ac:dyDescent="0.15">
      <c r="D558" s="122" t="s">
        <v>64</v>
      </c>
    </row>
    <row r="559" spans="4:4" x14ac:dyDescent="0.15">
      <c r="D559" s="122" t="s">
        <v>64</v>
      </c>
    </row>
    <row r="560" spans="4:4" x14ac:dyDescent="0.15">
      <c r="D560" s="122" t="s">
        <v>64</v>
      </c>
    </row>
    <row r="561" spans="4:4" x14ac:dyDescent="0.15">
      <c r="D561" s="122" t="s">
        <v>64</v>
      </c>
    </row>
    <row r="562" spans="4:4" x14ac:dyDescent="0.15">
      <c r="D562" s="122" t="s">
        <v>64</v>
      </c>
    </row>
    <row r="563" spans="4:4" x14ac:dyDescent="0.15">
      <c r="D563" s="122" t="s">
        <v>64</v>
      </c>
    </row>
    <row r="564" spans="4:4" x14ac:dyDescent="0.15">
      <c r="D564" s="122" t="s">
        <v>64</v>
      </c>
    </row>
    <row r="565" spans="4:4" x14ac:dyDescent="0.15">
      <c r="D565" s="122" t="s">
        <v>64</v>
      </c>
    </row>
    <row r="566" spans="4:4" x14ac:dyDescent="0.15">
      <c r="D566" s="122" t="s">
        <v>64</v>
      </c>
    </row>
    <row r="567" spans="4:4" x14ac:dyDescent="0.15">
      <c r="D567" s="122" t="s">
        <v>64</v>
      </c>
    </row>
    <row r="568" spans="4:4" x14ac:dyDescent="0.15">
      <c r="D568" s="122" t="s">
        <v>64</v>
      </c>
    </row>
    <row r="569" spans="4:4" x14ac:dyDescent="0.15">
      <c r="D569" s="122" t="s">
        <v>64</v>
      </c>
    </row>
    <row r="570" spans="4:4" x14ac:dyDescent="0.15">
      <c r="D570" s="122" t="s">
        <v>64</v>
      </c>
    </row>
    <row r="571" spans="4:4" x14ac:dyDescent="0.15">
      <c r="D571" s="122" t="s">
        <v>64</v>
      </c>
    </row>
    <row r="572" spans="4:4" x14ac:dyDescent="0.15">
      <c r="D572" s="122" t="s">
        <v>64</v>
      </c>
    </row>
    <row r="573" spans="4:4" x14ac:dyDescent="0.15">
      <c r="D573" s="122" t="s">
        <v>64</v>
      </c>
    </row>
    <row r="574" spans="4:4" x14ac:dyDescent="0.15">
      <c r="D574" s="122" t="s">
        <v>64</v>
      </c>
    </row>
    <row r="575" spans="4:4" x14ac:dyDescent="0.15">
      <c r="D575" s="122" t="s">
        <v>64</v>
      </c>
    </row>
    <row r="576" spans="4:4" x14ac:dyDescent="0.15">
      <c r="D576" s="122" t="s">
        <v>64</v>
      </c>
    </row>
    <row r="577" spans="4:4" x14ac:dyDescent="0.15">
      <c r="D577" s="122" t="s">
        <v>64</v>
      </c>
    </row>
    <row r="578" spans="4:4" x14ac:dyDescent="0.15">
      <c r="D578" s="122" t="s">
        <v>64</v>
      </c>
    </row>
    <row r="579" spans="4:4" x14ac:dyDescent="0.15">
      <c r="D579" s="122" t="s">
        <v>64</v>
      </c>
    </row>
    <row r="580" spans="4:4" x14ac:dyDescent="0.15">
      <c r="D580" s="122" t="s">
        <v>64</v>
      </c>
    </row>
    <row r="581" spans="4:4" x14ac:dyDescent="0.15">
      <c r="D581" s="122" t="s">
        <v>64</v>
      </c>
    </row>
    <row r="582" spans="4:4" x14ac:dyDescent="0.15">
      <c r="D582" s="122" t="s">
        <v>64</v>
      </c>
    </row>
    <row r="583" spans="4:4" x14ac:dyDescent="0.15">
      <c r="D583" s="122" t="s">
        <v>64</v>
      </c>
    </row>
    <row r="584" spans="4:4" x14ac:dyDescent="0.15">
      <c r="D584" s="122" t="s">
        <v>64</v>
      </c>
    </row>
    <row r="585" spans="4:4" x14ac:dyDescent="0.15">
      <c r="D585" s="122" t="s">
        <v>64</v>
      </c>
    </row>
    <row r="586" spans="4:4" x14ac:dyDescent="0.15">
      <c r="D586" s="122" t="s">
        <v>64</v>
      </c>
    </row>
    <row r="587" spans="4:4" x14ac:dyDescent="0.15">
      <c r="D587" s="122" t="s">
        <v>64</v>
      </c>
    </row>
    <row r="588" spans="4:4" x14ac:dyDescent="0.15">
      <c r="D588" s="122" t="s">
        <v>64</v>
      </c>
    </row>
    <row r="589" spans="4:4" x14ac:dyDescent="0.15">
      <c r="D589" s="122" t="s">
        <v>64</v>
      </c>
    </row>
    <row r="590" spans="4:4" x14ac:dyDescent="0.15">
      <c r="D590" s="122" t="s">
        <v>64</v>
      </c>
    </row>
    <row r="591" spans="4:4" x14ac:dyDescent="0.15">
      <c r="D591" s="122" t="s">
        <v>64</v>
      </c>
    </row>
    <row r="592" spans="4:4" x14ac:dyDescent="0.15">
      <c r="D592" s="122" t="s">
        <v>64</v>
      </c>
    </row>
    <row r="593" spans="4:4" x14ac:dyDescent="0.15">
      <c r="D593" s="122" t="s">
        <v>64</v>
      </c>
    </row>
    <row r="594" spans="4:4" x14ac:dyDescent="0.15">
      <c r="D594" s="122" t="s">
        <v>64</v>
      </c>
    </row>
    <row r="595" spans="4:4" x14ac:dyDescent="0.15">
      <c r="D595" s="122" t="s">
        <v>64</v>
      </c>
    </row>
    <row r="596" spans="4:4" x14ac:dyDescent="0.15">
      <c r="D596" s="122" t="s">
        <v>64</v>
      </c>
    </row>
    <row r="597" spans="4:4" x14ac:dyDescent="0.15">
      <c r="D597" s="122" t="s">
        <v>64</v>
      </c>
    </row>
    <row r="598" spans="4:4" x14ac:dyDescent="0.15">
      <c r="D598" s="122" t="s">
        <v>64</v>
      </c>
    </row>
    <row r="599" spans="4:4" x14ac:dyDescent="0.15">
      <c r="D599" s="122" t="s">
        <v>64</v>
      </c>
    </row>
    <row r="600" spans="4:4" x14ac:dyDescent="0.15">
      <c r="D600" s="122" t="s">
        <v>64</v>
      </c>
    </row>
    <row r="601" spans="4:4" x14ac:dyDescent="0.15">
      <c r="D601" s="122" t="s">
        <v>64</v>
      </c>
    </row>
    <row r="602" spans="4:4" x14ac:dyDescent="0.15">
      <c r="D602" s="122" t="s">
        <v>64</v>
      </c>
    </row>
    <row r="603" spans="4:4" x14ac:dyDescent="0.15">
      <c r="D603" s="122" t="s">
        <v>64</v>
      </c>
    </row>
    <row r="604" spans="4:4" x14ac:dyDescent="0.15">
      <c r="D604" s="122" t="s">
        <v>64</v>
      </c>
    </row>
    <row r="605" spans="4:4" x14ac:dyDescent="0.15">
      <c r="D605" s="122" t="s">
        <v>64</v>
      </c>
    </row>
    <row r="606" spans="4:4" x14ac:dyDescent="0.15">
      <c r="D606" s="122" t="s">
        <v>64</v>
      </c>
    </row>
    <row r="607" spans="4:4" x14ac:dyDescent="0.15">
      <c r="D607" s="122" t="s">
        <v>64</v>
      </c>
    </row>
    <row r="608" spans="4:4" x14ac:dyDescent="0.15">
      <c r="D608" s="122" t="s">
        <v>64</v>
      </c>
    </row>
    <row r="609" spans="4:4" x14ac:dyDescent="0.15">
      <c r="D609" s="122" t="s">
        <v>64</v>
      </c>
    </row>
    <row r="610" spans="4:4" x14ac:dyDescent="0.15">
      <c r="D610" s="122" t="s">
        <v>64</v>
      </c>
    </row>
    <row r="611" spans="4:4" x14ac:dyDescent="0.15">
      <c r="D611" s="122" t="s">
        <v>64</v>
      </c>
    </row>
    <row r="612" spans="4:4" x14ac:dyDescent="0.15">
      <c r="D612" s="122" t="s">
        <v>64</v>
      </c>
    </row>
    <row r="613" spans="4:4" x14ac:dyDescent="0.15">
      <c r="D613" s="122" t="s">
        <v>64</v>
      </c>
    </row>
    <row r="614" spans="4:4" x14ac:dyDescent="0.15">
      <c r="D614" s="122" t="s">
        <v>64</v>
      </c>
    </row>
    <row r="615" spans="4:4" x14ac:dyDescent="0.15">
      <c r="D615" s="122" t="s">
        <v>64</v>
      </c>
    </row>
    <row r="616" spans="4:4" x14ac:dyDescent="0.15">
      <c r="D616" s="122" t="s">
        <v>64</v>
      </c>
    </row>
    <row r="617" spans="4:4" x14ac:dyDescent="0.15">
      <c r="D617" s="122" t="s">
        <v>64</v>
      </c>
    </row>
    <row r="618" spans="4:4" x14ac:dyDescent="0.15">
      <c r="D618" s="122" t="s">
        <v>64</v>
      </c>
    </row>
    <row r="619" spans="4:4" x14ac:dyDescent="0.15">
      <c r="D619" s="122" t="s">
        <v>64</v>
      </c>
    </row>
    <row r="620" spans="4:4" x14ac:dyDescent="0.15">
      <c r="D620" s="122" t="s">
        <v>64</v>
      </c>
    </row>
    <row r="621" spans="4:4" x14ac:dyDescent="0.15">
      <c r="D621" s="122" t="s">
        <v>64</v>
      </c>
    </row>
    <row r="622" spans="4:4" x14ac:dyDescent="0.15">
      <c r="D622" s="122" t="s">
        <v>64</v>
      </c>
    </row>
    <row r="623" spans="4:4" x14ac:dyDescent="0.15">
      <c r="D623" s="122" t="s">
        <v>64</v>
      </c>
    </row>
    <row r="624" spans="4:4" x14ac:dyDescent="0.15">
      <c r="D624" s="122" t="s">
        <v>64</v>
      </c>
    </row>
    <row r="625" spans="4:4" x14ac:dyDescent="0.15">
      <c r="D625" s="122" t="s">
        <v>64</v>
      </c>
    </row>
    <row r="626" spans="4:4" x14ac:dyDescent="0.15">
      <c r="D626" s="122" t="s">
        <v>64</v>
      </c>
    </row>
    <row r="627" spans="4:4" x14ac:dyDescent="0.15">
      <c r="D627" s="122" t="s">
        <v>64</v>
      </c>
    </row>
    <row r="628" spans="4:4" x14ac:dyDescent="0.15">
      <c r="D628" s="122" t="s">
        <v>64</v>
      </c>
    </row>
    <row r="629" spans="4:4" x14ac:dyDescent="0.15">
      <c r="D629" s="122" t="s">
        <v>64</v>
      </c>
    </row>
    <row r="630" spans="4:4" x14ac:dyDescent="0.15">
      <c r="D630" s="122" t="s">
        <v>64</v>
      </c>
    </row>
    <row r="631" spans="4:4" x14ac:dyDescent="0.15">
      <c r="D631" s="122" t="s">
        <v>64</v>
      </c>
    </row>
    <row r="632" spans="4:4" x14ac:dyDescent="0.15">
      <c r="D632" s="122" t="s">
        <v>64</v>
      </c>
    </row>
    <row r="633" spans="4:4" x14ac:dyDescent="0.15">
      <c r="D633" s="122" t="s">
        <v>64</v>
      </c>
    </row>
    <row r="634" spans="4:4" x14ac:dyDescent="0.15">
      <c r="D634" s="122" t="s">
        <v>64</v>
      </c>
    </row>
    <row r="635" spans="4:4" x14ac:dyDescent="0.15">
      <c r="D635" s="122" t="s">
        <v>64</v>
      </c>
    </row>
    <row r="636" spans="4:4" x14ac:dyDescent="0.15">
      <c r="D636" s="122" t="s">
        <v>64</v>
      </c>
    </row>
    <row r="637" spans="4:4" x14ac:dyDescent="0.15">
      <c r="D637" s="122" t="s">
        <v>64</v>
      </c>
    </row>
    <row r="638" spans="4:4" x14ac:dyDescent="0.15">
      <c r="D638" s="122" t="s">
        <v>64</v>
      </c>
    </row>
    <row r="639" spans="4:4" x14ac:dyDescent="0.15">
      <c r="D639" s="122" t="s">
        <v>64</v>
      </c>
    </row>
    <row r="640" spans="4:4" x14ac:dyDescent="0.15">
      <c r="D640" s="122" t="s">
        <v>64</v>
      </c>
    </row>
    <row r="641" spans="4:4" x14ac:dyDescent="0.15">
      <c r="D641" s="122" t="s">
        <v>64</v>
      </c>
    </row>
    <row r="642" spans="4:4" x14ac:dyDescent="0.15">
      <c r="D642" s="122" t="s">
        <v>64</v>
      </c>
    </row>
    <row r="643" spans="4:4" x14ac:dyDescent="0.15">
      <c r="D643" s="122" t="s">
        <v>64</v>
      </c>
    </row>
    <row r="644" spans="4:4" x14ac:dyDescent="0.15">
      <c r="D644" s="122" t="s">
        <v>64</v>
      </c>
    </row>
    <row r="645" spans="4:4" x14ac:dyDescent="0.15">
      <c r="D645" s="122" t="s">
        <v>64</v>
      </c>
    </row>
    <row r="646" spans="4:4" x14ac:dyDescent="0.15">
      <c r="D646" s="122" t="s">
        <v>64</v>
      </c>
    </row>
    <row r="647" spans="4:4" x14ac:dyDescent="0.15">
      <c r="D647" s="122" t="s">
        <v>64</v>
      </c>
    </row>
    <row r="648" spans="4:4" x14ac:dyDescent="0.15">
      <c r="D648" s="122" t="s">
        <v>64</v>
      </c>
    </row>
    <row r="649" spans="4:4" x14ac:dyDescent="0.15">
      <c r="D649" s="122" t="s">
        <v>64</v>
      </c>
    </row>
    <row r="650" spans="4:4" x14ac:dyDescent="0.15">
      <c r="D650" s="122" t="s">
        <v>64</v>
      </c>
    </row>
    <row r="651" spans="4:4" x14ac:dyDescent="0.15">
      <c r="D651" s="122" t="s">
        <v>64</v>
      </c>
    </row>
    <row r="652" spans="4:4" x14ac:dyDescent="0.15">
      <c r="D652" s="122" t="s">
        <v>64</v>
      </c>
    </row>
    <row r="653" spans="4:4" x14ac:dyDescent="0.15">
      <c r="D653" s="122" t="s">
        <v>64</v>
      </c>
    </row>
    <row r="654" spans="4:4" x14ac:dyDescent="0.15">
      <c r="D654" s="122" t="s">
        <v>64</v>
      </c>
    </row>
    <row r="655" spans="4:4" x14ac:dyDescent="0.15">
      <c r="D655" s="122" t="s">
        <v>64</v>
      </c>
    </row>
    <row r="656" spans="4:4" x14ac:dyDescent="0.15">
      <c r="D656" s="122" t="s">
        <v>64</v>
      </c>
    </row>
    <row r="657" spans="4:4" x14ac:dyDescent="0.15">
      <c r="D657" s="122" t="s">
        <v>64</v>
      </c>
    </row>
    <row r="658" spans="4:4" x14ac:dyDescent="0.15">
      <c r="D658" s="122" t="s">
        <v>64</v>
      </c>
    </row>
    <row r="659" spans="4:4" x14ac:dyDescent="0.15">
      <c r="D659" s="122" t="s">
        <v>64</v>
      </c>
    </row>
    <row r="660" spans="4:4" x14ac:dyDescent="0.15">
      <c r="D660" s="122" t="s">
        <v>64</v>
      </c>
    </row>
    <row r="661" spans="4:4" x14ac:dyDescent="0.15">
      <c r="D661" s="122" t="s">
        <v>64</v>
      </c>
    </row>
    <row r="662" spans="4:4" x14ac:dyDescent="0.15">
      <c r="D662" s="122" t="s">
        <v>64</v>
      </c>
    </row>
    <row r="663" spans="4:4" x14ac:dyDescent="0.15">
      <c r="D663" s="122" t="s">
        <v>64</v>
      </c>
    </row>
    <row r="664" spans="4:4" x14ac:dyDescent="0.15">
      <c r="D664" s="122" t="s">
        <v>64</v>
      </c>
    </row>
    <row r="665" spans="4:4" x14ac:dyDescent="0.15">
      <c r="D665" s="122" t="s">
        <v>64</v>
      </c>
    </row>
    <row r="666" spans="4:4" x14ac:dyDescent="0.15">
      <c r="D666" s="122" t="s">
        <v>64</v>
      </c>
    </row>
    <row r="667" spans="4:4" x14ac:dyDescent="0.15">
      <c r="D667" s="122" t="s">
        <v>64</v>
      </c>
    </row>
    <row r="668" spans="4:4" x14ac:dyDescent="0.15">
      <c r="D668" s="122" t="s">
        <v>64</v>
      </c>
    </row>
    <row r="669" spans="4:4" x14ac:dyDescent="0.15">
      <c r="D669" s="122" t="s">
        <v>64</v>
      </c>
    </row>
    <row r="670" spans="4:4" x14ac:dyDescent="0.15">
      <c r="D670" s="122" t="s">
        <v>64</v>
      </c>
    </row>
    <row r="671" spans="4:4" x14ac:dyDescent="0.15">
      <c r="D671" s="122" t="s">
        <v>64</v>
      </c>
    </row>
    <row r="672" spans="4:4" x14ac:dyDescent="0.15">
      <c r="D672" s="122" t="s">
        <v>64</v>
      </c>
    </row>
    <row r="673" spans="4:4" x14ac:dyDescent="0.15">
      <c r="D673" s="122" t="s">
        <v>64</v>
      </c>
    </row>
    <row r="674" spans="4:4" x14ac:dyDescent="0.15">
      <c r="D674" s="122" t="s">
        <v>64</v>
      </c>
    </row>
    <row r="675" spans="4:4" x14ac:dyDescent="0.15">
      <c r="D675" s="122" t="s">
        <v>64</v>
      </c>
    </row>
    <row r="676" spans="4:4" x14ac:dyDescent="0.15">
      <c r="D676" s="122" t="s">
        <v>64</v>
      </c>
    </row>
    <row r="677" spans="4:4" x14ac:dyDescent="0.15">
      <c r="D677" s="122" t="s">
        <v>64</v>
      </c>
    </row>
    <row r="678" spans="4:4" x14ac:dyDescent="0.15">
      <c r="D678" s="122" t="s">
        <v>64</v>
      </c>
    </row>
    <row r="679" spans="4:4" x14ac:dyDescent="0.15">
      <c r="D679" s="122" t="s">
        <v>64</v>
      </c>
    </row>
    <row r="680" spans="4:4" x14ac:dyDescent="0.15">
      <c r="D680" s="122" t="s">
        <v>64</v>
      </c>
    </row>
    <row r="681" spans="4:4" x14ac:dyDescent="0.15">
      <c r="D681" s="122" t="s">
        <v>64</v>
      </c>
    </row>
    <row r="682" spans="4:4" x14ac:dyDescent="0.15">
      <c r="D682" s="122" t="s">
        <v>64</v>
      </c>
    </row>
    <row r="683" spans="4:4" x14ac:dyDescent="0.15">
      <c r="D683" s="122" t="s">
        <v>64</v>
      </c>
    </row>
    <row r="684" spans="4:4" x14ac:dyDescent="0.15">
      <c r="D684" s="122" t="s">
        <v>64</v>
      </c>
    </row>
    <row r="685" spans="4:4" x14ac:dyDescent="0.15">
      <c r="D685" s="122" t="s">
        <v>64</v>
      </c>
    </row>
    <row r="686" spans="4:4" x14ac:dyDescent="0.15">
      <c r="D686" s="122" t="s">
        <v>64</v>
      </c>
    </row>
    <row r="687" spans="4:4" x14ac:dyDescent="0.15">
      <c r="D687" s="122" t="s">
        <v>64</v>
      </c>
    </row>
    <row r="688" spans="4:4" x14ac:dyDescent="0.15">
      <c r="D688" s="122" t="s">
        <v>64</v>
      </c>
    </row>
    <row r="689" spans="4:4" x14ac:dyDescent="0.15">
      <c r="D689" s="122" t="s">
        <v>64</v>
      </c>
    </row>
    <row r="690" spans="4:4" x14ac:dyDescent="0.15">
      <c r="D690" s="122" t="s">
        <v>64</v>
      </c>
    </row>
    <row r="691" spans="4:4" x14ac:dyDescent="0.15">
      <c r="D691" s="122" t="s">
        <v>64</v>
      </c>
    </row>
    <row r="692" spans="4:4" x14ac:dyDescent="0.15">
      <c r="D692" s="122" t="s">
        <v>64</v>
      </c>
    </row>
    <row r="693" spans="4:4" x14ac:dyDescent="0.15">
      <c r="D693" s="122" t="s">
        <v>64</v>
      </c>
    </row>
    <row r="694" spans="4:4" x14ac:dyDescent="0.15">
      <c r="D694" s="122" t="s">
        <v>64</v>
      </c>
    </row>
    <row r="695" spans="4:4" x14ac:dyDescent="0.15">
      <c r="D695" s="122" t="s">
        <v>64</v>
      </c>
    </row>
    <row r="696" spans="4:4" x14ac:dyDescent="0.15">
      <c r="D696" s="122" t="s">
        <v>64</v>
      </c>
    </row>
    <row r="697" spans="4:4" x14ac:dyDescent="0.15">
      <c r="D697" s="122" t="s">
        <v>64</v>
      </c>
    </row>
    <row r="698" spans="4:4" x14ac:dyDescent="0.15">
      <c r="D698" s="122" t="s">
        <v>64</v>
      </c>
    </row>
    <row r="699" spans="4:4" x14ac:dyDescent="0.15">
      <c r="D699" s="122" t="s">
        <v>64</v>
      </c>
    </row>
    <row r="700" spans="4:4" x14ac:dyDescent="0.15">
      <c r="D700" s="122" t="s">
        <v>64</v>
      </c>
    </row>
    <row r="701" spans="4:4" x14ac:dyDescent="0.15">
      <c r="D701" s="122" t="s">
        <v>64</v>
      </c>
    </row>
    <row r="702" spans="4:4" x14ac:dyDescent="0.15">
      <c r="D702" s="122" t="s">
        <v>64</v>
      </c>
    </row>
    <row r="703" spans="4:4" x14ac:dyDescent="0.15">
      <c r="D703" s="122" t="s">
        <v>64</v>
      </c>
    </row>
    <row r="704" spans="4:4" x14ac:dyDescent="0.15">
      <c r="D704" s="122" t="s">
        <v>64</v>
      </c>
    </row>
    <row r="705" spans="4:4" x14ac:dyDescent="0.15">
      <c r="D705" s="122" t="s">
        <v>64</v>
      </c>
    </row>
    <row r="706" spans="4:4" x14ac:dyDescent="0.15">
      <c r="D706" s="122" t="s">
        <v>64</v>
      </c>
    </row>
    <row r="707" spans="4:4" x14ac:dyDescent="0.15">
      <c r="D707" s="122" t="s">
        <v>64</v>
      </c>
    </row>
    <row r="708" spans="4:4" x14ac:dyDescent="0.15">
      <c r="D708" s="122" t="s">
        <v>64</v>
      </c>
    </row>
    <row r="709" spans="4:4" x14ac:dyDescent="0.15">
      <c r="D709" s="122" t="s">
        <v>64</v>
      </c>
    </row>
    <row r="710" spans="4:4" x14ac:dyDescent="0.15">
      <c r="D710" s="122" t="s">
        <v>64</v>
      </c>
    </row>
    <row r="711" spans="4:4" x14ac:dyDescent="0.15">
      <c r="D711" s="122" t="s">
        <v>64</v>
      </c>
    </row>
    <row r="712" spans="4:4" x14ac:dyDescent="0.15">
      <c r="D712" s="122" t="s">
        <v>64</v>
      </c>
    </row>
    <row r="713" spans="4:4" x14ac:dyDescent="0.15">
      <c r="D713" s="122" t="s">
        <v>64</v>
      </c>
    </row>
    <row r="714" spans="4:4" x14ac:dyDescent="0.15">
      <c r="D714" s="122" t="s">
        <v>64</v>
      </c>
    </row>
    <row r="715" spans="4:4" x14ac:dyDescent="0.15">
      <c r="D715" s="122" t="s">
        <v>64</v>
      </c>
    </row>
    <row r="716" spans="4:4" x14ac:dyDescent="0.15">
      <c r="D716" s="122" t="s">
        <v>64</v>
      </c>
    </row>
    <row r="717" spans="4:4" x14ac:dyDescent="0.15">
      <c r="D717" s="122" t="s">
        <v>64</v>
      </c>
    </row>
    <row r="718" spans="4:4" x14ac:dyDescent="0.15">
      <c r="D718" s="122" t="s">
        <v>64</v>
      </c>
    </row>
    <row r="719" spans="4:4" x14ac:dyDescent="0.15">
      <c r="D719" s="122" t="s">
        <v>64</v>
      </c>
    </row>
    <row r="720" spans="4:4" x14ac:dyDescent="0.15">
      <c r="D720" s="122" t="s">
        <v>64</v>
      </c>
    </row>
    <row r="721" spans="4:4" x14ac:dyDescent="0.15">
      <c r="D721" s="122" t="s">
        <v>64</v>
      </c>
    </row>
    <row r="722" spans="4:4" x14ac:dyDescent="0.15">
      <c r="D722" s="122" t="s">
        <v>64</v>
      </c>
    </row>
    <row r="723" spans="4:4" x14ac:dyDescent="0.15">
      <c r="D723" s="122" t="s">
        <v>64</v>
      </c>
    </row>
    <row r="724" spans="4:4" x14ac:dyDescent="0.15">
      <c r="D724" s="122" t="s">
        <v>64</v>
      </c>
    </row>
    <row r="725" spans="4:4" x14ac:dyDescent="0.15">
      <c r="D725" s="122" t="s">
        <v>64</v>
      </c>
    </row>
    <row r="726" spans="4:4" x14ac:dyDescent="0.15">
      <c r="D726" s="122" t="s">
        <v>64</v>
      </c>
    </row>
    <row r="727" spans="4:4" x14ac:dyDescent="0.15">
      <c r="D727" s="122" t="s">
        <v>64</v>
      </c>
    </row>
    <row r="728" spans="4:4" x14ac:dyDescent="0.15">
      <c r="D728" s="122" t="s">
        <v>64</v>
      </c>
    </row>
    <row r="729" spans="4:4" x14ac:dyDescent="0.15">
      <c r="D729" s="122" t="s">
        <v>64</v>
      </c>
    </row>
    <row r="730" spans="4:4" x14ac:dyDescent="0.15">
      <c r="D730" s="122" t="s">
        <v>64</v>
      </c>
    </row>
    <row r="731" spans="4:4" x14ac:dyDescent="0.15">
      <c r="D731" s="122" t="s">
        <v>64</v>
      </c>
    </row>
    <row r="732" spans="4:4" x14ac:dyDescent="0.15">
      <c r="D732" s="122" t="s">
        <v>64</v>
      </c>
    </row>
    <row r="733" spans="4:4" x14ac:dyDescent="0.15">
      <c r="D733" s="122" t="s">
        <v>64</v>
      </c>
    </row>
    <row r="734" spans="4:4" x14ac:dyDescent="0.15">
      <c r="D734" s="122" t="s">
        <v>64</v>
      </c>
    </row>
    <row r="735" spans="4:4" x14ac:dyDescent="0.15">
      <c r="D735" s="122" t="s">
        <v>64</v>
      </c>
    </row>
    <row r="736" spans="4:4" x14ac:dyDescent="0.15">
      <c r="D736" s="122" t="s">
        <v>64</v>
      </c>
    </row>
    <row r="737" spans="4:4" x14ac:dyDescent="0.15">
      <c r="D737" s="122" t="s">
        <v>64</v>
      </c>
    </row>
    <row r="738" spans="4:4" x14ac:dyDescent="0.15">
      <c r="D738" s="122" t="s">
        <v>64</v>
      </c>
    </row>
    <row r="739" spans="4:4" x14ac:dyDescent="0.15">
      <c r="D739" s="122" t="s">
        <v>64</v>
      </c>
    </row>
    <row r="740" spans="4:4" x14ac:dyDescent="0.15">
      <c r="D740" s="122" t="s">
        <v>64</v>
      </c>
    </row>
    <row r="741" spans="4:4" x14ac:dyDescent="0.15">
      <c r="D741" s="122" t="s">
        <v>64</v>
      </c>
    </row>
    <row r="742" spans="4:4" x14ac:dyDescent="0.15">
      <c r="D742" s="122" t="s">
        <v>64</v>
      </c>
    </row>
    <row r="743" spans="4:4" x14ac:dyDescent="0.15">
      <c r="D743" s="122" t="s">
        <v>64</v>
      </c>
    </row>
    <row r="744" spans="4:4" x14ac:dyDescent="0.15">
      <c r="D744" s="122" t="s">
        <v>64</v>
      </c>
    </row>
    <row r="745" spans="4:4" x14ac:dyDescent="0.15">
      <c r="D745" s="122" t="s">
        <v>64</v>
      </c>
    </row>
    <row r="746" spans="4:4" x14ac:dyDescent="0.15">
      <c r="D746" s="122" t="s">
        <v>64</v>
      </c>
    </row>
    <row r="747" spans="4:4" x14ac:dyDescent="0.15">
      <c r="D747" s="122" t="s">
        <v>64</v>
      </c>
    </row>
    <row r="748" spans="4:4" x14ac:dyDescent="0.15">
      <c r="D748" s="122" t="s">
        <v>64</v>
      </c>
    </row>
    <row r="749" spans="4:4" x14ac:dyDescent="0.15">
      <c r="D749" s="122" t="s">
        <v>64</v>
      </c>
    </row>
    <row r="750" spans="4:4" x14ac:dyDescent="0.15">
      <c r="D750" s="122" t="s">
        <v>64</v>
      </c>
    </row>
    <row r="751" spans="4:4" x14ac:dyDescent="0.15">
      <c r="D751" s="122" t="s">
        <v>64</v>
      </c>
    </row>
    <row r="752" spans="4:4" x14ac:dyDescent="0.15">
      <c r="D752" s="122" t="s">
        <v>64</v>
      </c>
    </row>
    <row r="753" spans="4:4" x14ac:dyDescent="0.15">
      <c r="D753" s="122" t="s">
        <v>64</v>
      </c>
    </row>
    <row r="754" spans="4:4" x14ac:dyDescent="0.15">
      <c r="D754" s="122" t="s">
        <v>64</v>
      </c>
    </row>
    <row r="755" spans="4:4" x14ac:dyDescent="0.15">
      <c r="D755" s="122" t="s">
        <v>64</v>
      </c>
    </row>
    <row r="756" spans="4:4" x14ac:dyDescent="0.15">
      <c r="D756" s="122" t="s">
        <v>64</v>
      </c>
    </row>
    <row r="757" spans="4:4" x14ac:dyDescent="0.15">
      <c r="D757" s="122" t="s">
        <v>64</v>
      </c>
    </row>
    <row r="758" spans="4:4" x14ac:dyDescent="0.15">
      <c r="D758" s="122" t="s">
        <v>64</v>
      </c>
    </row>
    <row r="759" spans="4:4" x14ac:dyDescent="0.15">
      <c r="D759" s="122" t="s">
        <v>64</v>
      </c>
    </row>
    <row r="760" spans="4:4" x14ac:dyDescent="0.15">
      <c r="D760" s="122" t="s">
        <v>64</v>
      </c>
    </row>
    <row r="761" spans="4:4" x14ac:dyDescent="0.15">
      <c r="D761" s="122" t="s">
        <v>64</v>
      </c>
    </row>
    <row r="762" spans="4:4" x14ac:dyDescent="0.15">
      <c r="D762" s="122" t="s">
        <v>64</v>
      </c>
    </row>
    <row r="763" spans="4:4" x14ac:dyDescent="0.15">
      <c r="D763" s="122" t="s">
        <v>64</v>
      </c>
    </row>
    <row r="764" spans="4:4" x14ac:dyDescent="0.15">
      <c r="D764" s="122" t="s">
        <v>64</v>
      </c>
    </row>
    <row r="765" spans="4:4" x14ac:dyDescent="0.15">
      <c r="D765" s="122" t="s">
        <v>64</v>
      </c>
    </row>
    <row r="766" spans="4:4" x14ac:dyDescent="0.15">
      <c r="D766" s="122" t="s">
        <v>64</v>
      </c>
    </row>
    <row r="767" spans="4:4" x14ac:dyDescent="0.15">
      <c r="D767" s="122" t="s">
        <v>64</v>
      </c>
    </row>
    <row r="768" spans="4:4" x14ac:dyDescent="0.15">
      <c r="D768" s="122" t="s">
        <v>64</v>
      </c>
    </row>
    <row r="769" spans="4:4" x14ac:dyDescent="0.15">
      <c r="D769" s="122" t="s">
        <v>64</v>
      </c>
    </row>
    <row r="770" spans="4:4" x14ac:dyDescent="0.15">
      <c r="D770" s="122" t="s">
        <v>64</v>
      </c>
    </row>
    <row r="771" spans="4:4" x14ac:dyDescent="0.15">
      <c r="D771" s="122" t="s">
        <v>64</v>
      </c>
    </row>
    <row r="772" spans="4:4" x14ac:dyDescent="0.15">
      <c r="D772" s="122" t="s">
        <v>64</v>
      </c>
    </row>
    <row r="773" spans="4:4" x14ac:dyDescent="0.15">
      <c r="D773" s="122" t="s">
        <v>64</v>
      </c>
    </row>
    <row r="774" spans="4:4" x14ac:dyDescent="0.15">
      <c r="D774" s="122" t="s">
        <v>64</v>
      </c>
    </row>
    <row r="775" spans="4:4" x14ac:dyDescent="0.15">
      <c r="D775" s="122" t="s">
        <v>64</v>
      </c>
    </row>
    <row r="776" spans="4:4" x14ac:dyDescent="0.15">
      <c r="D776" s="122" t="s">
        <v>64</v>
      </c>
    </row>
    <row r="777" spans="4:4" x14ac:dyDescent="0.15">
      <c r="D777" s="122" t="s">
        <v>64</v>
      </c>
    </row>
    <row r="778" spans="4:4" x14ac:dyDescent="0.15">
      <c r="D778" s="122" t="s">
        <v>64</v>
      </c>
    </row>
    <row r="779" spans="4:4" x14ac:dyDescent="0.15">
      <c r="D779" s="122" t="s">
        <v>64</v>
      </c>
    </row>
    <row r="780" spans="4:4" x14ac:dyDescent="0.15">
      <c r="D780" s="122" t="s">
        <v>64</v>
      </c>
    </row>
    <row r="781" spans="4:4" x14ac:dyDescent="0.15">
      <c r="D781" s="122" t="s">
        <v>64</v>
      </c>
    </row>
    <row r="782" spans="4:4" x14ac:dyDescent="0.15">
      <c r="D782" s="122" t="s">
        <v>64</v>
      </c>
    </row>
    <row r="783" spans="4:4" x14ac:dyDescent="0.15">
      <c r="D783" s="122" t="s">
        <v>64</v>
      </c>
    </row>
    <row r="784" spans="4:4" x14ac:dyDescent="0.15">
      <c r="D784" s="122" t="s">
        <v>64</v>
      </c>
    </row>
    <row r="785" spans="4:4" x14ac:dyDescent="0.15">
      <c r="D785" s="122" t="s">
        <v>64</v>
      </c>
    </row>
    <row r="786" spans="4:4" x14ac:dyDescent="0.15">
      <c r="D786" s="122" t="s">
        <v>64</v>
      </c>
    </row>
    <row r="787" spans="4:4" x14ac:dyDescent="0.15">
      <c r="D787" s="122" t="s">
        <v>64</v>
      </c>
    </row>
    <row r="788" spans="4:4" x14ac:dyDescent="0.15">
      <c r="D788" s="122" t="s">
        <v>64</v>
      </c>
    </row>
    <row r="789" spans="4:4" x14ac:dyDescent="0.15">
      <c r="D789" s="122" t="s">
        <v>64</v>
      </c>
    </row>
    <row r="790" spans="4:4" x14ac:dyDescent="0.15">
      <c r="D790" s="122" t="s">
        <v>64</v>
      </c>
    </row>
    <row r="791" spans="4:4" x14ac:dyDescent="0.15">
      <c r="D791" s="122" t="s">
        <v>64</v>
      </c>
    </row>
    <row r="792" spans="4:4" x14ac:dyDescent="0.15">
      <c r="D792" s="122" t="s">
        <v>64</v>
      </c>
    </row>
    <row r="793" spans="4:4" x14ac:dyDescent="0.15">
      <c r="D793" s="122" t="s">
        <v>64</v>
      </c>
    </row>
    <row r="794" spans="4:4" x14ac:dyDescent="0.15">
      <c r="D794" s="122" t="s">
        <v>64</v>
      </c>
    </row>
    <row r="795" spans="4:4" x14ac:dyDescent="0.15">
      <c r="D795" s="122" t="s">
        <v>64</v>
      </c>
    </row>
    <row r="796" spans="4:4" x14ac:dyDescent="0.15">
      <c r="D796" s="122" t="s">
        <v>64</v>
      </c>
    </row>
    <row r="797" spans="4:4" x14ac:dyDescent="0.15">
      <c r="D797" s="122" t="s">
        <v>64</v>
      </c>
    </row>
    <row r="798" spans="4:4" x14ac:dyDescent="0.15">
      <c r="D798" s="122" t="s">
        <v>64</v>
      </c>
    </row>
    <row r="799" spans="4:4" x14ac:dyDescent="0.15">
      <c r="D799" s="122" t="s">
        <v>64</v>
      </c>
    </row>
    <row r="800" spans="4:4" x14ac:dyDescent="0.15">
      <c r="D800" s="122" t="s">
        <v>64</v>
      </c>
    </row>
    <row r="801" spans="4:4" x14ac:dyDescent="0.15">
      <c r="D801" s="122" t="s">
        <v>64</v>
      </c>
    </row>
    <row r="802" spans="4:4" x14ac:dyDescent="0.15">
      <c r="D802" s="122" t="s">
        <v>64</v>
      </c>
    </row>
    <row r="803" spans="4:4" x14ac:dyDescent="0.15">
      <c r="D803" s="122" t="s">
        <v>64</v>
      </c>
    </row>
    <row r="804" spans="4:4" x14ac:dyDescent="0.15">
      <c r="D804" s="122" t="s">
        <v>64</v>
      </c>
    </row>
    <row r="805" spans="4:4" x14ac:dyDescent="0.15">
      <c r="D805" s="122" t="s">
        <v>64</v>
      </c>
    </row>
    <row r="806" spans="4:4" x14ac:dyDescent="0.15">
      <c r="D806" s="122" t="s">
        <v>64</v>
      </c>
    </row>
    <row r="807" spans="4:4" x14ac:dyDescent="0.15">
      <c r="D807" s="122" t="s">
        <v>64</v>
      </c>
    </row>
    <row r="808" spans="4:4" x14ac:dyDescent="0.15">
      <c r="D808" s="122" t="s">
        <v>64</v>
      </c>
    </row>
    <row r="809" spans="4:4" x14ac:dyDescent="0.15">
      <c r="D809" s="122" t="s">
        <v>64</v>
      </c>
    </row>
    <row r="810" spans="4:4" x14ac:dyDescent="0.15">
      <c r="D810" s="122" t="s">
        <v>64</v>
      </c>
    </row>
    <row r="811" spans="4:4" x14ac:dyDescent="0.15">
      <c r="D811" s="122" t="s">
        <v>64</v>
      </c>
    </row>
    <row r="812" spans="4:4" x14ac:dyDescent="0.15">
      <c r="D812" s="122" t="s">
        <v>64</v>
      </c>
    </row>
    <row r="813" spans="4:4" x14ac:dyDescent="0.15">
      <c r="D813" s="122" t="s">
        <v>64</v>
      </c>
    </row>
    <row r="814" spans="4:4" x14ac:dyDescent="0.15">
      <c r="D814" s="122" t="s">
        <v>64</v>
      </c>
    </row>
    <row r="815" spans="4:4" x14ac:dyDescent="0.15">
      <c r="D815" s="122" t="s">
        <v>64</v>
      </c>
    </row>
    <row r="816" spans="4:4" x14ac:dyDescent="0.15">
      <c r="D816" s="122" t="s">
        <v>64</v>
      </c>
    </row>
    <row r="817" spans="4:4" x14ac:dyDescent="0.15">
      <c r="D817" s="122" t="s">
        <v>64</v>
      </c>
    </row>
    <row r="818" spans="4:4" x14ac:dyDescent="0.15">
      <c r="D818" s="122" t="s">
        <v>64</v>
      </c>
    </row>
    <row r="819" spans="4:4" x14ac:dyDescent="0.15">
      <c r="D819" s="122" t="s">
        <v>64</v>
      </c>
    </row>
    <row r="820" spans="4:4" x14ac:dyDescent="0.15">
      <c r="D820" s="122" t="s">
        <v>64</v>
      </c>
    </row>
    <row r="821" spans="4:4" x14ac:dyDescent="0.15">
      <c r="D821" s="122" t="s">
        <v>64</v>
      </c>
    </row>
    <row r="822" spans="4:4" x14ac:dyDescent="0.15">
      <c r="D822" s="122" t="s">
        <v>64</v>
      </c>
    </row>
    <row r="823" spans="4:4" x14ac:dyDescent="0.15">
      <c r="D823" s="122" t="s">
        <v>64</v>
      </c>
    </row>
    <row r="824" spans="4:4" x14ac:dyDescent="0.15">
      <c r="D824" s="122" t="s">
        <v>64</v>
      </c>
    </row>
    <row r="825" spans="4:4" x14ac:dyDescent="0.15">
      <c r="D825" s="122" t="s">
        <v>64</v>
      </c>
    </row>
    <row r="826" spans="4:4" x14ac:dyDescent="0.15">
      <c r="D826" s="122" t="s">
        <v>64</v>
      </c>
    </row>
    <row r="827" spans="4:4" x14ac:dyDescent="0.15">
      <c r="D827" s="122" t="s">
        <v>64</v>
      </c>
    </row>
    <row r="828" spans="4:4" x14ac:dyDescent="0.15">
      <c r="D828" s="122" t="s">
        <v>64</v>
      </c>
    </row>
    <row r="829" spans="4:4" x14ac:dyDescent="0.15">
      <c r="D829" s="122" t="s">
        <v>64</v>
      </c>
    </row>
    <row r="830" spans="4:4" x14ac:dyDescent="0.15">
      <c r="D830" s="122" t="s">
        <v>64</v>
      </c>
    </row>
    <row r="831" spans="4:4" x14ac:dyDescent="0.15">
      <c r="D831" s="122" t="s">
        <v>64</v>
      </c>
    </row>
    <row r="832" spans="4:4" x14ac:dyDescent="0.15">
      <c r="D832" s="122" t="s">
        <v>64</v>
      </c>
    </row>
    <row r="833" spans="4:4" x14ac:dyDescent="0.15">
      <c r="D833" s="122" t="s">
        <v>64</v>
      </c>
    </row>
    <row r="834" spans="4:4" x14ac:dyDescent="0.15">
      <c r="D834" s="122" t="s">
        <v>64</v>
      </c>
    </row>
    <row r="835" spans="4:4" x14ac:dyDescent="0.15">
      <c r="D835" s="122" t="s">
        <v>64</v>
      </c>
    </row>
    <row r="836" spans="4:4" x14ac:dyDescent="0.15">
      <c r="D836" s="122" t="s">
        <v>64</v>
      </c>
    </row>
    <row r="837" spans="4:4" x14ac:dyDescent="0.15">
      <c r="D837" s="122" t="s">
        <v>64</v>
      </c>
    </row>
    <row r="838" spans="4:4" x14ac:dyDescent="0.15">
      <c r="D838" s="122" t="s">
        <v>64</v>
      </c>
    </row>
    <row r="839" spans="4:4" x14ac:dyDescent="0.15">
      <c r="D839" s="122" t="s">
        <v>64</v>
      </c>
    </row>
    <row r="840" spans="4:4" x14ac:dyDescent="0.15">
      <c r="D840" s="122" t="s">
        <v>64</v>
      </c>
    </row>
    <row r="841" spans="4:4" x14ac:dyDescent="0.15">
      <c r="D841" s="122" t="s">
        <v>64</v>
      </c>
    </row>
    <row r="842" spans="4:4" x14ac:dyDescent="0.15">
      <c r="D842" s="122" t="s">
        <v>64</v>
      </c>
    </row>
    <row r="843" spans="4:4" x14ac:dyDescent="0.15">
      <c r="D843" s="122" t="s">
        <v>64</v>
      </c>
    </row>
    <row r="844" spans="4:4" x14ac:dyDescent="0.15">
      <c r="D844" s="122" t="s">
        <v>64</v>
      </c>
    </row>
    <row r="845" spans="4:4" x14ac:dyDescent="0.15">
      <c r="D845" s="122" t="s">
        <v>64</v>
      </c>
    </row>
    <row r="846" spans="4:4" x14ac:dyDescent="0.15">
      <c r="D846" s="122" t="s">
        <v>64</v>
      </c>
    </row>
    <row r="847" spans="4:4" x14ac:dyDescent="0.15">
      <c r="D847" s="122" t="s">
        <v>64</v>
      </c>
    </row>
    <row r="848" spans="4:4" x14ac:dyDescent="0.15">
      <c r="D848" s="122" t="s">
        <v>64</v>
      </c>
    </row>
    <row r="849" spans="4:4" x14ac:dyDescent="0.15">
      <c r="D849" s="122" t="s">
        <v>64</v>
      </c>
    </row>
    <row r="850" spans="4:4" x14ac:dyDescent="0.15">
      <c r="D850" s="122" t="s">
        <v>64</v>
      </c>
    </row>
    <row r="851" spans="4:4" x14ac:dyDescent="0.15">
      <c r="D851" s="122" t="s">
        <v>64</v>
      </c>
    </row>
    <row r="852" spans="4:4" x14ac:dyDescent="0.15">
      <c r="D852" s="122" t="s">
        <v>64</v>
      </c>
    </row>
    <row r="853" spans="4:4" x14ac:dyDescent="0.15">
      <c r="D853" s="122" t="s">
        <v>64</v>
      </c>
    </row>
    <row r="854" spans="4:4" x14ac:dyDescent="0.15">
      <c r="D854" s="122" t="s">
        <v>64</v>
      </c>
    </row>
    <row r="855" spans="4:4" x14ac:dyDescent="0.15">
      <c r="D855" s="122" t="s">
        <v>64</v>
      </c>
    </row>
    <row r="856" spans="4:4" x14ac:dyDescent="0.15">
      <c r="D856" s="122" t="s">
        <v>64</v>
      </c>
    </row>
    <row r="857" spans="4:4" x14ac:dyDescent="0.15">
      <c r="D857" s="122" t="s">
        <v>64</v>
      </c>
    </row>
    <row r="858" spans="4:4" x14ac:dyDescent="0.15">
      <c r="D858" s="122" t="s">
        <v>64</v>
      </c>
    </row>
    <row r="859" spans="4:4" x14ac:dyDescent="0.15">
      <c r="D859" s="122" t="s">
        <v>64</v>
      </c>
    </row>
    <row r="860" spans="4:4" x14ac:dyDescent="0.15">
      <c r="D860" s="122" t="s">
        <v>64</v>
      </c>
    </row>
    <row r="861" spans="4:4" x14ac:dyDescent="0.15">
      <c r="D861" s="122" t="s">
        <v>64</v>
      </c>
    </row>
    <row r="862" spans="4:4" x14ac:dyDescent="0.15">
      <c r="D862" s="122" t="s">
        <v>64</v>
      </c>
    </row>
    <row r="863" spans="4:4" x14ac:dyDescent="0.15">
      <c r="D863" s="122" t="s">
        <v>64</v>
      </c>
    </row>
    <row r="864" spans="4:4" x14ac:dyDescent="0.15">
      <c r="D864" s="122" t="s">
        <v>64</v>
      </c>
    </row>
    <row r="865" spans="4:4" x14ac:dyDescent="0.15">
      <c r="D865" s="122" t="s">
        <v>64</v>
      </c>
    </row>
    <row r="866" spans="4:4" x14ac:dyDescent="0.15">
      <c r="D866" s="122" t="s">
        <v>64</v>
      </c>
    </row>
    <row r="867" spans="4:4" x14ac:dyDescent="0.15">
      <c r="D867" s="122" t="s">
        <v>64</v>
      </c>
    </row>
    <row r="868" spans="4:4" x14ac:dyDescent="0.15">
      <c r="D868" s="122" t="s">
        <v>64</v>
      </c>
    </row>
    <row r="869" spans="4:4" x14ac:dyDescent="0.15">
      <c r="D869" s="122" t="s">
        <v>64</v>
      </c>
    </row>
    <row r="870" spans="4:4" x14ac:dyDescent="0.15">
      <c r="D870" s="122" t="s">
        <v>64</v>
      </c>
    </row>
    <row r="871" spans="4:4" x14ac:dyDescent="0.15">
      <c r="D871" s="122" t="s">
        <v>64</v>
      </c>
    </row>
    <row r="872" spans="4:4" x14ac:dyDescent="0.15">
      <c r="D872" s="122" t="s">
        <v>64</v>
      </c>
    </row>
    <row r="873" spans="4:4" x14ac:dyDescent="0.15">
      <c r="D873" s="122" t="s">
        <v>64</v>
      </c>
    </row>
    <row r="874" spans="4:4" x14ac:dyDescent="0.15">
      <c r="D874" s="122" t="s">
        <v>64</v>
      </c>
    </row>
    <row r="875" spans="4:4" x14ac:dyDescent="0.15">
      <c r="D875" s="122" t="s">
        <v>64</v>
      </c>
    </row>
    <row r="876" spans="4:4" x14ac:dyDescent="0.15">
      <c r="D876" s="122" t="s">
        <v>64</v>
      </c>
    </row>
    <row r="877" spans="4:4" x14ac:dyDescent="0.15">
      <c r="D877" s="122" t="s">
        <v>64</v>
      </c>
    </row>
    <row r="878" spans="4:4" x14ac:dyDescent="0.15">
      <c r="D878" s="122" t="s">
        <v>64</v>
      </c>
    </row>
    <row r="879" spans="4:4" x14ac:dyDescent="0.15">
      <c r="D879" s="122" t="s">
        <v>64</v>
      </c>
    </row>
    <row r="880" spans="4:4" x14ac:dyDescent="0.15">
      <c r="D880" s="122" t="s">
        <v>64</v>
      </c>
    </row>
    <row r="881" spans="4:4" x14ac:dyDescent="0.15">
      <c r="D881" s="122" t="s">
        <v>64</v>
      </c>
    </row>
    <row r="882" spans="4:4" x14ac:dyDescent="0.15">
      <c r="D882" s="122" t="s">
        <v>64</v>
      </c>
    </row>
    <row r="883" spans="4:4" x14ac:dyDescent="0.15">
      <c r="D883" s="122" t="s">
        <v>64</v>
      </c>
    </row>
    <row r="884" spans="4:4" x14ac:dyDescent="0.15">
      <c r="D884" s="122" t="s">
        <v>64</v>
      </c>
    </row>
    <row r="885" spans="4:4" x14ac:dyDescent="0.15">
      <c r="D885" s="122" t="s">
        <v>64</v>
      </c>
    </row>
    <row r="886" spans="4:4" x14ac:dyDescent="0.15">
      <c r="D886" s="122" t="s">
        <v>64</v>
      </c>
    </row>
    <row r="887" spans="4:4" x14ac:dyDescent="0.15">
      <c r="D887" s="122" t="s">
        <v>64</v>
      </c>
    </row>
    <row r="888" spans="4:4" x14ac:dyDescent="0.15">
      <c r="D888" s="122" t="s">
        <v>64</v>
      </c>
    </row>
    <row r="889" spans="4:4" x14ac:dyDescent="0.15">
      <c r="D889" s="122" t="s">
        <v>64</v>
      </c>
    </row>
    <row r="890" spans="4:4" x14ac:dyDescent="0.15">
      <c r="D890" s="122" t="s">
        <v>64</v>
      </c>
    </row>
    <row r="891" spans="4:4" x14ac:dyDescent="0.15">
      <c r="D891" s="122" t="s">
        <v>64</v>
      </c>
    </row>
    <row r="892" spans="4:4" x14ac:dyDescent="0.15">
      <c r="D892" s="122" t="s">
        <v>64</v>
      </c>
    </row>
    <row r="893" spans="4:4" x14ac:dyDescent="0.15">
      <c r="D893" s="122" t="s">
        <v>64</v>
      </c>
    </row>
    <row r="894" spans="4:4" x14ac:dyDescent="0.15">
      <c r="D894" s="122" t="s">
        <v>64</v>
      </c>
    </row>
    <row r="895" spans="4:4" x14ac:dyDescent="0.15">
      <c r="D895" s="122" t="s">
        <v>64</v>
      </c>
    </row>
    <row r="896" spans="4:4" x14ac:dyDescent="0.15">
      <c r="D896" s="122" t="s">
        <v>64</v>
      </c>
    </row>
    <row r="897" spans="4:4" x14ac:dyDescent="0.15">
      <c r="D897" s="122" t="s">
        <v>64</v>
      </c>
    </row>
    <row r="898" spans="4:4" x14ac:dyDescent="0.15">
      <c r="D898" s="122" t="s">
        <v>64</v>
      </c>
    </row>
    <row r="899" spans="4:4" x14ac:dyDescent="0.15">
      <c r="D899" s="122" t="s">
        <v>64</v>
      </c>
    </row>
    <row r="900" spans="4:4" x14ac:dyDescent="0.15">
      <c r="D900" s="122" t="s">
        <v>64</v>
      </c>
    </row>
    <row r="901" spans="4:4" x14ac:dyDescent="0.15">
      <c r="D901" s="122" t="s">
        <v>64</v>
      </c>
    </row>
    <row r="902" spans="4:4" x14ac:dyDescent="0.15">
      <c r="D902" s="122" t="s">
        <v>64</v>
      </c>
    </row>
    <row r="903" spans="4:4" x14ac:dyDescent="0.15">
      <c r="D903" s="122" t="s">
        <v>64</v>
      </c>
    </row>
    <row r="904" spans="4:4" x14ac:dyDescent="0.15">
      <c r="D904" s="122" t="s">
        <v>64</v>
      </c>
    </row>
    <row r="905" spans="4:4" x14ac:dyDescent="0.15">
      <c r="D905" s="122" t="s">
        <v>64</v>
      </c>
    </row>
    <row r="906" spans="4:4" x14ac:dyDescent="0.15">
      <c r="D906" s="122" t="s">
        <v>64</v>
      </c>
    </row>
    <row r="907" spans="4:4" x14ac:dyDescent="0.15">
      <c r="D907" s="122" t="s">
        <v>64</v>
      </c>
    </row>
    <row r="908" spans="4:4" x14ac:dyDescent="0.15">
      <c r="D908" s="122" t="s">
        <v>64</v>
      </c>
    </row>
    <row r="909" spans="4:4" x14ac:dyDescent="0.15">
      <c r="D909" s="122" t="s">
        <v>64</v>
      </c>
    </row>
    <row r="910" spans="4:4" x14ac:dyDescent="0.15">
      <c r="D910" s="122" t="s">
        <v>64</v>
      </c>
    </row>
    <row r="911" spans="4:4" x14ac:dyDescent="0.15">
      <c r="D911" s="122" t="s">
        <v>64</v>
      </c>
    </row>
    <row r="912" spans="4:4" x14ac:dyDescent="0.15">
      <c r="D912" s="122" t="s">
        <v>64</v>
      </c>
    </row>
    <row r="913" spans="4:4" x14ac:dyDescent="0.15">
      <c r="D913" s="122" t="s">
        <v>64</v>
      </c>
    </row>
    <row r="914" spans="4:4" x14ac:dyDescent="0.15">
      <c r="D914" s="122" t="s">
        <v>64</v>
      </c>
    </row>
    <row r="915" spans="4:4" x14ac:dyDescent="0.15">
      <c r="D915" s="122" t="s">
        <v>64</v>
      </c>
    </row>
    <row r="916" spans="4:4" x14ac:dyDescent="0.15">
      <c r="D916" s="122" t="s">
        <v>64</v>
      </c>
    </row>
    <row r="917" spans="4:4" x14ac:dyDescent="0.15">
      <c r="D917" s="122" t="s">
        <v>64</v>
      </c>
    </row>
    <row r="918" spans="4:4" x14ac:dyDescent="0.15">
      <c r="D918" s="122" t="s">
        <v>64</v>
      </c>
    </row>
    <row r="919" spans="4:4" x14ac:dyDescent="0.15">
      <c r="D919" s="122" t="s">
        <v>64</v>
      </c>
    </row>
    <row r="920" spans="4:4" x14ac:dyDescent="0.15">
      <c r="D920" s="122" t="s">
        <v>64</v>
      </c>
    </row>
    <row r="921" spans="4:4" x14ac:dyDescent="0.15">
      <c r="D921" s="122" t="s">
        <v>64</v>
      </c>
    </row>
    <row r="922" spans="4:4" x14ac:dyDescent="0.15">
      <c r="D922" s="122" t="s">
        <v>64</v>
      </c>
    </row>
    <row r="923" spans="4:4" x14ac:dyDescent="0.15">
      <c r="D923" s="122" t="s">
        <v>64</v>
      </c>
    </row>
    <row r="924" spans="4:4" x14ac:dyDescent="0.15">
      <c r="D924" s="122" t="s">
        <v>64</v>
      </c>
    </row>
    <row r="925" spans="4:4" x14ac:dyDescent="0.15">
      <c r="D925" s="122" t="s">
        <v>64</v>
      </c>
    </row>
    <row r="926" spans="4:4" x14ac:dyDescent="0.15">
      <c r="D926" s="122" t="s">
        <v>64</v>
      </c>
    </row>
    <row r="927" spans="4:4" x14ac:dyDescent="0.15">
      <c r="D927" s="122" t="s">
        <v>64</v>
      </c>
    </row>
    <row r="928" spans="4:4" x14ac:dyDescent="0.15">
      <c r="D928" s="122" t="s">
        <v>64</v>
      </c>
    </row>
    <row r="929" spans="4:4" x14ac:dyDescent="0.15">
      <c r="D929" s="122" t="s">
        <v>64</v>
      </c>
    </row>
    <row r="930" spans="4:4" x14ac:dyDescent="0.15">
      <c r="D930" s="122" t="s">
        <v>64</v>
      </c>
    </row>
    <row r="931" spans="4:4" x14ac:dyDescent="0.15">
      <c r="D931" s="122" t="s">
        <v>64</v>
      </c>
    </row>
    <row r="932" spans="4:4" x14ac:dyDescent="0.15">
      <c r="D932" s="122" t="s">
        <v>64</v>
      </c>
    </row>
    <row r="933" spans="4:4" x14ac:dyDescent="0.15">
      <c r="D933" s="122" t="s">
        <v>64</v>
      </c>
    </row>
    <row r="934" spans="4:4" x14ac:dyDescent="0.15">
      <c r="D934" s="122" t="s">
        <v>64</v>
      </c>
    </row>
    <row r="935" spans="4:4" x14ac:dyDescent="0.15">
      <c r="D935" s="122" t="s">
        <v>64</v>
      </c>
    </row>
    <row r="936" spans="4:4" x14ac:dyDescent="0.15">
      <c r="D936" s="122" t="s">
        <v>64</v>
      </c>
    </row>
    <row r="937" spans="4:4" x14ac:dyDescent="0.15">
      <c r="D937" s="122" t="s">
        <v>64</v>
      </c>
    </row>
    <row r="938" spans="4:4" x14ac:dyDescent="0.15">
      <c r="D938" s="122" t="s">
        <v>64</v>
      </c>
    </row>
    <row r="939" spans="4:4" x14ac:dyDescent="0.15">
      <c r="D939" s="122" t="s">
        <v>64</v>
      </c>
    </row>
    <row r="940" spans="4:4" x14ac:dyDescent="0.15">
      <c r="D940" s="122" t="s">
        <v>64</v>
      </c>
    </row>
    <row r="941" spans="4:4" x14ac:dyDescent="0.15">
      <c r="D941" s="122" t="s">
        <v>64</v>
      </c>
    </row>
    <row r="942" spans="4:4" x14ac:dyDescent="0.15">
      <c r="D942" s="122" t="s">
        <v>64</v>
      </c>
    </row>
    <row r="943" spans="4:4" x14ac:dyDescent="0.15">
      <c r="D943" s="122" t="s">
        <v>64</v>
      </c>
    </row>
    <row r="944" spans="4:4" x14ac:dyDescent="0.15">
      <c r="D944" s="122" t="s">
        <v>64</v>
      </c>
    </row>
    <row r="945" spans="4:4" x14ac:dyDescent="0.15">
      <c r="D945" s="122" t="s">
        <v>64</v>
      </c>
    </row>
    <row r="946" spans="4:4" x14ac:dyDescent="0.15">
      <c r="D946" s="122" t="s">
        <v>64</v>
      </c>
    </row>
    <row r="947" spans="4:4" x14ac:dyDescent="0.15">
      <c r="D947" s="122" t="s">
        <v>64</v>
      </c>
    </row>
    <row r="948" spans="4:4" x14ac:dyDescent="0.15">
      <c r="D948" s="122" t="s">
        <v>64</v>
      </c>
    </row>
    <row r="949" spans="4:4" x14ac:dyDescent="0.15">
      <c r="D949" s="122" t="s">
        <v>64</v>
      </c>
    </row>
    <row r="950" spans="4:4" x14ac:dyDescent="0.15">
      <c r="D950" s="122" t="s">
        <v>64</v>
      </c>
    </row>
    <row r="951" spans="4:4" x14ac:dyDescent="0.15">
      <c r="D951" s="122" t="s">
        <v>64</v>
      </c>
    </row>
    <row r="952" spans="4:4" x14ac:dyDescent="0.15">
      <c r="D952" s="122" t="s">
        <v>64</v>
      </c>
    </row>
    <row r="953" spans="4:4" x14ac:dyDescent="0.15">
      <c r="D953" s="122" t="s">
        <v>64</v>
      </c>
    </row>
    <row r="954" spans="4:4" x14ac:dyDescent="0.15">
      <c r="D954" s="122" t="s">
        <v>64</v>
      </c>
    </row>
    <row r="955" spans="4:4" x14ac:dyDescent="0.15">
      <c r="D955" s="122" t="s">
        <v>64</v>
      </c>
    </row>
    <row r="956" spans="4:4" x14ac:dyDescent="0.15">
      <c r="D956" s="122" t="s">
        <v>64</v>
      </c>
    </row>
    <row r="957" spans="4:4" x14ac:dyDescent="0.15">
      <c r="D957" s="122" t="s">
        <v>64</v>
      </c>
    </row>
    <row r="958" spans="4:4" x14ac:dyDescent="0.15">
      <c r="D958" s="122" t="s">
        <v>64</v>
      </c>
    </row>
    <row r="959" spans="4:4" x14ac:dyDescent="0.15">
      <c r="D959" s="122" t="s">
        <v>64</v>
      </c>
    </row>
    <row r="960" spans="4:4" x14ac:dyDescent="0.15">
      <c r="D960" s="122" t="s">
        <v>64</v>
      </c>
    </row>
    <row r="961" spans="4:4" x14ac:dyDescent="0.15">
      <c r="D961" s="122" t="s">
        <v>64</v>
      </c>
    </row>
    <row r="962" spans="4:4" x14ac:dyDescent="0.15">
      <c r="D962" s="122" t="s">
        <v>64</v>
      </c>
    </row>
    <row r="963" spans="4:4" x14ac:dyDescent="0.15">
      <c r="D963" s="122" t="s">
        <v>64</v>
      </c>
    </row>
    <row r="964" spans="4:4" x14ac:dyDescent="0.15">
      <c r="D964" s="122" t="s">
        <v>64</v>
      </c>
    </row>
    <row r="965" spans="4:4" x14ac:dyDescent="0.15">
      <c r="D965" s="122" t="s">
        <v>64</v>
      </c>
    </row>
    <row r="966" spans="4:4" x14ac:dyDescent="0.15">
      <c r="D966" s="122" t="s">
        <v>64</v>
      </c>
    </row>
    <row r="967" spans="4:4" x14ac:dyDescent="0.15">
      <c r="D967" s="122" t="s">
        <v>64</v>
      </c>
    </row>
    <row r="968" spans="4:4" x14ac:dyDescent="0.15">
      <c r="D968" s="122" t="s">
        <v>64</v>
      </c>
    </row>
    <row r="969" spans="4:4" x14ac:dyDescent="0.15">
      <c r="D969" s="122" t="s">
        <v>64</v>
      </c>
    </row>
    <row r="970" spans="4:4" x14ac:dyDescent="0.15">
      <c r="D970" s="122" t="s">
        <v>64</v>
      </c>
    </row>
    <row r="971" spans="4:4" x14ac:dyDescent="0.15">
      <c r="D971" s="122" t="s">
        <v>64</v>
      </c>
    </row>
    <row r="972" spans="4:4" x14ac:dyDescent="0.15">
      <c r="D972" s="122" t="s">
        <v>64</v>
      </c>
    </row>
    <row r="973" spans="4:4" x14ac:dyDescent="0.15">
      <c r="D973" s="122" t="s">
        <v>64</v>
      </c>
    </row>
    <row r="974" spans="4:4" x14ac:dyDescent="0.15">
      <c r="D974" s="122" t="s">
        <v>64</v>
      </c>
    </row>
    <row r="975" spans="4:4" x14ac:dyDescent="0.15">
      <c r="D975" s="122" t="s">
        <v>64</v>
      </c>
    </row>
    <row r="976" spans="4:4" x14ac:dyDescent="0.15">
      <c r="D976" s="122" t="s">
        <v>64</v>
      </c>
    </row>
    <row r="977" spans="4:4" x14ac:dyDescent="0.15">
      <c r="D977" s="122" t="s">
        <v>64</v>
      </c>
    </row>
    <row r="978" spans="4:4" x14ac:dyDescent="0.15">
      <c r="D978" s="122" t="s">
        <v>64</v>
      </c>
    </row>
    <row r="979" spans="4:4" x14ac:dyDescent="0.15">
      <c r="D979" s="122" t="s">
        <v>64</v>
      </c>
    </row>
    <row r="980" spans="4:4" x14ac:dyDescent="0.15">
      <c r="D980" s="122" t="s">
        <v>64</v>
      </c>
    </row>
    <row r="981" spans="4:4" x14ac:dyDescent="0.15">
      <c r="D981" s="122" t="s">
        <v>64</v>
      </c>
    </row>
    <row r="982" spans="4:4" x14ac:dyDescent="0.15">
      <c r="D982" s="122" t="s">
        <v>64</v>
      </c>
    </row>
    <row r="983" spans="4:4" x14ac:dyDescent="0.15">
      <c r="D983" s="122" t="s">
        <v>64</v>
      </c>
    </row>
    <row r="984" spans="4:4" x14ac:dyDescent="0.15">
      <c r="D984" s="122" t="s">
        <v>64</v>
      </c>
    </row>
    <row r="985" spans="4:4" x14ac:dyDescent="0.15">
      <c r="D985" s="122" t="s">
        <v>64</v>
      </c>
    </row>
    <row r="986" spans="4:4" x14ac:dyDescent="0.15">
      <c r="D986" s="122" t="s">
        <v>64</v>
      </c>
    </row>
    <row r="987" spans="4:4" x14ac:dyDescent="0.15">
      <c r="D987" s="122" t="s">
        <v>64</v>
      </c>
    </row>
    <row r="988" spans="4:4" x14ac:dyDescent="0.15">
      <c r="D988" s="122" t="s">
        <v>64</v>
      </c>
    </row>
    <row r="989" spans="4:4" x14ac:dyDescent="0.15">
      <c r="D989" s="122" t="s">
        <v>64</v>
      </c>
    </row>
    <row r="990" spans="4:4" x14ac:dyDescent="0.15">
      <c r="D990" s="122" t="s">
        <v>64</v>
      </c>
    </row>
    <row r="991" spans="4:4" x14ac:dyDescent="0.15">
      <c r="D991" s="122" t="s">
        <v>64</v>
      </c>
    </row>
    <row r="992" spans="4:4" x14ac:dyDescent="0.15">
      <c r="D992" s="122" t="s">
        <v>64</v>
      </c>
    </row>
    <row r="993" spans="4:4" x14ac:dyDescent="0.15">
      <c r="D993" s="122" t="s">
        <v>64</v>
      </c>
    </row>
    <row r="994" spans="4:4" x14ac:dyDescent="0.15">
      <c r="D994" s="122" t="s">
        <v>64</v>
      </c>
    </row>
    <row r="995" spans="4:4" x14ac:dyDescent="0.15">
      <c r="D995" s="122" t="s">
        <v>64</v>
      </c>
    </row>
    <row r="996" spans="4:4" x14ac:dyDescent="0.15">
      <c r="D996" s="122" t="s">
        <v>64</v>
      </c>
    </row>
    <row r="997" spans="4:4" x14ac:dyDescent="0.15">
      <c r="D997" s="122" t="s">
        <v>64</v>
      </c>
    </row>
    <row r="998" spans="4:4" x14ac:dyDescent="0.15">
      <c r="D998" s="122" t="s">
        <v>64</v>
      </c>
    </row>
    <row r="999" spans="4:4" x14ac:dyDescent="0.15">
      <c r="D999" s="122" t="s">
        <v>64</v>
      </c>
    </row>
    <row r="1000" spans="4:4" x14ac:dyDescent="0.15">
      <c r="D1000" s="122" t="s">
        <v>64</v>
      </c>
    </row>
    <row r="1001" spans="4:4" x14ac:dyDescent="0.15">
      <c r="D1001" s="122" t="s">
        <v>64</v>
      </c>
    </row>
    <row r="1002" spans="4:4" x14ac:dyDescent="0.15">
      <c r="D1002" s="122" t="s">
        <v>64</v>
      </c>
    </row>
    <row r="1003" spans="4:4" x14ac:dyDescent="0.15">
      <c r="D1003" s="122" t="s">
        <v>64</v>
      </c>
    </row>
    <row r="1004" spans="4:4" x14ac:dyDescent="0.15">
      <c r="D1004" s="122" t="s">
        <v>64</v>
      </c>
    </row>
    <row r="1005" spans="4:4" x14ac:dyDescent="0.15">
      <c r="D1005" s="122" t="s">
        <v>64</v>
      </c>
    </row>
    <row r="1006" spans="4:4" x14ac:dyDescent="0.15">
      <c r="D1006" s="123"/>
    </row>
    <row r="1007" spans="4:4" x14ac:dyDescent="0.15">
      <c r="D1007" s="116"/>
    </row>
  </sheetData>
  <conditionalFormatting sqref="L1:L6 L8:L1048576 L7">
    <cfRule type="uniqueValues" dxfId="0"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J1005"/>
  <sheetViews>
    <sheetView workbookViewId="0">
      <selection activeCell="E2" sqref="E2"/>
    </sheetView>
  </sheetViews>
  <sheetFormatPr defaultColWidth="10.05078125" defaultRowHeight="13.5" x14ac:dyDescent="0.15"/>
  <cols>
    <col min="1" max="1" width="1.71484375" style="113" customWidth="1"/>
    <col min="2" max="2" width="3.5546875" style="114" customWidth="1"/>
    <col min="3" max="3" width="8.578125" style="124" customWidth="1"/>
    <col min="4" max="4" width="12.50390625" style="113" customWidth="1"/>
    <col min="5" max="5" width="9.9296875" style="113" customWidth="1"/>
    <col min="6" max="6" width="10.05078125" style="113" bestFit="1" customWidth="1"/>
    <col min="7" max="7" width="9.0703125" style="113" customWidth="1"/>
    <col min="8" max="8" width="10.05078125" style="113" bestFit="1" customWidth="1"/>
    <col min="9" max="16384" width="10.05078125" style="113"/>
  </cols>
  <sheetData>
    <row r="1" spans="2:10" ht="8.65" customHeight="1" x14ac:dyDescent="0.15">
      <c r="B1" s="115"/>
      <c r="C1" s="125"/>
      <c r="D1" s="116"/>
      <c r="E1" s="116"/>
      <c r="F1" s="116"/>
      <c r="G1" s="116"/>
      <c r="H1" s="116"/>
    </row>
    <row r="2" spans="2:10" ht="18" x14ac:dyDescent="0.15">
      <c r="B2" s="126"/>
      <c r="C2" s="126"/>
      <c r="D2" s="80" t="s">
        <v>55</v>
      </c>
      <c r="E2" s="80" t="s">
        <v>3</v>
      </c>
      <c r="F2" s="80" t="s">
        <v>4</v>
      </c>
      <c r="G2" s="81" t="s">
        <v>5</v>
      </c>
      <c r="H2" s="126"/>
      <c r="I2" s="126"/>
      <c r="J2" s="126"/>
    </row>
    <row r="3" spans="2:10" x14ac:dyDescent="0.15">
      <c r="B3" s="119" t="s">
        <v>56</v>
      </c>
      <c r="C3" s="127" t="s">
        <v>70</v>
      </c>
      <c r="D3" s="88" t="s">
        <v>8</v>
      </c>
      <c r="E3" s="88" t="s">
        <v>57</v>
      </c>
      <c r="F3" s="88" t="s">
        <v>9</v>
      </c>
      <c r="G3" s="119" t="s">
        <v>71</v>
      </c>
      <c r="H3" s="119" t="s">
        <v>72</v>
      </c>
      <c r="I3" s="119" t="s">
        <v>73</v>
      </c>
      <c r="J3" s="119" t="s">
        <v>74</v>
      </c>
    </row>
    <row r="4" spans="2:10" x14ac:dyDescent="0.15">
      <c r="B4" s="119">
        <v>1</v>
      </c>
      <c r="C4" s="128">
        <v>45181</v>
      </c>
      <c r="D4" s="49" t="s">
        <v>19</v>
      </c>
      <c r="E4" s="49" t="str">
        <f>IFERROR(VLOOKUP($D4,烤漆色號編碼!$A:$C,3,FALSE),"-")</f>
        <v>白亮光</v>
      </c>
      <c r="F4" s="49" t="str">
        <f>IFERROR(VLOOKUP($D4,烤漆色號編碼!$A:$C,2,FALSE),"-")</f>
        <v>WE</v>
      </c>
      <c r="G4" s="94">
        <v>20</v>
      </c>
      <c r="H4" s="94">
        <f>25*G4</f>
        <v>500</v>
      </c>
      <c r="I4" s="94">
        <v>2023</v>
      </c>
      <c r="J4" s="94">
        <v>1</v>
      </c>
    </row>
    <row r="5" spans="2:10" x14ac:dyDescent="0.15">
      <c r="B5" s="119">
        <v>2</v>
      </c>
      <c r="C5" s="129">
        <v>45185</v>
      </c>
      <c r="D5" s="56" t="s">
        <v>43</v>
      </c>
      <c r="E5" s="56" t="str">
        <f>IFERROR(VLOOKUP($D5,烤漆色號編碼!$A:$C,3,FALSE),"-")</f>
        <v>黃亮光</v>
      </c>
      <c r="F5" s="56" t="str">
        <f>IFERROR(VLOOKUP($D5,烤漆色號編碼!$A:$C,2,FALSE),"-")</f>
        <v>YW</v>
      </c>
      <c r="G5" s="100">
        <v>4</v>
      </c>
      <c r="H5" s="100">
        <f>25*$G5</f>
        <v>100</v>
      </c>
      <c r="I5" s="100">
        <v>2019</v>
      </c>
      <c r="J5" s="100">
        <v>3</v>
      </c>
    </row>
    <row r="6" spans="2:10" x14ac:dyDescent="0.15">
      <c r="B6" s="119">
        <v>3</v>
      </c>
      <c r="C6" s="128"/>
      <c r="D6" s="49"/>
      <c r="E6" s="49" t="str">
        <f>IFERROR(VLOOKUP($D6,烤漆色號編碼!$A:$C,3,FALSE),"-")</f>
        <v>-</v>
      </c>
      <c r="F6" s="49" t="str">
        <f>IFERROR(VLOOKUP($D6,烤漆色號編碼!$A:$C,2,FALSE),"-")</f>
        <v>-</v>
      </c>
      <c r="G6" s="94"/>
      <c r="H6" s="94">
        <f>25*G6</f>
        <v>0</v>
      </c>
      <c r="I6" s="94">
        <v>2019</v>
      </c>
      <c r="J6" s="94">
        <v>3</v>
      </c>
    </row>
    <row r="7" spans="2:10" x14ac:dyDescent="0.15">
      <c r="B7" s="119">
        <v>4</v>
      </c>
      <c r="C7" s="129"/>
      <c r="D7" s="56"/>
      <c r="E7" s="56" t="str">
        <f>IFERROR(VLOOKUP($D7,烤漆色號編碼!$A:$C,3,FALSE),"-")</f>
        <v>-</v>
      </c>
      <c r="F7" s="56" t="str">
        <f>IFERROR(VLOOKUP($D7,烤漆色號編碼!$A:$C,2,FALSE),"-")</f>
        <v>-</v>
      </c>
      <c r="G7" s="100"/>
      <c r="H7" s="100">
        <f>25*$G7</f>
        <v>0</v>
      </c>
      <c r="I7" s="100">
        <v>2019</v>
      </c>
      <c r="J7" s="100">
        <v>3</v>
      </c>
    </row>
    <row r="8" spans="2:10" x14ac:dyDescent="0.15">
      <c r="B8" s="119">
        <v>5</v>
      </c>
      <c r="C8" s="128"/>
      <c r="D8" s="49"/>
      <c r="E8" s="49" t="str">
        <f>IFERROR(VLOOKUP($D8,烤漆色號編碼!$A:$C,3,FALSE),"-")</f>
        <v>-</v>
      </c>
      <c r="F8" s="49" t="str">
        <f>IFERROR(VLOOKUP($D8,烤漆色號編碼!$A:$C,2,FALSE),"-")</f>
        <v>-</v>
      </c>
      <c r="G8" s="94"/>
      <c r="H8" s="94">
        <f>25*G8</f>
        <v>0</v>
      </c>
      <c r="I8" s="94">
        <v>2019</v>
      </c>
      <c r="J8" s="94">
        <v>4</v>
      </c>
    </row>
    <row r="9" spans="2:10" x14ac:dyDescent="0.15">
      <c r="B9" s="119">
        <v>6</v>
      </c>
      <c r="C9" s="129"/>
      <c r="D9" s="56"/>
      <c r="E9" s="56" t="str">
        <f>IFERROR(VLOOKUP($D9,烤漆色號編碼!$A:$C,3,FALSE),"-")</f>
        <v>-</v>
      </c>
      <c r="F9" s="56" t="str">
        <f>IFERROR(VLOOKUP($D9,烤漆色號編碼!$A:$C,2,FALSE),"-")</f>
        <v>-</v>
      </c>
      <c r="G9" s="100"/>
      <c r="H9" s="100">
        <f>25*$G9</f>
        <v>0</v>
      </c>
      <c r="I9" s="100">
        <v>2019</v>
      </c>
      <c r="J9" s="100">
        <v>12</v>
      </c>
    </row>
    <row r="10" spans="2:10" x14ac:dyDescent="0.15">
      <c r="B10" s="119">
        <v>7</v>
      </c>
      <c r="C10" s="128"/>
      <c r="D10" s="49"/>
      <c r="E10" s="49" t="str">
        <f>IFERROR(VLOOKUP($D10,烤漆色號編碼!$A:$C,3,FALSE),"-")</f>
        <v>-</v>
      </c>
      <c r="F10" s="49" t="str">
        <f>IFERROR(VLOOKUP($D10,烤漆色號編碼!$A:$C,2,FALSE),"-")</f>
        <v>-</v>
      </c>
      <c r="G10" s="94"/>
      <c r="H10" s="94">
        <f>25*G10</f>
        <v>0</v>
      </c>
      <c r="I10" s="94">
        <v>2019</v>
      </c>
      <c r="J10" s="94">
        <v>12</v>
      </c>
    </row>
    <row r="11" spans="2:10" x14ac:dyDescent="0.15">
      <c r="B11" s="119">
        <v>8</v>
      </c>
      <c r="C11" s="129"/>
      <c r="D11" s="56"/>
      <c r="E11" s="56" t="str">
        <f>IFERROR(VLOOKUP($D11,烤漆色號編碼!$A:$C,3,FALSE),"-")</f>
        <v>-</v>
      </c>
      <c r="F11" s="56" t="str">
        <f>IFERROR(VLOOKUP($D11,烤漆色號編碼!$A:$C,2,FALSE),"-")</f>
        <v>-</v>
      </c>
      <c r="G11" s="100"/>
      <c r="H11" s="100">
        <f>25*$G11</f>
        <v>0</v>
      </c>
      <c r="I11" s="100">
        <v>2019</v>
      </c>
      <c r="J11" s="100">
        <v>12</v>
      </c>
    </row>
    <row r="12" spans="2:10" x14ac:dyDescent="0.15">
      <c r="B12" s="119">
        <v>9</v>
      </c>
      <c r="C12" s="128"/>
      <c r="D12" s="49"/>
      <c r="E12" s="49" t="str">
        <f>IFERROR(VLOOKUP($D12,烤漆色號編碼!$A:$C,3,FALSE),"-")</f>
        <v>-</v>
      </c>
      <c r="F12" s="49" t="str">
        <f>IFERROR(VLOOKUP($D12,烤漆色號編碼!$A:$C,2,FALSE),"-")</f>
        <v>-</v>
      </c>
      <c r="G12" s="94"/>
      <c r="H12" s="94">
        <f>25*G12</f>
        <v>0</v>
      </c>
      <c r="I12" s="94">
        <v>2018.9999999999993</v>
      </c>
      <c r="J12" s="94">
        <v>12</v>
      </c>
    </row>
    <row r="13" spans="2:10" x14ac:dyDescent="0.15">
      <c r="B13" s="119">
        <v>10</v>
      </c>
      <c r="C13" s="129"/>
      <c r="D13" s="56"/>
      <c r="E13" s="56" t="str">
        <f>IFERROR(VLOOKUP($D13,烤漆色號編碼!$A:$C,3,FALSE),"-")</f>
        <v>-</v>
      </c>
      <c r="F13" s="56" t="str">
        <f>IFERROR(VLOOKUP($D13,烤漆色號編碼!$A:$C,2,FALSE),"-")</f>
        <v>-</v>
      </c>
      <c r="G13" s="100"/>
      <c r="H13" s="100">
        <f>25*$G13</f>
        <v>0</v>
      </c>
      <c r="I13" s="100">
        <v>2018.9999999999993</v>
      </c>
      <c r="J13" s="100">
        <v>12</v>
      </c>
    </row>
    <row r="14" spans="2:10" x14ac:dyDescent="0.15">
      <c r="B14" s="119">
        <v>11</v>
      </c>
      <c r="C14" s="128"/>
      <c r="D14" s="49"/>
      <c r="E14" s="49" t="str">
        <f>IFERROR(VLOOKUP($D14,烤漆色號編碼!$A:$C,3,FALSE),"-")</f>
        <v>-</v>
      </c>
      <c r="F14" s="49" t="str">
        <f>IFERROR(VLOOKUP($D14,烤漆色號編碼!$A:$C,2,FALSE),"-")</f>
        <v>-</v>
      </c>
      <c r="G14" s="94"/>
      <c r="H14" s="94">
        <f>25*G14</f>
        <v>0</v>
      </c>
      <c r="I14" s="94">
        <v>2018.9999999999993</v>
      </c>
      <c r="J14" s="94">
        <v>12</v>
      </c>
    </row>
    <row r="15" spans="2:10" x14ac:dyDescent="0.15">
      <c r="B15" s="119">
        <v>12</v>
      </c>
      <c r="C15" s="129"/>
      <c r="D15" s="56"/>
      <c r="E15" s="56" t="str">
        <f>IFERROR(VLOOKUP($D15,烤漆色號編碼!$A:$C,3,FALSE),"-")</f>
        <v>-</v>
      </c>
      <c r="F15" s="56" t="str">
        <f>IFERROR(VLOOKUP($D15,烤漆色號編碼!$A:$C,2,FALSE),"-")</f>
        <v>-</v>
      </c>
      <c r="G15" s="100"/>
      <c r="H15" s="100">
        <f>25*$G15</f>
        <v>0</v>
      </c>
      <c r="I15" s="100">
        <v>2018.9999999999993</v>
      </c>
      <c r="J15" s="100">
        <v>12</v>
      </c>
    </row>
    <row r="16" spans="2:10" x14ac:dyDescent="0.15">
      <c r="B16" s="119">
        <v>13</v>
      </c>
      <c r="C16" s="128"/>
      <c r="D16" s="49"/>
      <c r="E16" s="49" t="str">
        <f>IFERROR(VLOOKUP($D16,烤漆色號編碼!$A:$C,3,FALSE),"-")</f>
        <v>-</v>
      </c>
      <c r="F16" s="49" t="str">
        <f>IFERROR(VLOOKUP($D16,烤漆色號編碼!$A:$C,2,FALSE),"-")</f>
        <v>-</v>
      </c>
      <c r="G16" s="94"/>
      <c r="H16" s="94">
        <f>25*G16</f>
        <v>0</v>
      </c>
      <c r="I16" s="94">
        <v>2018.9999999999993</v>
      </c>
      <c r="J16" s="94">
        <v>12</v>
      </c>
    </row>
    <row r="17" spans="2:10" x14ac:dyDescent="0.15">
      <c r="B17" s="119">
        <v>14</v>
      </c>
      <c r="C17" s="129"/>
      <c r="D17" s="56"/>
      <c r="E17" s="56" t="str">
        <f>IFERROR(VLOOKUP($D17,烤漆色號編碼!$A:$C,3,FALSE),"-")</f>
        <v>-</v>
      </c>
      <c r="F17" s="56" t="str">
        <f>IFERROR(VLOOKUP($D17,烤漆色號編碼!$A:$C,2,FALSE),"-")</f>
        <v>-</v>
      </c>
      <c r="G17" s="100"/>
      <c r="H17" s="100">
        <f>25*$G17</f>
        <v>0</v>
      </c>
      <c r="I17" s="100">
        <v>2018.9999999999993</v>
      </c>
      <c r="J17" s="100">
        <v>12</v>
      </c>
    </row>
    <row r="18" spans="2:10" x14ac:dyDescent="0.15">
      <c r="B18" s="119">
        <v>15</v>
      </c>
      <c r="C18" s="128"/>
      <c r="D18" s="49"/>
      <c r="E18" s="49" t="str">
        <f>IFERROR(VLOOKUP($D18,烤漆色號編碼!$A:$C,3,FALSE),"-")</f>
        <v>-</v>
      </c>
      <c r="F18" s="49" t="str">
        <f>IFERROR(VLOOKUP($D18,烤漆色號編碼!$A:$C,2,FALSE),"-")</f>
        <v>-</v>
      </c>
      <c r="G18" s="94"/>
      <c r="H18" s="94">
        <f>25*G18</f>
        <v>0</v>
      </c>
      <c r="I18" s="94">
        <v>2018.9999999999993</v>
      </c>
      <c r="J18" s="94">
        <v>12</v>
      </c>
    </row>
    <row r="19" spans="2:10" x14ac:dyDescent="0.15">
      <c r="B19" s="119">
        <v>16</v>
      </c>
      <c r="C19" s="129"/>
      <c r="D19" s="56"/>
      <c r="E19" s="56" t="str">
        <f>IFERROR(VLOOKUP($D19,烤漆色號編碼!$A:$C,3,FALSE),"-")</f>
        <v>-</v>
      </c>
      <c r="F19" s="56" t="str">
        <f>IFERROR(VLOOKUP($D19,烤漆色號編碼!$A:$C,2,FALSE),"-")</f>
        <v>-</v>
      </c>
      <c r="G19" s="100"/>
      <c r="H19" s="100">
        <f>25*$G19</f>
        <v>0</v>
      </c>
      <c r="I19" s="100">
        <v>2018.9999999999993</v>
      </c>
      <c r="J19" s="100">
        <v>12</v>
      </c>
    </row>
    <row r="20" spans="2:10" x14ac:dyDescent="0.15">
      <c r="B20" s="119">
        <v>17</v>
      </c>
      <c r="C20" s="128"/>
      <c r="D20" s="49"/>
      <c r="E20" s="49" t="str">
        <f>IFERROR(VLOOKUP($D20,烤漆色號編碼!$A:$C,3,FALSE),"-")</f>
        <v>-</v>
      </c>
      <c r="F20" s="49" t="str">
        <f>IFERROR(VLOOKUP($D20,烤漆色號編碼!$A:$C,2,FALSE),"-")</f>
        <v>-</v>
      </c>
      <c r="G20" s="94"/>
      <c r="H20" s="94">
        <f>25*G20</f>
        <v>0</v>
      </c>
      <c r="I20" s="94">
        <v>2018.9999999999993</v>
      </c>
      <c r="J20" s="94">
        <v>12</v>
      </c>
    </row>
    <row r="21" spans="2:10" x14ac:dyDescent="0.15">
      <c r="B21" s="119">
        <v>18</v>
      </c>
      <c r="C21" s="129"/>
      <c r="D21" s="56"/>
      <c r="E21" s="56" t="str">
        <f>IFERROR(VLOOKUP($D21,烤漆色號編碼!$A:$C,3,FALSE),"-")</f>
        <v>-</v>
      </c>
      <c r="F21" s="56" t="str">
        <f>IFERROR(VLOOKUP($D21,烤漆色號編碼!$A:$C,2,FALSE),"-")</f>
        <v>-</v>
      </c>
      <c r="G21" s="100"/>
      <c r="H21" s="100">
        <f>25*$G21</f>
        <v>0</v>
      </c>
      <c r="I21" s="100">
        <v>2018.9999999999993</v>
      </c>
      <c r="J21" s="100">
        <v>12</v>
      </c>
    </row>
    <row r="22" spans="2:10" x14ac:dyDescent="0.15">
      <c r="B22" s="119">
        <v>19</v>
      </c>
      <c r="C22" s="128"/>
      <c r="D22" s="49"/>
      <c r="E22" s="49" t="str">
        <f>IFERROR(VLOOKUP($D22,烤漆色號編碼!$A:$C,3,FALSE),"-")</f>
        <v>-</v>
      </c>
      <c r="F22" s="49" t="str">
        <f>IFERROR(VLOOKUP($D22,烤漆色號編碼!$A:$C,2,FALSE),"-")</f>
        <v>-</v>
      </c>
      <c r="G22" s="94"/>
      <c r="H22" s="94">
        <f>25*G22</f>
        <v>0</v>
      </c>
      <c r="I22" s="94">
        <v>2018.9999999999993</v>
      </c>
      <c r="J22" s="94">
        <v>12</v>
      </c>
    </row>
    <row r="23" spans="2:10" x14ac:dyDescent="0.15">
      <c r="B23" s="119">
        <v>20</v>
      </c>
      <c r="C23" s="129"/>
      <c r="D23" s="56"/>
      <c r="E23" s="56" t="str">
        <f>IFERROR(VLOOKUP($D23,烤漆色號編碼!$A:$C,3,FALSE),"-")</f>
        <v>-</v>
      </c>
      <c r="F23" s="56" t="str">
        <f>IFERROR(VLOOKUP($D23,烤漆色號編碼!$A:$C,2,FALSE),"-")</f>
        <v>-</v>
      </c>
      <c r="G23" s="100"/>
      <c r="H23" s="100">
        <f>25*$G23</f>
        <v>0</v>
      </c>
      <c r="I23" s="100">
        <v>2018.9999999999993</v>
      </c>
      <c r="J23" s="100">
        <v>12</v>
      </c>
    </row>
    <row r="24" spans="2:10" x14ac:dyDescent="0.15">
      <c r="B24" s="119">
        <v>21</v>
      </c>
      <c r="C24" s="128"/>
      <c r="D24" s="49"/>
      <c r="E24" s="49" t="str">
        <f>IFERROR(VLOOKUP($D24,烤漆色號編碼!$A:$C,3,FALSE),"-")</f>
        <v>-</v>
      </c>
      <c r="F24" s="49" t="str">
        <f>IFERROR(VLOOKUP($D24,烤漆色號編碼!$A:$C,2,FALSE),"-")</f>
        <v>-</v>
      </c>
      <c r="G24" s="94"/>
      <c r="H24" s="94">
        <f>25*G24</f>
        <v>0</v>
      </c>
      <c r="I24" s="94">
        <v>2018.9999999999993</v>
      </c>
      <c r="J24" s="94">
        <v>12</v>
      </c>
    </row>
    <row r="25" spans="2:10" x14ac:dyDescent="0.15">
      <c r="B25" s="119">
        <v>22</v>
      </c>
      <c r="C25" s="129"/>
      <c r="D25" s="56"/>
      <c r="E25" s="56" t="str">
        <f>IFERROR(VLOOKUP($D25,烤漆色號編碼!$A:$C,3,FALSE),"-")</f>
        <v>-</v>
      </c>
      <c r="F25" s="56" t="str">
        <f>IFERROR(VLOOKUP($D25,烤漆色號編碼!$A:$C,2,FALSE),"-")</f>
        <v>-</v>
      </c>
      <c r="G25" s="100"/>
      <c r="H25" s="100">
        <f>25*$G25</f>
        <v>0</v>
      </c>
      <c r="I25" s="100">
        <v>2018.9999999999993</v>
      </c>
      <c r="J25" s="100">
        <v>12</v>
      </c>
    </row>
    <row r="26" spans="2:10" x14ac:dyDescent="0.15">
      <c r="B26" s="119">
        <v>23</v>
      </c>
      <c r="C26" s="128"/>
      <c r="D26" s="49"/>
      <c r="E26" s="49" t="str">
        <f>IFERROR(VLOOKUP($D26,烤漆色號編碼!$A:$C,3,FALSE),"-")</f>
        <v>-</v>
      </c>
      <c r="F26" s="49" t="str">
        <f>IFERROR(VLOOKUP($D26,烤漆色號編碼!$A:$C,2,FALSE),"-")</f>
        <v>-</v>
      </c>
      <c r="G26" s="94"/>
      <c r="H26" s="94">
        <f>25*G26</f>
        <v>0</v>
      </c>
      <c r="I26" s="94">
        <v>2018.9999999999993</v>
      </c>
      <c r="J26" s="94">
        <v>12</v>
      </c>
    </row>
    <row r="27" spans="2:10" x14ac:dyDescent="0.15">
      <c r="B27" s="119">
        <v>24</v>
      </c>
      <c r="C27" s="129"/>
      <c r="D27" s="56"/>
      <c r="E27" s="56" t="str">
        <f>IFERROR(VLOOKUP($D27,烤漆色號編碼!$A:$C,3,FALSE),"-")</f>
        <v>-</v>
      </c>
      <c r="F27" s="56" t="str">
        <f>IFERROR(VLOOKUP($D27,烤漆色號編碼!$A:$C,2,FALSE),"-")</f>
        <v>-</v>
      </c>
      <c r="G27" s="100"/>
      <c r="H27" s="100">
        <f>25*$G27</f>
        <v>0</v>
      </c>
      <c r="I27" s="100">
        <v>2018.9999999999993</v>
      </c>
      <c r="J27" s="100">
        <v>12</v>
      </c>
    </row>
    <row r="28" spans="2:10" x14ac:dyDescent="0.15">
      <c r="B28" s="119">
        <v>25</v>
      </c>
      <c r="C28" s="128"/>
      <c r="D28" s="49"/>
      <c r="E28" s="49" t="str">
        <f>IFERROR(VLOOKUP($D28,烤漆色號編碼!$A:$C,3,FALSE),"-")</f>
        <v>-</v>
      </c>
      <c r="F28" s="49" t="str">
        <f>IFERROR(VLOOKUP($D28,烤漆色號編碼!$A:$C,2,FALSE),"-")</f>
        <v>-</v>
      </c>
      <c r="G28" s="94"/>
      <c r="H28" s="94">
        <f>25*G28</f>
        <v>0</v>
      </c>
      <c r="I28" s="94">
        <v>2018.9999999999993</v>
      </c>
      <c r="J28" s="94">
        <v>12</v>
      </c>
    </row>
    <row r="29" spans="2:10" x14ac:dyDescent="0.15">
      <c r="B29" s="119">
        <v>26</v>
      </c>
      <c r="C29" s="129"/>
      <c r="D29" s="56"/>
      <c r="E29" s="56" t="str">
        <f>IFERROR(VLOOKUP($D29,烤漆色號編碼!$A:$C,3,FALSE),"-")</f>
        <v>-</v>
      </c>
      <c r="F29" s="56" t="str">
        <f>IFERROR(VLOOKUP($D29,烤漆色號編碼!$A:$C,2,FALSE),"-")</f>
        <v>-</v>
      </c>
      <c r="G29" s="100"/>
      <c r="H29" s="100">
        <f>25*$G29</f>
        <v>0</v>
      </c>
      <c r="I29" s="100">
        <v>2018.9999999999993</v>
      </c>
      <c r="J29" s="100">
        <v>12</v>
      </c>
    </row>
    <row r="30" spans="2:10" x14ac:dyDescent="0.15">
      <c r="B30" s="119">
        <v>27</v>
      </c>
      <c r="C30" s="128"/>
      <c r="D30" s="49"/>
      <c r="E30" s="49" t="str">
        <f>IFERROR(VLOOKUP($D30,烤漆色號編碼!$A:$C,3,FALSE),"-")</f>
        <v>-</v>
      </c>
      <c r="F30" s="49" t="str">
        <f>IFERROR(VLOOKUP($D30,烤漆色號編碼!$A:$C,2,FALSE),"-")</f>
        <v>-</v>
      </c>
      <c r="G30" s="94"/>
      <c r="H30" s="94">
        <f>25*G30</f>
        <v>0</v>
      </c>
      <c r="I30" s="94">
        <v>2018.9999999999993</v>
      </c>
      <c r="J30" s="94">
        <v>12</v>
      </c>
    </row>
    <row r="31" spans="2:10" x14ac:dyDescent="0.15">
      <c r="B31" s="119">
        <v>28</v>
      </c>
      <c r="C31" s="129"/>
      <c r="D31" s="56"/>
      <c r="E31" s="56" t="str">
        <f>IFERROR(VLOOKUP($D31,烤漆色號編碼!$A:$C,3,FALSE),"-")</f>
        <v>-</v>
      </c>
      <c r="F31" s="56" t="str">
        <f>IFERROR(VLOOKUP($D31,烤漆色號編碼!$A:$C,2,FALSE),"-")</f>
        <v>-</v>
      </c>
      <c r="G31" s="100"/>
      <c r="H31" s="100"/>
      <c r="I31" s="100">
        <v>1899</v>
      </c>
      <c r="J31" s="100">
        <v>12</v>
      </c>
    </row>
    <row r="32" spans="2:10" x14ac:dyDescent="0.15">
      <c r="B32" s="119">
        <v>29</v>
      </c>
      <c r="C32" s="128"/>
      <c r="D32" s="49"/>
      <c r="E32" s="49" t="str">
        <f>IFERROR(VLOOKUP($D32,烤漆色號編碼!$A:$C,3,FALSE),"-")</f>
        <v>-</v>
      </c>
      <c r="F32" s="49" t="str">
        <f>IFERROR(VLOOKUP($D32,烤漆色號編碼!$A:$C,2,FALSE),"-")</f>
        <v>-</v>
      </c>
      <c r="G32" s="94"/>
      <c r="H32" s="94"/>
      <c r="I32" s="94">
        <v>1899</v>
      </c>
      <c r="J32" s="94">
        <v>12</v>
      </c>
    </row>
    <row r="33" spans="2:10" x14ac:dyDescent="0.15">
      <c r="B33" s="119">
        <v>30</v>
      </c>
      <c r="C33" s="129"/>
      <c r="D33" s="56"/>
      <c r="E33" s="56" t="str">
        <f>IFERROR(VLOOKUP($D33,烤漆色號編碼!$A:$C,3,FALSE),"-")</f>
        <v>-</v>
      </c>
      <c r="F33" s="56" t="str">
        <f>IFERROR(VLOOKUP($D33,烤漆色號編碼!$A:$C,2,FALSE),"-")</f>
        <v>-</v>
      </c>
      <c r="G33" s="100"/>
      <c r="H33" s="100"/>
      <c r="I33" s="100">
        <v>1899</v>
      </c>
      <c r="J33" s="100">
        <v>12</v>
      </c>
    </row>
    <row r="34" spans="2:10" x14ac:dyDescent="0.15">
      <c r="B34" s="119">
        <v>31</v>
      </c>
      <c r="C34" s="128"/>
      <c r="D34" s="49"/>
      <c r="E34" s="49" t="str">
        <f>IFERROR(VLOOKUP($D34,烤漆色號編碼!$A:$C,3,FALSE),"-")</f>
        <v>-</v>
      </c>
      <c r="F34" s="49" t="str">
        <f>IFERROR(VLOOKUP($D34,烤漆色號編碼!$A:$C,2,FALSE),"-")</f>
        <v>-</v>
      </c>
      <c r="G34" s="94"/>
      <c r="H34" s="94"/>
      <c r="I34" s="94">
        <v>1899</v>
      </c>
      <c r="J34" s="94">
        <v>12</v>
      </c>
    </row>
    <row r="35" spans="2:10" x14ac:dyDescent="0.15">
      <c r="B35" s="119">
        <v>32</v>
      </c>
      <c r="C35" s="129"/>
      <c r="D35" s="56"/>
      <c r="E35" s="56" t="str">
        <f>IFERROR(VLOOKUP($D35,烤漆色號編碼!$A:$C,3,FALSE),"-")</f>
        <v>-</v>
      </c>
      <c r="F35" s="56" t="str">
        <f>IFERROR(VLOOKUP($D35,烤漆色號編碼!$A:$C,2,FALSE),"-")</f>
        <v>-</v>
      </c>
      <c r="G35" s="100"/>
      <c r="H35" s="100"/>
      <c r="I35" s="100">
        <v>1899</v>
      </c>
      <c r="J35" s="100">
        <v>12</v>
      </c>
    </row>
    <row r="36" spans="2:10" x14ac:dyDescent="0.15">
      <c r="B36" s="119">
        <v>33</v>
      </c>
      <c r="C36" s="128"/>
      <c r="D36" s="49"/>
      <c r="E36" s="49" t="str">
        <f>IFERROR(VLOOKUP($D36,烤漆色號編碼!$A:$C,3,FALSE),"-")</f>
        <v>-</v>
      </c>
      <c r="F36" s="49" t="str">
        <f>IFERROR(VLOOKUP($D36,烤漆色號編碼!$A:$C,2,FALSE),"-")</f>
        <v>-</v>
      </c>
      <c r="G36" s="94"/>
      <c r="H36" s="94"/>
      <c r="I36" s="94">
        <v>1899</v>
      </c>
      <c r="J36" s="94">
        <v>12</v>
      </c>
    </row>
    <row r="37" spans="2:10" x14ac:dyDescent="0.15">
      <c r="B37" s="119">
        <v>34</v>
      </c>
      <c r="C37" s="129"/>
      <c r="D37" s="56"/>
      <c r="E37" s="56" t="str">
        <f>IFERROR(VLOOKUP($D37,烤漆色號編碼!$A:$C,3,FALSE),"-")</f>
        <v>-</v>
      </c>
      <c r="F37" s="56" t="str">
        <f>IFERROR(VLOOKUP($D37,烤漆色號編碼!$A:$C,2,FALSE),"-")</f>
        <v>-</v>
      </c>
      <c r="G37" s="100"/>
      <c r="H37" s="100"/>
      <c r="I37" s="100">
        <v>1899</v>
      </c>
      <c r="J37" s="100">
        <v>12</v>
      </c>
    </row>
    <row r="38" spans="2:10" x14ac:dyDescent="0.15">
      <c r="B38" s="119">
        <v>35</v>
      </c>
      <c r="C38" s="128"/>
      <c r="D38" s="49"/>
      <c r="E38" s="49" t="str">
        <f>IFERROR(VLOOKUP($D38,烤漆色號編碼!$A:$C,3,FALSE),"-")</f>
        <v>-</v>
      </c>
      <c r="F38" s="49" t="str">
        <f>IFERROR(VLOOKUP($D38,烤漆色號編碼!$A:$C,2,FALSE),"-")</f>
        <v>-</v>
      </c>
      <c r="G38" s="94"/>
      <c r="H38" s="94"/>
      <c r="I38" s="94">
        <v>1899</v>
      </c>
      <c r="J38" s="94">
        <v>12</v>
      </c>
    </row>
    <row r="39" spans="2:10" x14ac:dyDescent="0.15">
      <c r="B39" s="119">
        <v>36</v>
      </c>
      <c r="C39" s="129"/>
      <c r="D39" s="56"/>
      <c r="E39" s="56" t="str">
        <f>IFERROR(VLOOKUP($D39,烤漆色號編碼!$A:$C,3,FALSE),"-")</f>
        <v>-</v>
      </c>
      <c r="F39" s="56" t="str">
        <f>IFERROR(VLOOKUP($D39,烤漆色號編碼!$A:$C,2,FALSE),"-")</f>
        <v>-</v>
      </c>
      <c r="G39" s="100"/>
      <c r="H39" s="100"/>
      <c r="I39" s="100">
        <v>1899</v>
      </c>
      <c r="J39" s="100">
        <v>12</v>
      </c>
    </row>
    <row r="40" spans="2:10" x14ac:dyDescent="0.15">
      <c r="B40" s="119">
        <v>37</v>
      </c>
      <c r="C40" s="128"/>
      <c r="D40" s="49"/>
      <c r="E40" s="49" t="str">
        <f>IFERROR(VLOOKUP($D40,烤漆色號編碼!$A:$C,3,FALSE),"-")</f>
        <v>-</v>
      </c>
      <c r="F40" s="49" t="str">
        <f>IFERROR(VLOOKUP($D40,烤漆色號編碼!$A:$C,2,FALSE),"-")</f>
        <v>-</v>
      </c>
      <c r="G40" s="94"/>
      <c r="H40" s="94"/>
      <c r="I40" s="94">
        <v>1899</v>
      </c>
      <c r="J40" s="94">
        <v>12</v>
      </c>
    </row>
    <row r="41" spans="2:10" x14ac:dyDescent="0.15">
      <c r="B41" s="119">
        <v>38</v>
      </c>
      <c r="C41" s="129"/>
      <c r="D41" s="56"/>
      <c r="E41" s="56" t="str">
        <f>IFERROR(VLOOKUP($D41,烤漆色號編碼!$A:$C,3,FALSE),"-")</f>
        <v>-</v>
      </c>
      <c r="F41" s="56" t="str">
        <f>IFERROR(VLOOKUP($D41,烤漆色號編碼!$A:$C,2,FALSE),"-")</f>
        <v>-</v>
      </c>
      <c r="G41" s="100"/>
      <c r="H41" s="100"/>
      <c r="I41" s="100">
        <v>1899</v>
      </c>
      <c r="J41" s="100">
        <v>12</v>
      </c>
    </row>
    <row r="42" spans="2:10" x14ac:dyDescent="0.15">
      <c r="B42" s="119">
        <v>39</v>
      </c>
      <c r="C42" s="128"/>
      <c r="D42" s="49"/>
      <c r="E42" s="49" t="str">
        <f>IFERROR(VLOOKUP($D42,烤漆色號編碼!$A:$C,3,FALSE),"-")</f>
        <v>-</v>
      </c>
      <c r="F42" s="49" t="str">
        <f>IFERROR(VLOOKUP($D42,烤漆色號編碼!$A:$C,2,FALSE),"-")</f>
        <v>-</v>
      </c>
      <c r="G42" s="94"/>
      <c r="H42" s="94"/>
      <c r="I42" s="94">
        <v>1899</v>
      </c>
      <c r="J42" s="94">
        <v>12</v>
      </c>
    </row>
    <row r="43" spans="2:10" x14ac:dyDescent="0.15">
      <c r="B43" s="119">
        <v>40</v>
      </c>
      <c r="C43" s="129"/>
      <c r="D43" s="56"/>
      <c r="E43" s="56" t="str">
        <f>IFERROR(VLOOKUP($D43,烤漆色號編碼!$A:$C,3,FALSE),"-")</f>
        <v>-</v>
      </c>
      <c r="F43" s="56" t="str">
        <f>IFERROR(VLOOKUP($D43,烤漆色號編碼!$A:$C,2,FALSE),"-")</f>
        <v>-</v>
      </c>
      <c r="G43" s="100"/>
      <c r="H43" s="100"/>
      <c r="I43" s="100">
        <v>1899</v>
      </c>
      <c r="J43" s="100">
        <v>12</v>
      </c>
    </row>
    <row r="44" spans="2:10" x14ac:dyDescent="0.15">
      <c r="B44" s="119">
        <v>41</v>
      </c>
      <c r="C44" s="128"/>
      <c r="D44" s="49"/>
      <c r="E44" s="49" t="str">
        <f>IFERROR(VLOOKUP($D44,烤漆色號編碼!$A:$C,3,FALSE),"-")</f>
        <v>-</v>
      </c>
      <c r="F44" s="49" t="str">
        <f>IFERROR(VLOOKUP($D44,烤漆色號編碼!$A:$C,2,FALSE),"-")</f>
        <v>-</v>
      </c>
      <c r="G44" s="94"/>
      <c r="H44" s="94"/>
      <c r="I44" s="94">
        <v>1899</v>
      </c>
      <c r="J44" s="94">
        <v>12</v>
      </c>
    </row>
    <row r="45" spans="2:10" x14ac:dyDescent="0.15">
      <c r="B45" s="119">
        <v>42</v>
      </c>
      <c r="C45" s="129"/>
      <c r="D45" s="56"/>
      <c r="E45" s="56" t="str">
        <f>IFERROR(VLOOKUP($D45,烤漆色號編碼!$A:$C,3,FALSE),"-")</f>
        <v>-</v>
      </c>
      <c r="F45" s="56" t="str">
        <f>IFERROR(VLOOKUP($D45,烤漆色號編碼!$A:$C,2,FALSE),"-")</f>
        <v>-</v>
      </c>
      <c r="G45" s="100"/>
      <c r="H45" s="100"/>
      <c r="I45" s="100">
        <v>1899</v>
      </c>
      <c r="J45" s="100">
        <v>12</v>
      </c>
    </row>
    <row r="46" spans="2:10" x14ac:dyDescent="0.15">
      <c r="B46" s="119">
        <v>43</v>
      </c>
      <c r="C46" s="128"/>
      <c r="D46" s="49"/>
      <c r="E46" s="49" t="str">
        <f>IFERROR(VLOOKUP($D46,烤漆色號編碼!$A:$C,3,FALSE),"-")</f>
        <v>-</v>
      </c>
      <c r="F46" s="49" t="str">
        <f>IFERROR(VLOOKUP($D46,烤漆色號編碼!$A:$C,2,FALSE),"-")</f>
        <v>-</v>
      </c>
      <c r="G46" s="94"/>
      <c r="H46" s="94"/>
      <c r="I46" s="94">
        <v>1899</v>
      </c>
      <c r="J46" s="94">
        <v>12</v>
      </c>
    </row>
    <row r="47" spans="2:10" x14ac:dyDescent="0.15">
      <c r="B47" s="119">
        <v>44</v>
      </c>
      <c r="C47" s="129"/>
      <c r="D47" s="56"/>
      <c r="E47" s="56" t="str">
        <f>IFERROR(VLOOKUP($D47,烤漆色號編碼!$A:$C,3,FALSE),"-")</f>
        <v>-</v>
      </c>
      <c r="F47" s="56" t="str">
        <f>IFERROR(VLOOKUP($D47,烤漆色號編碼!$A:$C,2,FALSE),"-")</f>
        <v>-</v>
      </c>
      <c r="G47" s="100"/>
      <c r="H47" s="100"/>
      <c r="I47" s="100">
        <v>1899</v>
      </c>
      <c r="J47" s="100">
        <v>12</v>
      </c>
    </row>
    <row r="48" spans="2:10" x14ac:dyDescent="0.15">
      <c r="B48" s="119">
        <v>45</v>
      </c>
      <c r="C48" s="128"/>
      <c r="D48" s="94"/>
      <c r="E48" s="94" t="s">
        <v>65</v>
      </c>
      <c r="F48" s="94" t="s">
        <v>64</v>
      </c>
      <c r="G48" s="94"/>
      <c r="H48" s="94"/>
      <c r="I48" s="94">
        <v>1899</v>
      </c>
      <c r="J48" s="94">
        <v>12</v>
      </c>
    </row>
    <row r="49" spans="2:10" x14ac:dyDescent="0.15">
      <c r="B49" s="119">
        <v>46</v>
      </c>
      <c r="C49" s="129"/>
      <c r="D49" s="100"/>
      <c r="E49" s="100" t="s">
        <v>65</v>
      </c>
      <c r="F49" s="100" t="s">
        <v>64</v>
      </c>
      <c r="G49" s="100"/>
      <c r="H49" s="100"/>
      <c r="I49" s="100">
        <v>1899</v>
      </c>
      <c r="J49" s="100">
        <v>12</v>
      </c>
    </row>
    <row r="50" spans="2:10" x14ac:dyDescent="0.15">
      <c r="B50" s="119">
        <v>47</v>
      </c>
      <c r="C50" s="128"/>
      <c r="D50" s="94"/>
      <c r="E50" s="94" t="s">
        <v>65</v>
      </c>
      <c r="F50" s="94" t="s">
        <v>64</v>
      </c>
      <c r="G50" s="94"/>
      <c r="H50" s="94"/>
      <c r="I50" s="94">
        <v>1899</v>
      </c>
      <c r="J50" s="94">
        <v>12</v>
      </c>
    </row>
    <row r="51" spans="2:10" x14ac:dyDescent="0.15">
      <c r="B51" s="119">
        <v>48</v>
      </c>
      <c r="C51" s="129"/>
      <c r="D51" s="100"/>
      <c r="E51" s="100" t="s">
        <v>65</v>
      </c>
      <c r="F51" s="100" t="s">
        <v>64</v>
      </c>
      <c r="G51" s="100"/>
      <c r="H51" s="100"/>
      <c r="I51" s="100">
        <v>1899</v>
      </c>
      <c r="J51" s="100">
        <v>12</v>
      </c>
    </row>
    <row r="52" spans="2:10" x14ac:dyDescent="0.15">
      <c r="B52" s="119">
        <v>49</v>
      </c>
      <c r="C52" s="128"/>
      <c r="D52" s="94"/>
      <c r="E52" s="94" t="s">
        <v>65</v>
      </c>
      <c r="F52" s="94" t="s">
        <v>64</v>
      </c>
      <c r="G52" s="94"/>
      <c r="H52" s="94"/>
      <c r="I52" s="94">
        <v>1899</v>
      </c>
      <c r="J52" s="94">
        <v>12</v>
      </c>
    </row>
    <row r="53" spans="2:10" x14ac:dyDescent="0.15">
      <c r="B53" s="119">
        <v>50</v>
      </c>
      <c r="C53" s="129"/>
      <c r="D53" s="100"/>
      <c r="E53" s="100" t="s">
        <v>65</v>
      </c>
      <c r="F53" s="100" t="s">
        <v>64</v>
      </c>
      <c r="G53" s="100"/>
      <c r="H53" s="100"/>
      <c r="I53" s="100">
        <v>1899</v>
      </c>
      <c r="J53" s="100">
        <v>12</v>
      </c>
    </row>
    <row r="54" spans="2:10" x14ac:dyDescent="0.15">
      <c r="B54" s="119">
        <v>51</v>
      </c>
      <c r="C54" s="128"/>
      <c r="D54" s="94"/>
      <c r="E54" s="94" t="s">
        <v>64</v>
      </c>
      <c r="F54" s="94" t="s">
        <v>64</v>
      </c>
      <c r="G54" s="94"/>
      <c r="H54" s="94"/>
      <c r="I54" s="94">
        <v>1899</v>
      </c>
      <c r="J54" s="94">
        <v>12</v>
      </c>
    </row>
    <row r="55" spans="2:10" x14ac:dyDescent="0.15">
      <c r="B55" s="119">
        <v>52</v>
      </c>
      <c r="C55" s="129"/>
      <c r="D55" s="100"/>
      <c r="E55" s="100" t="s">
        <v>64</v>
      </c>
      <c r="F55" s="100" t="s">
        <v>64</v>
      </c>
      <c r="G55" s="100"/>
      <c r="H55" s="100"/>
      <c r="I55" s="100">
        <v>1899</v>
      </c>
      <c r="J55" s="100">
        <v>12</v>
      </c>
    </row>
    <row r="56" spans="2:10" x14ac:dyDescent="0.15">
      <c r="B56" s="119">
        <v>53</v>
      </c>
      <c r="C56" s="128"/>
      <c r="D56" s="94"/>
      <c r="E56" s="94" t="s">
        <v>64</v>
      </c>
      <c r="F56" s="94" t="s">
        <v>64</v>
      </c>
      <c r="G56" s="94"/>
      <c r="H56" s="94"/>
      <c r="I56" s="94">
        <v>1899</v>
      </c>
      <c r="J56" s="94">
        <v>12</v>
      </c>
    </row>
    <row r="57" spans="2:10" x14ac:dyDescent="0.15">
      <c r="B57" s="119">
        <v>54</v>
      </c>
      <c r="C57" s="129"/>
      <c r="D57" s="100"/>
      <c r="E57" s="100" t="s">
        <v>64</v>
      </c>
      <c r="F57" s="100" t="s">
        <v>64</v>
      </c>
      <c r="G57" s="100"/>
      <c r="H57" s="100"/>
      <c r="I57" s="100">
        <v>1899</v>
      </c>
      <c r="J57" s="100">
        <v>12</v>
      </c>
    </row>
    <row r="58" spans="2:10" x14ac:dyDescent="0.15">
      <c r="B58" s="119">
        <v>55</v>
      </c>
      <c r="C58" s="128"/>
      <c r="D58" s="94"/>
      <c r="E58" s="94" t="s">
        <v>64</v>
      </c>
      <c r="F58" s="94" t="s">
        <v>64</v>
      </c>
      <c r="G58" s="94"/>
      <c r="H58" s="94"/>
      <c r="I58" s="94">
        <v>1899</v>
      </c>
      <c r="J58" s="94">
        <v>12</v>
      </c>
    </row>
    <row r="59" spans="2:10" x14ac:dyDescent="0.15">
      <c r="B59" s="119">
        <v>56</v>
      </c>
      <c r="C59" s="129"/>
      <c r="D59" s="100"/>
      <c r="E59" s="100" t="s">
        <v>64</v>
      </c>
      <c r="F59" s="100" t="s">
        <v>64</v>
      </c>
      <c r="G59" s="100"/>
      <c r="H59" s="100"/>
      <c r="I59" s="100">
        <v>1899</v>
      </c>
      <c r="J59" s="100">
        <v>12</v>
      </c>
    </row>
    <row r="60" spans="2:10" x14ac:dyDescent="0.15">
      <c r="B60" s="119">
        <v>57</v>
      </c>
      <c r="C60" s="128"/>
      <c r="D60" s="94"/>
      <c r="E60" s="94" t="s">
        <v>64</v>
      </c>
      <c r="F60" s="94" t="s">
        <v>64</v>
      </c>
      <c r="G60" s="94"/>
      <c r="H60" s="94"/>
      <c r="I60" s="94">
        <v>1899</v>
      </c>
      <c r="J60" s="94">
        <v>12</v>
      </c>
    </row>
    <row r="61" spans="2:10" x14ac:dyDescent="0.15">
      <c r="B61" s="119">
        <v>58</v>
      </c>
      <c r="C61" s="129"/>
      <c r="D61" s="100"/>
      <c r="E61" s="100" t="s">
        <v>64</v>
      </c>
      <c r="F61" s="100" t="s">
        <v>64</v>
      </c>
      <c r="G61" s="100"/>
      <c r="H61" s="100"/>
      <c r="I61" s="100">
        <v>1899</v>
      </c>
      <c r="J61" s="100">
        <v>12</v>
      </c>
    </row>
    <row r="62" spans="2:10" x14ac:dyDescent="0.15">
      <c r="B62" s="119">
        <v>59</v>
      </c>
      <c r="C62" s="128"/>
      <c r="D62" s="94"/>
      <c r="E62" s="94" t="s">
        <v>64</v>
      </c>
      <c r="F62" s="94" t="s">
        <v>64</v>
      </c>
      <c r="G62" s="94"/>
      <c r="H62" s="94"/>
      <c r="I62" s="94">
        <v>1899</v>
      </c>
      <c r="J62" s="94">
        <v>12</v>
      </c>
    </row>
    <row r="63" spans="2:10" x14ac:dyDescent="0.15">
      <c r="B63" s="119">
        <v>60</v>
      </c>
      <c r="C63" s="129"/>
      <c r="D63" s="100"/>
      <c r="E63" s="100" t="s">
        <v>64</v>
      </c>
      <c r="F63" s="100" t="s">
        <v>64</v>
      </c>
      <c r="G63" s="100"/>
      <c r="H63" s="100"/>
      <c r="I63" s="100">
        <v>1899</v>
      </c>
      <c r="J63" s="100">
        <v>12</v>
      </c>
    </row>
    <row r="64" spans="2:10" x14ac:dyDescent="0.15">
      <c r="B64" s="119">
        <v>61</v>
      </c>
      <c r="C64" s="128"/>
      <c r="D64" s="94"/>
      <c r="E64" s="94" t="s">
        <v>64</v>
      </c>
      <c r="F64" s="94" t="s">
        <v>64</v>
      </c>
      <c r="G64" s="94"/>
      <c r="H64" s="94"/>
      <c r="I64" s="94">
        <v>1899</v>
      </c>
      <c r="J64" s="94">
        <v>12</v>
      </c>
    </row>
    <row r="65" spans="2:10" x14ac:dyDescent="0.15">
      <c r="B65" s="119">
        <v>62</v>
      </c>
      <c r="C65" s="129"/>
      <c r="D65" s="100"/>
      <c r="E65" s="100" t="s">
        <v>64</v>
      </c>
      <c r="F65" s="100" t="s">
        <v>64</v>
      </c>
      <c r="G65" s="100"/>
      <c r="H65" s="100"/>
      <c r="I65" s="100">
        <v>1899</v>
      </c>
      <c r="J65" s="100">
        <v>12</v>
      </c>
    </row>
    <row r="66" spans="2:10" x14ac:dyDescent="0.15">
      <c r="B66" s="119">
        <v>63</v>
      </c>
      <c r="C66" s="128"/>
      <c r="D66" s="94"/>
      <c r="E66" s="94" t="s">
        <v>64</v>
      </c>
      <c r="F66" s="94" t="s">
        <v>64</v>
      </c>
      <c r="G66" s="94"/>
      <c r="H66" s="94"/>
      <c r="I66" s="94">
        <v>1899</v>
      </c>
      <c r="J66" s="94">
        <v>12</v>
      </c>
    </row>
    <row r="67" spans="2:10" x14ac:dyDescent="0.15">
      <c r="B67" s="119">
        <v>64</v>
      </c>
      <c r="C67" s="129"/>
      <c r="D67" s="100"/>
      <c r="E67" s="100" t="s">
        <v>64</v>
      </c>
      <c r="F67" s="100" t="s">
        <v>64</v>
      </c>
      <c r="G67" s="100"/>
      <c r="H67" s="100"/>
      <c r="I67" s="100">
        <v>1899</v>
      </c>
      <c r="J67" s="100">
        <v>12</v>
      </c>
    </row>
    <row r="68" spans="2:10" x14ac:dyDescent="0.15">
      <c r="B68" s="119">
        <v>65</v>
      </c>
      <c r="C68" s="128"/>
      <c r="D68" s="94"/>
      <c r="E68" s="94" t="s">
        <v>64</v>
      </c>
      <c r="F68" s="94" t="s">
        <v>64</v>
      </c>
      <c r="G68" s="94"/>
      <c r="H68" s="94"/>
      <c r="I68" s="94">
        <v>1899</v>
      </c>
      <c r="J68" s="94">
        <v>12</v>
      </c>
    </row>
    <row r="69" spans="2:10" x14ac:dyDescent="0.15">
      <c r="B69" s="119">
        <v>66</v>
      </c>
      <c r="C69" s="129"/>
      <c r="D69" s="100"/>
      <c r="E69" s="100" t="s">
        <v>64</v>
      </c>
      <c r="F69" s="100" t="s">
        <v>64</v>
      </c>
      <c r="G69" s="100"/>
      <c r="H69" s="100"/>
      <c r="I69" s="100">
        <v>1899</v>
      </c>
      <c r="J69" s="100">
        <v>12</v>
      </c>
    </row>
    <row r="70" spans="2:10" x14ac:dyDescent="0.15">
      <c r="B70" s="119">
        <v>67</v>
      </c>
      <c r="C70" s="128"/>
      <c r="D70" s="94"/>
      <c r="E70" s="94" t="s">
        <v>64</v>
      </c>
      <c r="F70" s="94" t="s">
        <v>64</v>
      </c>
      <c r="G70" s="94"/>
      <c r="H70" s="94"/>
      <c r="I70" s="94">
        <v>1899</v>
      </c>
      <c r="J70" s="94">
        <v>12</v>
      </c>
    </row>
    <row r="71" spans="2:10" x14ac:dyDescent="0.15">
      <c r="B71" s="119">
        <v>68</v>
      </c>
      <c r="C71" s="129"/>
      <c r="D71" s="100"/>
      <c r="E71" s="100" t="s">
        <v>64</v>
      </c>
      <c r="F71" s="100" t="s">
        <v>64</v>
      </c>
      <c r="G71" s="100"/>
      <c r="H71" s="100"/>
      <c r="I71" s="100">
        <v>1899</v>
      </c>
      <c r="J71" s="100">
        <v>12</v>
      </c>
    </row>
    <row r="72" spans="2:10" x14ac:dyDescent="0.15">
      <c r="B72" s="119">
        <v>69</v>
      </c>
      <c r="C72" s="128"/>
      <c r="D72" s="94"/>
      <c r="E72" s="94" t="s">
        <v>64</v>
      </c>
      <c r="F72" s="94" t="s">
        <v>64</v>
      </c>
      <c r="G72" s="94"/>
      <c r="H72" s="94"/>
      <c r="I72" s="94">
        <v>1899</v>
      </c>
      <c r="J72" s="94">
        <v>12</v>
      </c>
    </row>
    <row r="73" spans="2:10" x14ac:dyDescent="0.15">
      <c r="B73" s="119">
        <v>70</v>
      </c>
      <c r="C73" s="129"/>
      <c r="D73" s="100"/>
      <c r="E73" s="100" t="s">
        <v>64</v>
      </c>
      <c r="F73" s="100" t="s">
        <v>64</v>
      </c>
      <c r="G73" s="100"/>
      <c r="H73" s="100"/>
      <c r="I73" s="100">
        <v>1899</v>
      </c>
      <c r="J73" s="100">
        <v>12</v>
      </c>
    </row>
    <row r="74" spans="2:10" x14ac:dyDescent="0.15">
      <c r="B74" s="119">
        <v>71</v>
      </c>
      <c r="C74" s="128"/>
      <c r="D74" s="94"/>
      <c r="E74" s="94" t="s">
        <v>64</v>
      </c>
      <c r="F74" s="94" t="s">
        <v>64</v>
      </c>
      <c r="G74" s="94"/>
      <c r="H74" s="94"/>
      <c r="I74" s="94">
        <v>1899</v>
      </c>
      <c r="J74" s="94">
        <v>12</v>
      </c>
    </row>
    <row r="75" spans="2:10" x14ac:dyDescent="0.15">
      <c r="B75" s="119">
        <v>72</v>
      </c>
      <c r="C75" s="129"/>
      <c r="D75" s="100"/>
      <c r="E75" s="100" t="s">
        <v>64</v>
      </c>
      <c r="F75" s="100" t="s">
        <v>64</v>
      </c>
      <c r="G75" s="100"/>
      <c r="H75" s="100"/>
      <c r="I75" s="100">
        <v>1899</v>
      </c>
      <c r="J75" s="100">
        <v>12</v>
      </c>
    </row>
    <row r="76" spans="2:10" x14ac:dyDescent="0.15">
      <c r="B76" s="119">
        <v>73</v>
      </c>
      <c r="C76" s="128"/>
      <c r="D76" s="94"/>
      <c r="E76" s="94" t="s">
        <v>64</v>
      </c>
      <c r="F76" s="94" t="s">
        <v>64</v>
      </c>
      <c r="G76" s="94"/>
      <c r="H76" s="94"/>
      <c r="I76" s="94">
        <v>1899</v>
      </c>
      <c r="J76" s="94">
        <v>12</v>
      </c>
    </row>
    <row r="77" spans="2:10" x14ac:dyDescent="0.15">
      <c r="B77" s="119">
        <v>74</v>
      </c>
      <c r="C77" s="129"/>
      <c r="D77" s="100"/>
      <c r="E77" s="100" t="s">
        <v>64</v>
      </c>
      <c r="F77" s="100" t="s">
        <v>64</v>
      </c>
      <c r="G77" s="100"/>
      <c r="H77" s="100"/>
      <c r="I77" s="100">
        <v>1899</v>
      </c>
      <c r="J77" s="100">
        <v>12</v>
      </c>
    </row>
    <row r="78" spans="2:10" x14ac:dyDescent="0.15">
      <c r="B78" s="119">
        <v>75</v>
      </c>
      <c r="C78" s="128"/>
      <c r="D78" s="94"/>
      <c r="E78" s="94" t="s">
        <v>64</v>
      </c>
      <c r="F78" s="94" t="s">
        <v>64</v>
      </c>
      <c r="G78" s="94"/>
      <c r="H78" s="94"/>
      <c r="I78" s="94">
        <v>1899</v>
      </c>
      <c r="J78" s="94">
        <v>12</v>
      </c>
    </row>
    <row r="79" spans="2:10" x14ac:dyDescent="0.15">
      <c r="B79" s="119">
        <v>76</v>
      </c>
      <c r="C79" s="129"/>
      <c r="D79" s="100"/>
      <c r="E79" s="100" t="s">
        <v>64</v>
      </c>
      <c r="F79" s="100" t="s">
        <v>64</v>
      </c>
      <c r="G79" s="100"/>
      <c r="H79" s="100"/>
      <c r="I79" s="100">
        <v>1899</v>
      </c>
      <c r="J79" s="100">
        <v>12</v>
      </c>
    </row>
    <row r="80" spans="2:10" x14ac:dyDescent="0.15">
      <c r="B80" s="119">
        <v>77</v>
      </c>
      <c r="C80" s="128"/>
      <c r="D80" s="94"/>
      <c r="E80" s="94" t="s">
        <v>64</v>
      </c>
      <c r="F80" s="94" t="s">
        <v>64</v>
      </c>
      <c r="G80" s="94"/>
      <c r="H80" s="94"/>
      <c r="I80" s="94">
        <v>1899</v>
      </c>
      <c r="J80" s="94">
        <v>12</v>
      </c>
    </row>
    <row r="81" spans="2:10" x14ac:dyDescent="0.15">
      <c r="B81" s="119">
        <v>78</v>
      </c>
      <c r="C81" s="129"/>
      <c r="D81" s="100"/>
      <c r="E81" s="100" t="s">
        <v>64</v>
      </c>
      <c r="F81" s="100" t="s">
        <v>64</v>
      </c>
      <c r="G81" s="100"/>
      <c r="H81" s="100"/>
      <c r="I81" s="100">
        <v>1899</v>
      </c>
      <c r="J81" s="100">
        <v>12</v>
      </c>
    </row>
    <row r="82" spans="2:10" x14ac:dyDescent="0.15">
      <c r="B82" s="119">
        <v>79</v>
      </c>
      <c r="C82" s="128"/>
      <c r="D82" s="94"/>
      <c r="E82" s="94" t="s">
        <v>64</v>
      </c>
      <c r="F82" s="94" t="s">
        <v>64</v>
      </c>
      <c r="G82" s="94"/>
      <c r="H82" s="94"/>
      <c r="I82" s="94">
        <v>1899</v>
      </c>
      <c r="J82" s="94">
        <v>12</v>
      </c>
    </row>
    <row r="83" spans="2:10" x14ac:dyDescent="0.15">
      <c r="B83" s="119">
        <v>80</v>
      </c>
      <c r="C83" s="129"/>
      <c r="D83" s="100"/>
      <c r="E83" s="100" t="s">
        <v>64</v>
      </c>
      <c r="F83" s="100" t="s">
        <v>64</v>
      </c>
      <c r="G83" s="100"/>
      <c r="H83" s="100"/>
      <c r="I83" s="100">
        <v>1899</v>
      </c>
      <c r="J83" s="100">
        <v>12</v>
      </c>
    </row>
    <row r="84" spans="2:10" x14ac:dyDescent="0.15">
      <c r="B84" s="119">
        <v>81</v>
      </c>
      <c r="C84" s="128"/>
      <c r="D84" s="94"/>
      <c r="E84" s="94" t="s">
        <v>64</v>
      </c>
      <c r="F84" s="94" t="s">
        <v>64</v>
      </c>
      <c r="G84" s="94"/>
      <c r="H84" s="94"/>
      <c r="I84" s="94">
        <v>1899</v>
      </c>
      <c r="J84" s="94">
        <v>12</v>
      </c>
    </row>
    <row r="85" spans="2:10" x14ac:dyDescent="0.15">
      <c r="B85" s="119">
        <v>82</v>
      </c>
      <c r="C85" s="129"/>
      <c r="D85" s="100"/>
      <c r="E85" s="100" t="s">
        <v>64</v>
      </c>
      <c r="F85" s="100" t="s">
        <v>64</v>
      </c>
      <c r="G85" s="100"/>
      <c r="H85" s="100"/>
      <c r="I85" s="100">
        <v>1899</v>
      </c>
      <c r="J85" s="100">
        <v>12</v>
      </c>
    </row>
    <row r="86" spans="2:10" x14ac:dyDescent="0.15">
      <c r="B86" s="119">
        <v>83</v>
      </c>
      <c r="C86" s="128"/>
      <c r="D86" s="94"/>
      <c r="E86" s="94" t="s">
        <v>64</v>
      </c>
      <c r="F86" s="94" t="s">
        <v>64</v>
      </c>
      <c r="G86" s="94"/>
      <c r="H86" s="94"/>
      <c r="I86" s="94">
        <v>1899</v>
      </c>
      <c r="J86" s="94">
        <v>12</v>
      </c>
    </row>
    <row r="87" spans="2:10" x14ac:dyDescent="0.15">
      <c r="B87" s="119">
        <v>84</v>
      </c>
      <c r="C87" s="129"/>
      <c r="D87" s="100"/>
      <c r="E87" s="100" t="s">
        <v>64</v>
      </c>
      <c r="F87" s="100" t="s">
        <v>64</v>
      </c>
      <c r="G87" s="100"/>
      <c r="H87" s="100"/>
      <c r="I87" s="100">
        <v>1899</v>
      </c>
      <c r="J87" s="100">
        <v>12</v>
      </c>
    </row>
    <row r="88" spans="2:10" x14ac:dyDescent="0.15">
      <c r="B88" s="119">
        <v>85</v>
      </c>
      <c r="C88" s="128"/>
      <c r="D88" s="94"/>
      <c r="E88" s="94" t="s">
        <v>64</v>
      </c>
      <c r="F88" s="94" t="s">
        <v>64</v>
      </c>
      <c r="G88" s="94"/>
      <c r="H88" s="94"/>
      <c r="I88" s="94">
        <v>1899</v>
      </c>
      <c r="J88" s="94">
        <v>12</v>
      </c>
    </row>
    <row r="89" spans="2:10" x14ac:dyDescent="0.15">
      <c r="B89" s="119">
        <v>86</v>
      </c>
      <c r="C89" s="129"/>
      <c r="D89" s="100"/>
      <c r="E89" s="100" t="s">
        <v>64</v>
      </c>
      <c r="F89" s="100" t="s">
        <v>64</v>
      </c>
      <c r="G89" s="100"/>
      <c r="H89" s="100"/>
      <c r="I89" s="100">
        <v>1899</v>
      </c>
      <c r="J89" s="100">
        <v>12</v>
      </c>
    </row>
    <row r="90" spans="2:10" x14ac:dyDescent="0.15">
      <c r="B90" s="119">
        <v>87</v>
      </c>
      <c r="C90" s="128"/>
      <c r="D90" s="94"/>
      <c r="E90" s="94" t="s">
        <v>64</v>
      </c>
      <c r="F90" s="94" t="s">
        <v>64</v>
      </c>
      <c r="G90" s="94"/>
      <c r="H90" s="94"/>
      <c r="I90" s="94">
        <v>1899</v>
      </c>
      <c r="J90" s="94">
        <v>12</v>
      </c>
    </row>
    <row r="91" spans="2:10" x14ac:dyDescent="0.15">
      <c r="B91" s="119">
        <v>88</v>
      </c>
      <c r="C91" s="129"/>
      <c r="D91" s="100"/>
      <c r="E91" s="100" t="s">
        <v>64</v>
      </c>
      <c r="F91" s="100" t="s">
        <v>64</v>
      </c>
      <c r="G91" s="100"/>
      <c r="H91" s="100"/>
      <c r="I91" s="100">
        <v>1899</v>
      </c>
      <c r="J91" s="100">
        <v>12</v>
      </c>
    </row>
    <row r="92" spans="2:10" x14ac:dyDescent="0.15">
      <c r="B92" s="119">
        <v>89</v>
      </c>
      <c r="C92" s="128"/>
      <c r="D92" s="94"/>
      <c r="E92" s="94" t="s">
        <v>64</v>
      </c>
      <c r="F92" s="94" t="s">
        <v>64</v>
      </c>
      <c r="G92" s="94"/>
      <c r="H92" s="94"/>
      <c r="I92" s="94">
        <v>1899</v>
      </c>
      <c r="J92" s="94">
        <v>12</v>
      </c>
    </row>
    <row r="93" spans="2:10" x14ac:dyDescent="0.15">
      <c r="B93" s="119">
        <v>90</v>
      </c>
      <c r="C93" s="129"/>
      <c r="D93" s="100"/>
      <c r="E93" s="100" t="s">
        <v>64</v>
      </c>
      <c r="F93" s="100" t="s">
        <v>64</v>
      </c>
      <c r="G93" s="100"/>
      <c r="H93" s="100"/>
      <c r="I93" s="100">
        <v>1899</v>
      </c>
      <c r="J93" s="100">
        <v>12</v>
      </c>
    </row>
    <row r="94" spans="2:10" x14ac:dyDescent="0.15">
      <c r="B94" s="119">
        <v>91</v>
      </c>
      <c r="C94" s="128"/>
      <c r="D94" s="94"/>
      <c r="E94" s="94" t="s">
        <v>64</v>
      </c>
      <c r="F94" s="94" t="s">
        <v>64</v>
      </c>
      <c r="G94" s="94"/>
      <c r="H94" s="94"/>
      <c r="I94" s="94">
        <v>1899</v>
      </c>
      <c r="J94" s="94">
        <v>12</v>
      </c>
    </row>
    <row r="95" spans="2:10" x14ac:dyDescent="0.15">
      <c r="B95" s="119">
        <v>92</v>
      </c>
      <c r="C95" s="129"/>
      <c r="D95" s="100"/>
      <c r="E95" s="100" t="s">
        <v>64</v>
      </c>
      <c r="F95" s="100" t="s">
        <v>64</v>
      </c>
      <c r="G95" s="100"/>
      <c r="H95" s="100"/>
      <c r="I95" s="100">
        <v>1899</v>
      </c>
      <c r="J95" s="100">
        <v>12</v>
      </c>
    </row>
    <row r="96" spans="2:10" x14ac:dyDescent="0.15">
      <c r="B96" s="119">
        <v>93</v>
      </c>
      <c r="C96" s="128"/>
      <c r="D96" s="94"/>
      <c r="E96" s="94" t="s">
        <v>64</v>
      </c>
      <c r="F96" s="94" t="s">
        <v>64</v>
      </c>
      <c r="G96" s="94"/>
      <c r="H96" s="94"/>
      <c r="I96" s="94">
        <v>1899</v>
      </c>
      <c r="J96" s="94">
        <v>12</v>
      </c>
    </row>
    <row r="97" spans="2:10" x14ac:dyDescent="0.15">
      <c r="B97" s="119">
        <v>94</v>
      </c>
      <c r="C97" s="129"/>
      <c r="D97" s="100"/>
      <c r="E97" s="100" t="s">
        <v>64</v>
      </c>
      <c r="F97" s="100" t="s">
        <v>64</v>
      </c>
      <c r="G97" s="100"/>
      <c r="H97" s="100"/>
      <c r="I97" s="100">
        <v>1899</v>
      </c>
      <c r="J97" s="100">
        <v>12</v>
      </c>
    </row>
    <row r="98" spans="2:10" x14ac:dyDescent="0.15">
      <c r="B98" s="119">
        <v>95</v>
      </c>
      <c r="C98" s="128"/>
      <c r="D98" s="94"/>
      <c r="E98" s="94" t="s">
        <v>64</v>
      </c>
      <c r="F98" s="94" t="s">
        <v>64</v>
      </c>
      <c r="G98" s="94"/>
      <c r="H98" s="94"/>
      <c r="I98" s="94">
        <v>1899</v>
      </c>
      <c r="J98" s="94">
        <v>12</v>
      </c>
    </row>
    <row r="99" spans="2:10" x14ac:dyDescent="0.15">
      <c r="B99" s="119">
        <v>96</v>
      </c>
      <c r="C99" s="129"/>
      <c r="D99" s="100"/>
      <c r="E99" s="100" t="s">
        <v>64</v>
      </c>
      <c r="F99" s="100" t="s">
        <v>64</v>
      </c>
      <c r="G99" s="100"/>
      <c r="H99" s="100"/>
      <c r="I99" s="100">
        <v>1899</v>
      </c>
      <c r="J99" s="100">
        <v>12</v>
      </c>
    </row>
    <row r="100" spans="2:10" x14ac:dyDescent="0.15">
      <c r="B100" s="119">
        <v>97</v>
      </c>
      <c r="C100" s="128"/>
      <c r="D100" s="94"/>
      <c r="E100" s="94" t="s">
        <v>64</v>
      </c>
      <c r="F100" s="94" t="s">
        <v>64</v>
      </c>
      <c r="G100" s="94"/>
      <c r="H100" s="94"/>
      <c r="I100" s="94">
        <v>1899</v>
      </c>
      <c r="J100" s="94">
        <v>12</v>
      </c>
    </row>
    <row r="101" spans="2:10" x14ac:dyDescent="0.15">
      <c r="B101" s="119">
        <v>98</v>
      </c>
      <c r="C101" s="129"/>
      <c r="D101" s="100"/>
      <c r="E101" s="100" t="s">
        <v>64</v>
      </c>
      <c r="F101" s="100" t="s">
        <v>64</v>
      </c>
      <c r="G101" s="100"/>
      <c r="H101" s="100"/>
      <c r="I101" s="100">
        <v>1899</v>
      </c>
      <c r="J101" s="100">
        <v>12</v>
      </c>
    </row>
    <row r="102" spans="2:10" x14ac:dyDescent="0.15">
      <c r="B102" s="119">
        <v>99</v>
      </c>
      <c r="C102" s="128"/>
      <c r="D102" s="94"/>
      <c r="E102" s="94" t="s">
        <v>64</v>
      </c>
      <c r="F102" s="94" t="s">
        <v>64</v>
      </c>
      <c r="G102" s="94"/>
      <c r="H102" s="94"/>
      <c r="I102" s="94">
        <v>1899</v>
      </c>
      <c r="J102" s="94">
        <v>12</v>
      </c>
    </row>
    <row r="103" spans="2:10" x14ac:dyDescent="0.15">
      <c r="B103" s="119">
        <v>100</v>
      </c>
      <c r="C103" s="129"/>
      <c r="D103" s="100"/>
      <c r="E103" s="100" t="s">
        <v>64</v>
      </c>
      <c r="F103" s="100" t="s">
        <v>64</v>
      </c>
      <c r="G103" s="100"/>
      <c r="H103" s="100"/>
      <c r="I103" s="100">
        <v>1899</v>
      </c>
      <c r="J103" s="100">
        <v>12</v>
      </c>
    </row>
    <row r="104" spans="2:10" x14ac:dyDescent="0.15">
      <c r="B104" s="119">
        <v>101</v>
      </c>
      <c r="C104" s="128"/>
      <c r="D104" s="94"/>
      <c r="E104" s="94" t="s">
        <v>64</v>
      </c>
      <c r="F104" s="94" t="s">
        <v>64</v>
      </c>
      <c r="G104" s="94"/>
      <c r="H104" s="94"/>
      <c r="I104" s="94">
        <v>1899</v>
      </c>
      <c r="J104" s="94">
        <v>12</v>
      </c>
    </row>
    <row r="105" spans="2:10" x14ac:dyDescent="0.15">
      <c r="B105" s="119">
        <v>102</v>
      </c>
      <c r="C105" s="129"/>
      <c r="D105" s="100"/>
      <c r="E105" s="100" t="s">
        <v>64</v>
      </c>
      <c r="F105" s="100" t="s">
        <v>64</v>
      </c>
      <c r="G105" s="100"/>
      <c r="H105" s="100"/>
      <c r="I105" s="100">
        <v>1899</v>
      </c>
      <c r="J105" s="100">
        <v>12</v>
      </c>
    </row>
    <row r="106" spans="2:10" x14ac:dyDescent="0.15">
      <c r="B106" s="119">
        <v>103</v>
      </c>
      <c r="C106" s="128"/>
      <c r="D106" s="94"/>
      <c r="E106" s="94" t="s">
        <v>64</v>
      </c>
      <c r="F106" s="94" t="s">
        <v>64</v>
      </c>
      <c r="G106" s="94"/>
      <c r="H106" s="94"/>
      <c r="I106" s="94">
        <v>1899</v>
      </c>
      <c r="J106" s="94">
        <v>12</v>
      </c>
    </row>
    <row r="107" spans="2:10" x14ac:dyDescent="0.15">
      <c r="B107" s="119">
        <v>104</v>
      </c>
      <c r="C107" s="129"/>
      <c r="D107" s="100"/>
      <c r="E107" s="100" t="s">
        <v>64</v>
      </c>
      <c r="F107" s="100" t="s">
        <v>64</v>
      </c>
      <c r="G107" s="100"/>
      <c r="H107" s="100"/>
      <c r="I107" s="100">
        <v>1899</v>
      </c>
      <c r="J107" s="100">
        <v>12</v>
      </c>
    </row>
    <row r="108" spans="2:10" x14ac:dyDescent="0.15">
      <c r="B108" s="119">
        <v>105</v>
      </c>
      <c r="C108" s="128"/>
      <c r="D108" s="94"/>
      <c r="E108" s="94" t="s">
        <v>64</v>
      </c>
      <c r="F108" s="94" t="s">
        <v>64</v>
      </c>
      <c r="G108" s="94"/>
      <c r="H108" s="94"/>
      <c r="I108" s="94">
        <v>1899</v>
      </c>
      <c r="J108" s="94">
        <v>12</v>
      </c>
    </row>
    <row r="109" spans="2:10" x14ac:dyDescent="0.15">
      <c r="B109" s="119">
        <v>106</v>
      </c>
      <c r="C109" s="129"/>
      <c r="D109" s="100"/>
      <c r="E109" s="100" t="s">
        <v>64</v>
      </c>
      <c r="F109" s="100" t="s">
        <v>64</v>
      </c>
      <c r="G109" s="100"/>
      <c r="H109" s="100"/>
      <c r="I109" s="100">
        <v>1899</v>
      </c>
      <c r="J109" s="100">
        <v>12</v>
      </c>
    </row>
    <row r="110" spans="2:10" x14ac:dyDescent="0.15">
      <c r="B110" s="119">
        <v>107</v>
      </c>
      <c r="C110" s="128"/>
      <c r="D110" s="94"/>
      <c r="E110" s="94" t="s">
        <v>64</v>
      </c>
      <c r="F110" s="94" t="s">
        <v>64</v>
      </c>
      <c r="G110" s="94"/>
      <c r="H110" s="94"/>
      <c r="I110" s="94">
        <v>1899</v>
      </c>
      <c r="J110" s="94">
        <v>12</v>
      </c>
    </row>
    <row r="111" spans="2:10" x14ac:dyDescent="0.15">
      <c r="B111" s="119">
        <v>108</v>
      </c>
      <c r="C111" s="129"/>
      <c r="D111" s="100"/>
      <c r="E111" s="100" t="s">
        <v>64</v>
      </c>
      <c r="F111" s="100" t="s">
        <v>64</v>
      </c>
      <c r="G111" s="100"/>
      <c r="H111" s="100"/>
      <c r="I111" s="100">
        <v>1899</v>
      </c>
      <c r="J111" s="100">
        <v>12</v>
      </c>
    </row>
    <row r="112" spans="2:10" x14ac:dyDescent="0.15">
      <c r="B112" s="119">
        <v>109</v>
      </c>
      <c r="C112" s="128"/>
      <c r="D112" s="94"/>
      <c r="E112" s="94" t="s">
        <v>64</v>
      </c>
      <c r="F112" s="94" t="s">
        <v>64</v>
      </c>
      <c r="G112" s="94"/>
      <c r="H112" s="94"/>
      <c r="I112" s="94">
        <v>1899</v>
      </c>
      <c r="J112" s="94">
        <v>12</v>
      </c>
    </row>
    <row r="113" spans="2:10" x14ac:dyDescent="0.15">
      <c r="B113" s="119">
        <v>110</v>
      </c>
      <c r="C113" s="129"/>
      <c r="D113" s="100"/>
      <c r="E113" s="100" t="s">
        <v>64</v>
      </c>
      <c r="F113" s="100" t="s">
        <v>64</v>
      </c>
      <c r="G113" s="100"/>
      <c r="H113" s="100"/>
      <c r="I113" s="100">
        <v>1899</v>
      </c>
      <c r="J113" s="100">
        <v>12</v>
      </c>
    </row>
    <row r="114" spans="2:10" x14ac:dyDescent="0.15">
      <c r="B114" s="119">
        <v>111</v>
      </c>
      <c r="C114" s="128"/>
      <c r="D114" s="94"/>
      <c r="E114" s="94" t="s">
        <v>64</v>
      </c>
      <c r="F114" s="94" t="s">
        <v>64</v>
      </c>
      <c r="G114" s="94"/>
      <c r="H114" s="94"/>
      <c r="I114" s="94">
        <v>1899</v>
      </c>
      <c r="J114" s="94">
        <v>12</v>
      </c>
    </row>
    <row r="115" spans="2:10" x14ac:dyDescent="0.15">
      <c r="B115" s="119">
        <v>112</v>
      </c>
      <c r="C115" s="129"/>
      <c r="D115" s="100"/>
      <c r="E115" s="100" t="s">
        <v>64</v>
      </c>
      <c r="F115" s="100" t="s">
        <v>64</v>
      </c>
      <c r="G115" s="100"/>
      <c r="H115" s="100"/>
      <c r="I115" s="100">
        <v>1899</v>
      </c>
      <c r="J115" s="100">
        <v>12</v>
      </c>
    </row>
    <row r="116" spans="2:10" x14ac:dyDescent="0.15">
      <c r="B116" s="119">
        <v>113</v>
      </c>
      <c r="C116" s="128"/>
      <c r="D116" s="94"/>
      <c r="E116" s="94" t="s">
        <v>64</v>
      </c>
      <c r="F116" s="94" t="s">
        <v>64</v>
      </c>
      <c r="G116" s="94"/>
      <c r="H116" s="94"/>
      <c r="I116" s="94">
        <v>1899</v>
      </c>
      <c r="J116" s="94">
        <v>12</v>
      </c>
    </row>
    <row r="117" spans="2:10" x14ac:dyDescent="0.15">
      <c r="B117" s="119">
        <v>114</v>
      </c>
      <c r="C117" s="129"/>
      <c r="D117" s="100"/>
      <c r="E117" s="100" t="s">
        <v>64</v>
      </c>
      <c r="F117" s="100" t="s">
        <v>64</v>
      </c>
      <c r="G117" s="100"/>
      <c r="H117" s="100"/>
      <c r="I117" s="100">
        <v>1899</v>
      </c>
      <c r="J117" s="100">
        <v>12</v>
      </c>
    </row>
    <row r="118" spans="2:10" x14ac:dyDescent="0.15">
      <c r="B118" s="119">
        <v>115</v>
      </c>
      <c r="C118" s="128"/>
      <c r="D118" s="94"/>
      <c r="E118" s="94" t="s">
        <v>64</v>
      </c>
      <c r="F118" s="94" t="s">
        <v>64</v>
      </c>
      <c r="G118" s="94"/>
      <c r="H118" s="94"/>
      <c r="I118" s="94">
        <v>1899</v>
      </c>
      <c r="J118" s="94">
        <v>12</v>
      </c>
    </row>
    <row r="119" spans="2:10" x14ac:dyDescent="0.15">
      <c r="B119" s="119">
        <v>116</v>
      </c>
      <c r="C119" s="129"/>
      <c r="D119" s="100"/>
      <c r="E119" s="100" t="s">
        <v>64</v>
      </c>
      <c r="F119" s="100" t="s">
        <v>64</v>
      </c>
      <c r="G119" s="100"/>
      <c r="H119" s="100"/>
      <c r="I119" s="100">
        <v>1899</v>
      </c>
      <c r="J119" s="100">
        <v>12</v>
      </c>
    </row>
    <row r="120" spans="2:10" x14ac:dyDescent="0.15">
      <c r="B120" s="119">
        <v>117</v>
      </c>
      <c r="C120" s="128"/>
      <c r="D120" s="94"/>
      <c r="E120" s="94" t="s">
        <v>64</v>
      </c>
      <c r="F120" s="94" t="s">
        <v>64</v>
      </c>
      <c r="G120" s="94"/>
      <c r="H120" s="94"/>
      <c r="I120" s="94">
        <v>1899</v>
      </c>
      <c r="J120" s="94">
        <v>12</v>
      </c>
    </row>
    <row r="121" spans="2:10" x14ac:dyDescent="0.15">
      <c r="B121" s="119">
        <v>118</v>
      </c>
      <c r="C121" s="129"/>
      <c r="D121" s="100"/>
      <c r="E121" s="100" t="s">
        <v>64</v>
      </c>
      <c r="F121" s="100" t="s">
        <v>64</v>
      </c>
      <c r="G121" s="100"/>
      <c r="H121" s="100"/>
      <c r="I121" s="100">
        <v>1899</v>
      </c>
      <c r="J121" s="100">
        <v>12</v>
      </c>
    </row>
    <row r="122" spans="2:10" x14ac:dyDescent="0.15">
      <c r="B122" s="119">
        <v>119</v>
      </c>
      <c r="C122" s="128"/>
      <c r="D122" s="94"/>
      <c r="E122" s="94" t="s">
        <v>64</v>
      </c>
      <c r="F122" s="94" t="s">
        <v>64</v>
      </c>
      <c r="G122" s="94"/>
      <c r="H122" s="94"/>
      <c r="I122" s="94">
        <v>1899</v>
      </c>
      <c r="J122" s="94">
        <v>12</v>
      </c>
    </row>
    <row r="123" spans="2:10" x14ac:dyDescent="0.15">
      <c r="B123" s="119">
        <v>120</v>
      </c>
      <c r="C123" s="129"/>
      <c r="D123" s="100"/>
      <c r="E123" s="100" t="s">
        <v>64</v>
      </c>
      <c r="F123" s="100" t="s">
        <v>64</v>
      </c>
      <c r="G123" s="100"/>
      <c r="H123" s="100"/>
      <c r="I123" s="100">
        <v>1899</v>
      </c>
      <c r="J123" s="100">
        <v>12</v>
      </c>
    </row>
    <row r="124" spans="2:10" x14ac:dyDescent="0.15">
      <c r="B124" s="119">
        <v>121</v>
      </c>
      <c r="C124" s="128"/>
      <c r="D124" s="94"/>
      <c r="E124" s="94" t="s">
        <v>64</v>
      </c>
      <c r="F124" s="94" t="s">
        <v>64</v>
      </c>
      <c r="G124" s="94"/>
      <c r="H124" s="94"/>
      <c r="I124" s="94">
        <v>1899</v>
      </c>
      <c r="J124" s="94">
        <v>12</v>
      </c>
    </row>
    <row r="125" spans="2:10" x14ac:dyDescent="0.15">
      <c r="B125" s="119">
        <v>122</v>
      </c>
      <c r="C125" s="129"/>
      <c r="D125" s="100"/>
      <c r="E125" s="100" t="s">
        <v>64</v>
      </c>
      <c r="F125" s="100" t="s">
        <v>64</v>
      </c>
      <c r="G125" s="100"/>
      <c r="H125" s="100"/>
      <c r="I125" s="100">
        <v>1899</v>
      </c>
      <c r="J125" s="100">
        <v>12</v>
      </c>
    </row>
    <row r="126" spans="2:10" x14ac:dyDescent="0.15">
      <c r="B126" s="119">
        <v>123</v>
      </c>
      <c r="C126" s="128"/>
      <c r="D126" s="94"/>
      <c r="E126" s="94" t="s">
        <v>64</v>
      </c>
      <c r="F126" s="94" t="s">
        <v>64</v>
      </c>
      <c r="G126" s="94"/>
      <c r="H126" s="94"/>
      <c r="I126" s="94">
        <v>1899</v>
      </c>
      <c r="J126" s="94">
        <v>12</v>
      </c>
    </row>
    <row r="127" spans="2:10" x14ac:dyDescent="0.15">
      <c r="B127" s="119">
        <v>124</v>
      </c>
      <c r="C127" s="129"/>
      <c r="D127" s="100"/>
      <c r="E127" s="100" t="s">
        <v>64</v>
      </c>
      <c r="F127" s="100" t="s">
        <v>64</v>
      </c>
      <c r="G127" s="100"/>
      <c r="H127" s="100"/>
      <c r="I127" s="100">
        <v>1899</v>
      </c>
      <c r="J127" s="100">
        <v>12</v>
      </c>
    </row>
    <row r="128" spans="2:10" x14ac:dyDescent="0.15">
      <c r="B128" s="119">
        <v>125</v>
      </c>
      <c r="C128" s="128"/>
      <c r="D128" s="94"/>
      <c r="E128" s="94" t="s">
        <v>64</v>
      </c>
      <c r="F128" s="94" t="s">
        <v>64</v>
      </c>
      <c r="G128" s="94"/>
      <c r="H128" s="94"/>
      <c r="I128" s="94">
        <v>1899</v>
      </c>
      <c r="J128" s="94">
        <v>12</v>
      </c>
    </row>
    <row r="129" spans="2:10" x14ac:dyDescent="0.15">
      <c r="B129" s="119">
        <v>126</v>
      </c>
      <c r="C129" s="129"/>
      <c r="D129" s="100"/>
      <c r="E129" s="100" t="s">
        <v>64</v>
      </c>
      <c r="F129" s="100" t="s">
        <v>64</v>
      </c>
      <c r="G129" s="100"/>
      <c r="H129" s="100"/>
      <c r="I129" s="100">
        <v>1899</v>
      </c>
      <c r="J129" s="100">
        <v>12</v>
      </c>
    </row>
    <row r="130" spans="2:10" x14ac:dyDescent="0.15">
      <c r="B130" s="119">
        <v>127</v>
      </c>
      <c r="C130" s="128"/>
      <c r="D130" s="94"/>
      <c r="E130" s="94" t="s">
        <v>64</v>
      </c>
      <c r="F130" s="94" t="s">
        <v>64</v>
      </c>
      <c r="G130" s="94"/>
      <c r="H130" s="94"/>
      <c r="I130" s="94">
        <v>1899</v>
      </c>
      <c r="J130" s="94">
        <v>12</v>
      </c>
    </row>
    <row r="131" spans="2:10" x14ac:dyDescent="0.15">
      <c r="B131" s="119">
        <v>128</v>
      </c>
      <c r="C131" s="129"/>
      <c r="D131" s="100"/>
      <c r="E131" s="100" t="s">
        <v>64</v>
      </c>
      <c r="F131" s="100" t="s">
        <v>64</v>
      </c>
      <c r="G131" s="100"/>
      <c r="H131" s="100"/>
      <c r="I131" s="100">
        <v>1899</v>
      </c>
      <c r="J131" s="100">
        <v>12</v>
      </c>
    </row>
    <row r="132" spans="2:10" x14ac:dyDescent="0.15">
      <c r="B132" s="119">
        <v>129</v>
      </c>
      <c r="C132" s="128"/>
      <c r="D132" s="94"/>
      <c r="E132" s="94" t="s">
        <v>64</v>
      </c>
      <c r="F132" s="94" t="s">
        <v>64</v>
      </c>
      <c r="G132" s="94"/>
      <c r="H132" s="94"/>
      <c r="I132" s="94">
        <v>1899</v>
      </c>
      <c r="J132" s="94">
        <v>12</v>
      </c>
    </row>
    <row r="133" spans="2:10" x14ac:dyDescent="0.15">
      <c r="B133" s="119">
        <v>130</v>
      </c>
      <c r="C133" s="129"/>
      <c r="D133" s="100"/>
      <c r="E133" s="100" t="s">
        <v>64</v>
      </c>
      <c r="F133" s="100" t="s">
        <v>64</v>
      </c>
      <c r="G133" s="100"/>
      <c r="H133" s="100"/>
      <c r="I133" s="100">
        <v>1899</v>
      </c>
      <c r="J133" s="100">
        <v>12</v>
      </c>
    </row>
    <row r="134" spans="2:10" x14ac:dyDescent="0.15">
      <c r="B134" s="119">
        <v>131</v>
      </c>
      <c r="C134" s="128"/>
      <c r="D134" s="94"/>
      <c r="E134" s="94" t="s">
        <v>64</v>
      </c>
      <c r="F134" s="94" t="s">
        <v>64</v>
      </c>
      <c r="G134" s="94"/>
      <c r="H134" s="94"/>
      <c r="I134" s="94">
        <v>1899</v>
      </c>
      <c r="J134" s="94">
        <v>12</v>
      </c>
    </row>
    <row r="135" spans="2:10" x14ac:dyDescent="0.15">
      <c r="B135" s="119">
        <v>132</v>
      </c>
      <c r="C135" s="129"/>
      <c r="D135" s="100"/>
      <c r="E135" s="100" t="s">
        <v>64</v>
      </c>
      <c r="F135" s="100" t="s">
        <v>64</v>
      </c>
      <c r="G135" s="100"/>
      <c r="H135" s="100"/>
      <c r="I135" s="100">
        <v>1899</v>
      </c>
      <c r="J135" s="100">
        <v>12</v>
      </c>
    </row>
    <row r="136" spans="2:10" x14ac:dyDescent="0.15">
      <c r="B136" s="119">
        <v>133</v>
      </c>
      <c r="C136" s="128"/>
      <c r="D136" s="94"/>
      <c r="E136" s="94" t="s">
        <v>64</v>
      </c>
      <c r="F136" s="94" t="s">
        <v>64</v>
      </c>
      <c r="G136" s="94"/>
      <c r="H136" s="94"/>
      <c r="I136" s="94">
        <v>1899</v>
      </c>
      <c r="J136" s="94">
        <v>12</v>
      </c>
    </row>
    <row r="137" spans="2:10" x14ac:dyDescent="0.15">
      <c r="B137" s="119">
        <v>134</v>
      </c>
      <c r="C137" s="129"/>
      <c r="D137" s="100"/>
      <c r="E137" s="100" t="s">
        <v>64</v>
      </c>
      <c r="F137" s="100" t="s">
        <v>64</v>
      </c>
      <c r="G137" s="100"/>
      <c r="H137" s="100"/>
      <c r="I137" s="100">
        <v>1899</v>
      </c>
      <c r="J137" s="100">
        <v>12</v>
      </c>
    </row>
    <row r="138" spans="2:10" x14ac:dyDescent="0.15">
      <c r="B138" s="119">
        <v>135</v>
      </c>
      <c r="C138" s="128"/>
      <c r="D138" s="94"/>
      <c r="E138" s="94" t="s">
        <v>64</v>
      </c>
      <c r="F138" s="94" t="s">
        <v>64</v>
      </c>
      <c r="G138" s="94"/>
      <c r="H138" s="94"/>
      <c r="I138" s="94">
        <v>1899</v>
      </c>
      <c r="J138" s="94">
        <v>12</v>
      </c>
    </row>
    <row r="139" spans="2:10" x14ac:dyDescent="0.15">
      <c r="B139" s="119">
        <v>136</v>
      </c>
      <c r="C139" s="129"/>
      <c r="D139" s="100"/>
      <c r="E139" s="100" t="s">
        <v>64</v>
      </c>
      <c r="F139" s="100" t="s">
        <v>64</v>
      </c>
      <c r="G139" s="100"/>
      <c r="H139" s="100"/>
      <c r="I139" s="100">
        <v>1899</v>
      </c>
      <c r="J139" s="100">
        <v>12</v>
      </c>
    </row>
    <row r="140" spans="2:10" x14ac:dyDescent="0.15">
      <c r="B140" s="119">
        <v>137</v>
      </c>
      <c r="C140" s="128"/>
      <c r="D140" s="94"/>
      <c r="E140" s="94" t="s">
        <v>64</v>
      </c>
      <c r="F140" s="94" t="s">
        <v>64</v>
      </c>
      <c r="G140" s="94"/>
      <c r="H140" s="94"/>
      <c r="I140" s="94">
        <v>1899</v>
      </c>
      <c r="J140" s="94">
        <v>12</v>
      </c>
    </row>
    <row r="141" spans="2:10" x14ac:dyDescent="0.15">
      <c r="B141" s="119">
        <v>138</v>
      </c>
      <c r="C141" s="129"/>
      <c r="D141" s="100"/>
      <c r="E141" s="100" t="s">
        <v>64</v>
      </c>
      <c r="F141" s="100" t="s">
        <v>64</v>
      </c>
      <c r="G141" s="100"/>
      <c r="H141" s="100"/>
      <c r="I141" s="100">
        <v>1899</v>
      </c>
      <c r="J141" s="100">
        <v>12</v>
      </c>
    </row>
    <row r="142" spans="2:10" x14ac:dyDescent="0.15">
      <c r="B142" s="119">
        <v>139</v>
      </c>
      <c r="C142" s="128"/>
      <c r="D142" s="94"/>
      <c r="E142" s="94" t="s">
        <v>64</v>
      </c>
      <c r="F142" s="94" t="s">
        <v>64</v>
      </c>
      <c r="G142" s="94"/>
      <c r="H142" s="94"/>
      <c r="I142" s="94">
        <v>1899</v>
      </c>
      <c r="J142" s="94">
        <v>12</v>
      </c>
    </row>
    <row r="143" spans="2:10" x14ac:dyDescent="0.15">
      <c r="B143" s="119">
        <v>140</v>
      </c>
      <c r="C143" s="129"/>
      <c r="D143" s="100"/>
      <c r="E143" s="100" t="s">
        <v>64</v>
      </c>
      <c r="F143" s="100" t="s">
        <v>64</v>
      </c>
      <c r="G143" s="100"/>
      <c r="H143" s="100"/>
      <c r="I143" s="100">
        <v>1899</v>
      </c>
      <c r="J143" s="100">
        <v>12</v>
      </c>
    </row>
    <row r="144" spans="2:10" x14ac:dyDescent="0.15">
      <c r="B144" s="119">
        <v>141</v>
      </c>
      <c r="C144" s="128"/>
      <c r="D144" s="94"/>
      <c r="E144" s="94" t="s">
        <v>64</v>
      </c>
      <c r="F144" s="94" t="s">
        <v>64</v>
      </c>
      <c r="G144" s="94"/>
      <c r="H144" s="94"/>
      <c r="I144" s="94">
        <v>1899</v>
      </c>
      <c r="J144" s="94">
        <v>12</v>
      </c>
    </row>
    <row r="145" spans="2:10" x14ac:dyDescent="0.15">
      <c r="B145" s="119">
        <v>142</v>
      </c>
      <c r="C145" s="129"/>
      <c r="D145" s="100"/>
      <c r="E145" s="100" t="s">
        <v>64</v>
      </c>
      <c r="F145" s="100" t="s">
        <v>64</v>
      </c>
      <c r="G145" s="100"/>
      <c r="H145" s="100"/>
      <c r="I145" s="100">
        <v>1899</v>
      </c>
      <c r="J145" s="100">
        <v>12</v>
      </c>
    </row>
    <row r="146" spans="2:10" x14ac:dyDescent="0.15">
      <c r="B146" s="119">
        <v>143</v>
      </c>
      <c r="C146" s="128"/>
      <c r="D146" s="94"/>
      <c r="E146" s="94" t="s">
        <v>64</v>
      </c>
      <c r="F146" s="94" t="s">
        <v>64</v>
      </c>
      <c r="G146" s="94"/>
      <c r="H146" s="94"/>
      <c r="I146" s="94">
        <v>1899</v>
      </c>
      <c r="J146" s="94">
        <v>12</v>
      </c>
    </row>
    <row r="147" spans="2:10" x14ac:dyDescent="0.15">
      <c r="B147" s="119">
        <v>144</v>
      </c>
      <c r="C147" s="129"/>
      <c r="D147" s="100"/>
      <c r="E147" s="100" t="s">
        <v>64</v>
      </c>
      <c r="F147" s="100" t="s">
        <v>64</v>
      </c>
      <c r="G147" s="100"/>
      <c r="H147" s="100"/>
      <c r="I147" s="100">
        <v>1899</v>
      </c>
      <c r="J147" s="100">
        <v>12</v>
      </c>
    </row>
    <row r="148" spans="2:10" x14ac:dyDescent="0.15">
      <c r="B148" s="119">
        <v>145</v>
      </c>
      <c r="C148" s="128"/>
      <c r="D148" s="94"/>
      <c r="E148" s="94" t="s">
        <v>64</v>
      </c>
      <c r="F148" s="94" t="s">
        <v>64</v>
      </c>
      <c r="G148" s="94"/>
      <c r="H148" s="94"/>
      <c r="I148" s="94">
        <v>1899</v>
      </c>
      <c r="J148" s="94">
        <v>12</v>
      </c>
    </row>
    <row r="149" spans="2:10" x14ac:dyDescent="0.15">
      <c r="B149" s="119">
        <v>146</v>
      </c>
      <c r="C149" s="129"/>
      <c r="D149" s="100"/>
      <c r="E149" s="100" t="s">
        <v>64</v>
      </c>
      <c r="F149" s="100" t="s">
        <v>64</v>
      </c>
      <c r="G149" s="100"/>
      <c r="H149" s="100"/>
      <c r="I149" s="100">
        <v>1899</v>
      </c>
      <c r="J149" s="100">
        <v>12</v>
      </c>
    </row>
    <row r="150" spans="2:10" x14ac:dyDescent="0.15">
      <c r="B150" s="119">
        <v>147</v>
      </c>
      <c r="C150" s="128"/>
      <c r="D150" s="94"/>
      <c r="E150" s="94" t="s">
        <v>64</v>
      </c>
      <c r="F150" s="94" t="s">
        <v>64</v>
      </c>
      <c r="G150" s="94"/>
      <c r="H150" s="94"/>
      <c r="I150" s="94">
        <v>1899</v>
      </c>
      <c r="J150" s="94">
        <v>12</v>
      </c>
    </row>
    <row r="151" spans="2:10" x14ac:dyDescent="0.15">
      <c r="B151" s="119">
        <v>148</v>
      </c>
      <c r="C151" s="129"/>
      <c r="D151" s="100"/>
      <c r="E151" s="100" t="s">
        <v>64</v>
      </c>
      <c r="F151" s="100" t="s">
        <v>64</v>
      </c>
      <c r="G151" s="100"/>
      <c r="H151" s="100"/>
      <c r="I151" s="100">
        <v>1899</v>
      </c>
      <c r="J151" s="100">
        <v>12</v>
      </c>
    </row>
    <row r="152" spans="2:10" x14ac:dyDescent="0.15">
      <c r="B152" s="119">
        <v>149</v>
      </c>
      <c r="C152" s="128"/>
      <c r="D152" s="94"/>
      <c r="E152" s="94" t="s">
        <v>64</v>
      </c>
      <c r="F152" s="94" t="s">
        <v>64</v>
      </c>
      <c r="G152" s="94"/>
      <c r="H152" s="94"/>
      <c r="I152" s="94">
        <v>1899</v>
      </c>
      <c r="J152" s="94">
        <v>12</v>
      </c>
    </row>
    <row r="153" spans="2:10" x14ac:dyDescent="0.15">
      <c r="B153" s="119">
        <v>150</v>
      </c>
      <c r="C153" s="129"/>
      <c r="D153" s="100"/>
      <c r="E153" s="100" t="s">
        <v>64</v>
      </c>
      <c r="F153" s="100" t="s">
        <v>64</v>
      </c>
      <c r="G153" s="100"/>
      <c r="H153" s="100"/>
      <c r="I153" s="100">
        <v>1899</v>
      </c>
      <c r="J153" s="100">
        <v>12</v>
      </c>
    </row>
    <row r="154" spans="2:10" x14ac:dyDescent="0.15">
      <c r="B154" s="119">
        <v>151</v>
      </c>
      <c r="C154" s="128"/>
      <c r="D154" s="94"/>
      <c r="E154" s="94" t="s">
        <v>64</v>
      </c>
      <c r="F154" s="94" t="s">
        <v>64</v>
      </c>
      <c r="G154" s="94"/>
      <c r="H154" s="94"/>
      <c r="I154" s="94">
        <v>1899</v>
      </c>
      <c r="J154" s="94">
        <v>12</v>
      </c>
    </row>
    <row r="155" spans="2:10" x14ac:dyDescent="0.15">
      <c r="B155" s="119">
        <v>152</v>
      </c>
      <c r="C155" s="129"/>
      <c r="D155" s="100"/>
      <c r="E155" s="100" t="s">
        <v>64</v>
      </c>
      <c r="F155" s="100" t="s">
        <v>64</v>
      </c>
      <c r="G155" s="100"/>
      <c r="H155" s="100"/>
      <c r="I155" s="100">
        <v>1899</v>
      </c>
      <c r="J155" s="100">
        <v>12</v>
      </c>
    </row>
    <row r="156" spans="2:10" x14ac:dyDescent="0.15">
      <c r="B156" s="119">
        <v>153</v>
      </c>
      <c r="C156" s="128"/>
      <c r="D156" s="94"/>
      <c r="E156" s="94" t="s">
        <v>64</v>
      </c>
      <c r="F156" s="94" t="s">
        <v>64</v>
      </c>
      <c r="G156" s="94"/>
      <c r="H156" s="94"/>
      <c r="I156" s="94">
        <v>1899</v>
      </c>
      <c r="J156" s="94">
        <v>12</v>
      </c>
    </row>
    <row r="157" spans="2:10" x14ac:dyDescent="0.15">
      <c r="B157" s="119">
        <v>154</v>
      </c>
      <c r="C157" s="129"/>
      <c r="D157" s="100"/>
      <c r="E157" s="100" t="s">
        <v>64</v>
      </c>
      <c r="F157" s="100" t="s">
        <v>64</v>
      </c>
      <c r="G157" s="100"/>
      <c r="H157" s="100"/>
      <c r="I157" s="100">
        <v>1899</v>
      </c>
      <c r="J157" s="100">
        <v>12</v>
      </c>
    </row>
    <row r="158" spans="2:10" x14ac:dyDescent="0.15">
      <c r="B158" s="119">
        <v>155</v>
      </c>
      <c r="C158" s="128"/>
      <c r="D158" s="94"/>
      <c r="E158" s="94" t="s">
        <v>64</v>
      </c>
      <c r="F158" s="94" t="s">
        <v>64</v>
      </c>
      <c r="G158" s="94"/>
      <c r="H158" s="94"/>
      <c r="I158" s="94">
        <v>1899</v>
      </c>
      <c r="J158" s="94">
        <v>12</v>
      </c>
    </row>
    <row r="159" spans="2:10" x14ac:dyDescent="0.15">
      <c r="B159" s="119">
        <v>156</v>
      </c>
      <c r="C159" s="129"/>
      <c r="D159" s="100"/>
      <c r="E159" s="100" t="s">
        <v>64</v>
      </c>
      <c r="F159" s="100" t="s">
        <v>64</v>
      </c>
      <c r="G159" s="100"/>
      <c r="H159" s="100"/>
      <c r="I159" s="100">
        <v>1899</v>
      </c>
      <c r="J159" s="100">
        <v>12</v>
      </c>
    </row>
    <row r="160" spans="2:10" x14ac:dyDescent="0.15">
      <c r="B160" s="119">
        <v>157</v>
      </c>
      <c r="C160" s="128"/>
      <c r="D160" s="94"/>
      <c r="E160" s="94" t="s">
        <v>64</v>
      </c>
      <c r="F160" s="94" t="s">
        <v>64</v>
      </c>
      <c r="G160" s="94"/>
      <c r="H160" s="94"/>
      <c r="I160" s="94">
        <v>1899</v>
      </c>
      <c r="J160" s="94">
        <v>12</v>
      </c>
    </row>
    <row r="161" spans="2:10" x14ac:dyDescent="0.15">
      <c r="B161" s="119">
        <v>158</v>
      </c>
      <c r="C161" s="129"/>
      <c r="D161" s="100"/>
      <c r="E161" s="100" t="s">
        <v>64</v>
      </c>
      <c r="F161" s="100" t="s">
        <v>64</v>
      </c>
      <c r="G161" s="100"/>
      <c r="H161" s="100"/>
      <c r="I161" s="100">
        <v>1899</v>
      </c>
      <c r="J161" s="100">
        <v>12</v>
      </c>
    </row>
    <row r="162" spans="2:10" x14ac:dyDescent="0.15">
      <c r="B162" s="119">
        <v>159</v>
      </c>
      <c r="C162" s="128"/>
      <c r="D162" s="94"/>
      <c r="E162" s="94" t="s">
        <v>64</v>
      </c>
      <c r="F162" s="94" t="s">
        <v>64</v>
      </c>
      <c r="G162" s="94"/>
      <c r="H162" s="94"/>
      <c r="I162" s="94">
        <v>1899</v>
      </c>
      <c r="J162" s="94">
        <v>12</v>
      </c>
    </row>
    <row r="163" spans="2:10" x14ac:dyDescent="0.15">
      <c r="B163" s="119">
        <v>160</v>
      </c>
      <c r="C163" s="129"/>
      <c r="D163" s="100"/>
      <c r="E163" s="100" t="s">
        <v>64</v>
      </c>
      <c r="F163" s="100" t="s">
        <v>64</v>
      </c>
      <c r="G163" s="100"/>
      <c r="H163" s="100"/>
      <c r="I163" s="100">
        <v>1899</v>
      </c>
      <c r="J163" s="100">
        <v>12</v>
      </c>
    </row>
    <row r="164" spans="2:10" x14ac:dyDescent="0.15">
      <c r="B164" s="119">
        <v>161</v>
      </c>
      <c r="C164" s="128"/>
      <c r="D164" s="94"/>
      <c r="E164" s="94" t="s">
        <v>64</v>
      </c>
      <c r="F164" s="94" t="s">
        <v>64</v>
      </c>
      <c r="G164" s="94"/>
      <c r="H164" s="94"/>
      <c r="I164" s="94">
        <v>1899</v>
      </c>
      <c r="J164" s="94">
        <v>12</v>
      </c>
    </row>
    <row r="165" spans="2:10" x14ac:dyDescent="0.15">
      <c r="B165" s="119">
        <v>162</v>
      </c>
      <c r="C165" s="129"/>
      <c r="D165" s="100"/>
      <c r="E165" s="100" t="s">
        <v>64</v>
      </c>
      <c r="F165" s="100" t="s">
        <v>64</v>
      </c>
      <c r="G165" s="100"/>
      <c r="H165" s="100"/>
      <c r="I165" s="100">
        <v>1899</v>
      </c>
      <c r="J165" s="100">
        <v>12</v>
      </c>
    </row>
    <row r="166" spans="2:10" x14ac:dyDescent="0.15">
      <c r="B166" s="119">
        <v>163</v>
      </c>
      <c r="C166" s="128"/>
      <c r="D166" s="94"/>
      <c r="E166" s="94" t="s">
        <v>64</v>
      </c>
      <c r="F166" s="94" t="s">
        <v>64</v>
      </c>
      <c r="G166" s="94"/>
      <c r="H166" s="94"/>
      <c r="I166" s="94">
        <v>1899</v>
      </c>
      <c r="J166" s="94">
        <v>12</v>
      </c>
    </row>
    <row r="167" spans="2:10" x14ac:dyDescent="0.15">
      <c r="B167" s="119">
        <v>164</v>
      </c>
      <c r="C167" s="129"/>
      <c r="D167" s="100"/>
      <c r="E167" s="100" t="s">
        <v>64</v>
      </c>
      <c r="F167" s="100" t="s">
        <v>64</v>
      </c>
      <c r="G167" s="100"/>
      <c r="H167" s="100"/>
      <c r="I167" s="100">
        <v>1899</v>
      </c>
      <c r="J167" s="100">
        <v>12</v>
      </c>
    </row>
    <row r="168" spans="2:10" x14ac:dyDescent="0.15">
      <c r="B168" s="119">
        <v>165</v>
      </c>
      <c r="C168" s="128"/>
      <c r="D168" s="94"/>
      <c r="E168" s="94" t="s">
        <v>64</v>
      </c>
      <c r="F168" s="94" t="s">
        <v>64</v>
      </c>
      <c r="G168" s="94"/>
      <c r="H168" s="94"/>
      <c r="I168" s="94">
        <v>1899</v>
      </c>
      <c r="J168" s="94">
        <v>12</v>
      </c>
    </row>
    <row r="169" spans="2:10" x14ac:dyDescent="0.15">
      <c r="B169" s="119">
        <v>166</v>
      </c>
      <c r="C169" s="129"/>
      <c r="D169" s="100"/>
      <c r="E169" s="100" t="s">
        <v>64</v>
      </c>
      <c r="F169" s="100" t="s">
        <v>64</v>
      </c>
      <c r="G169" s="100"/>
      <c r="H169" s="100"/>
      <c r="I169" s="100">
        <v>1899</v>
      </c>
      <c r="J169" s="100">
        <v>12</v>
      </c>
    </row>
    <row r="170" spans="2:10" x14ac:dyDescent="0.15">
      <c r="B170" s="119">
        <v>167</v>
      </c>
      <c r="C170" s="128"/>
      <c r="D170" s="94"/>
      <c r="E170" s="94" t="s">
        <v>64</v>
      </c>
      <c r="F170" s="94" t="s">
        <v>64</v>
      </c>
      <c r="G170" s="94"/>
      <c r="H170" s="94"/>
      <c r="I170" s="94">
        <v>1899</v>
      </c>
      <c r="J170" s="94">
        <v>12</v>
      </c>
    </row>
    <row r="171" spans="2:10" x14ac:dyDescent="0.15">
      <c r="B171" s="119">
        <v>168</v>
      </c>
      <c r="C171" s="129"/>
      <c r="D171" s="100"/>
      <c r="E171" s="100" t="s">
        <v>64</v>
      </c>
      <c r="F171" s="100" t="s">
        <v>64</v>
      </c>
      <c r="G171" s="100"/>
      <c r="H171" s="100"/>
      <c r="I171" s="100">
        <v>1899</v>
      </c>
      <c r="J171" s="100">
        <v>12</v>
      </c>
    </row>
    <row r="172" spans="2:10" x14ac:dyDescent="0.15">
      <c r="B172" s="119">
        <v>169</v>
      </c>
      <c r="C172" s="128"/>
      <c r="D172" s="94"/>
      <c r="E172" s="94" t="s">
        <v>64</v>
      </c>
      <c r="F172" s="94" t="s">
        <v>64</v>
      </c>
      <c r="G172" s="94"/>
      <c r="H172" s="94"/>
      <c r="I172" s="94">
        <v>1899</v>
      </c>
      <c r="J172" s="94">
        <v>12</v>
      </c>
    </row>
    <row r="173" spans="2:10" x14ac:dyDescent="0.15">
      <c r="B173" s="119">
        <v>170</v>
      </c>
      <c r="C173" s="129"/>
      <c r="D173" s="100"/>
      <c r="E173" s="100" t="s">
        <v>64</v>
      </c>
      <c r="F173" s="100" t="s">
        <v>64</v>
      </c>
      <c r="G173" s="100"/>
      <c r="H173" s="100"/>
      <c r="I173" s="100">
        <v>1899</v>
      </c>
      <c r="J173" s="100">
        <v>12</v>
      </c>
    </row>
    <row r="174" spans="2:10" x14ac:dyDescent="0.15">
      <c r="B174" s="119">
        <v>171</v>
      </c>
      <c r="C174" s="128"/>
      <c r="D174" s="94"/>
      <c r="E174" s="94" t="s">
        <v>64</v>
      </c>
      <c r="F174" s="94" t="s">
        <v>64</v>
      </c>
      <c r="G174" s="94"/>
      <c r="H174" s="94"/>
      <c r="I174" s="94">
        <v>1899</v>
      </c>
      <c r="J174" s="94">
        <v>12</v>
      </c>
    </row>
    <row r="175" spans="2:10" x14ac:dyDescent="0.15">
      <c r="B175" s="119">
        <v>172</v>
      </c>
      <c r="C175" s="129"/>
      <c r="D175" s="100"/>
      <c r="E175" s="100" t="s">
        <v>64</v>
      </c>
      <c r="F175" s="100" t="s">
        <v>64</v>
      </c>
      <c r="G175" s="100"/>
      <c r="H175" s="100"/>
      <c r="I175" s="100">
        <v>1899</v>
      </c>
      <c r="J175" s="100">
        <v>12</v>
      </c>
    </row>
    <row r="176" spans="2:10" x14ac:dyDescent="0.15">
      <c r="B176" s="119">
        <v>173</v>
      </c>
      <c r="C176" s="128"/>
      <c r="D176" s="94"/>
      <c r="E176" s="94" t="s">
        <v>64</v>
      </c>
      <c r="F176" s="94" t="s">
        <v>64</v>
      </c>
      <c r="G176" s="94"/>
      <c r="H176" s="94"/>
      <c r="I176" s="94">
        <v>1899</v>
      </c>
      <c r="J176" s="94">
        <v>12</v>
      </c>
    </row>
    <row r="177" spans="2:10" x14ac:dyDescent="0.15">
      <c r="B177" s="119">
        <v>174</v>
      </c>
      <c r="C177" s="129"/>
      <c r="D177" s="100"/>
      <c r="E177" s="100" t="s">
        <v>64</v>
      </c>
      <c r="F177" s="100" t="s">
        <v>64</v>
      </c>
      <c r="G177" s="100"/>
      <c r="H177" s="100"/>
      <c r="I177" s="100">
        <v>1899</v>
      </c>
      <c r="J177" s="100">
        <v>12</v>
      </c>
    </row>
    <row r="178" spans="2:10" x14ac:dyDescent="0.15">
      <c r="B178" s="119">
        <v>175</v>
      </c>
      <c r="C178" s="128"/>
      <c r="D178" s="94"/>
      <c r="E178" s="94" t="s">
        <v>64</v>
      </c>
      <c r="F178" s="94" t="s">
        <v>64</v>
      </c>
      <c r="G178" s="94"/>
      <c r="H178" s="94"/>
      <c r="I178" s="94">
        <v>1899</v>
      </c>
      <c r="J178" s="94">
        <v>12</v>
      </c>
    </row>
    <row r="179" spans="2:10" x14ac:dyDescent="0.15">
      <c r="B179" s="119">
        <v>176</v>
      </c>
      <c r="C179" s="129"/>
      <c r="D179" s="100"/>
      <c r="E179" s="100" t="s">
        <v>64</v>
      </c>
      <c r="F179" s="100" t="s">
        <v>64</v>
      </c>
      <c r="G179" s="100"/>
      <c r="H179" s="100"/>
      <c r="I179" s="100">
        <v>1899</v>
      </c>
      <c r="J179" s="100">
        <v>12</v>
      </c>
    </row>
    <row r="180" spans="2:10" x14ac:dyDescent="0.15">
      <c r="B180" s="119">
        <v>177</v>
      </c>
      <c r="C180" s="128"/>
      <c r="D180" s="94"/>
      <c r="E180" s="94" t="s">
        <v>64</v>
      </c>
      <c r="F180" s="94" t="s">
        <v>64</v>
      </c>
      <c r="G180" s="94"/>
      <c r="H180" s="94"/>
      <c r="I180" s="94">
        <v>1899</v>
      </c>
      <c r="J180" s="94">
        <v>12</v>
      </c>
    </row>
    <row r="181" spans="2:10" x14ac:dyDescent="0.15">
      <c r="B181" s="119">
        <v>178</v>
      </c>
      <c r="C181" s="129"/>
      <c r="D181" s="100"/>
      <c r="E181" s="100" t="s">
        <v>64</v>
      </c>
      <c r="F181" s="100" t="s">
        <v>64</v>
      </c>
      <c r="G181" s="100"/>
      <c r="H181" s="100"/>
      <c r="I181" s="100">
        <v>1899</v>
      </c>
      <c r="J181" s="100">
        <v>12</v>
      </c>
    </row>
    <row r="182" spans="2:10" x14ac:dyDescent="0.15">
      <c r="B182" s="119">
        <v>179</v>
      </c>
      <c r="C182" s="128"/>
      <c r="D182" s="94"/>
      <c r="E182" s="94" t="s">
        <v>64</v>
      </c>
      <c r="F182" s="94" t="s">
        <v>64</v>
      </c>
      <c r="G182" s="94"/>
      <c r="H182" s="94"/>
      <c r="I182" s="94">
        <v>1899</v>
      </c>
      <c r="J182" s="94">
        <v>12</v>
      </c>
    </row>
    <row r="183" spans="2:10" x14ac:dyDescent="0.15">
      <c r="B183" s="119">
        <v>180</v>
      </c>
      <c r="C183" s="129"/>
      <c r="D183" s="100"/>
      <c r="E183" s="100" t="s">
        <v>64</v>
      </c>
      <c r="F183" s="100" t="s">
        <v>64</v>
      </c>
      <c r="G183" s="100"/>
      <c r="H183" s="100"/>
      <c r="I183" s="100">
        <v>1899</v>
      </c>
      <c r="J183" s="100">
        <v>12</v>
      </c>
    </row>
    <row r="184" spans="2:10" x14ac:dyDescent="0.15">
      <c r="B184" s="119">
        <v>181</v>
      </c>
      <c r="C184" s="128"/>
      <c r="D184" s="94"/>
      <c r="E184" s="94" t="s">
        <v>64</v>
      </c>
      <c r="F184" s="94" t="s">
        <v>64</v>
      </c>
      <c r="G184" s="94"/>
      <c r="H184" s="94"/>
      <c r="I184" s="94">
        <v>1899</v>
      </c>
      <c r="J184" s="94">
        <v>12</v>
      </c>
    </row>
    <row r="185" spans="2:10" x14ac:dyDescent="0.15">
      <c r="B185" s="119">
        <v>182</v>
      </c>
      <c r="C185" s="129"/>
      <c r="D185" s="100"/>
      <c r="E185" s="100" t="s">
        <v>64</v>
      </c>
      <c r="F185" s="100" t="s">
        <v>64</v>
      </c>
      <c r="G185" s="100"/>
      <c r="H185" s="100"/>
      <c r="I185" s="100">
        <v>1899</v>
      </c>
      <c r="J185" s="100">
        <v>12</v>
      </c>
    </row>
    <row r="186" spans="2:10" x14ac:dyDescent="0.15">
      <c r="B186" s="119">
        <v>183</v>
      </c>
      <c r="C186" s="128"/>
      <c r="D186" s="94"/>
      <c r="E186" s="94" t="s">
        <v>64</v>
      </c>
      <c r="F186" s="94" t="s">
        <v>64</v>
      </c>
      <c r="G186" s="94"/>
      <c r="H186" s="94"/>
      <c r="I186" s="94">
        <v>1899</v>
      </c>
      <c r="J186" s="94">
        <v>12</v>
      </c>
    </row>
    <row r="187" spans="2:10" x14ac:dyDescent="0.15">
      <c r="B187" s="119">
        <v>184</v>
      </c>
      <c r="C187" s="129"/>
      <c r="D187" s="100"/>
      <c r="E187" s="100" t="s">
        <v>64</v>
      </c>
      <c r="F187" s="100" t="s">
        <v>64</v>
      </c>
      <c r="G187" s="100"/>
      <c r="H187" s="100"/>
      <c r="I187" s="100">
        <v>1899</v>
      </c>
      <c r="J187" s="100">
        <v>12</v>
      </c>
    </row>
    <row r="188" spans="2:10" x14ac:dyDescent="0.15">
      <c r="B188" s="119">
        <v>185</v>
      </c>
      <c r="C188" s="128"/>
      <c r="D188" s="94"/>
      <c r="E188" s="94" t="s">
        <v>64</v>
      </c>
      <c r="F188" s="94" t="s">
        <v>64</v>
      </c>
      <c r="G188" s="94"/>
      <c r="H188" s="94"/>
      <c r="I188" s="94">
        <v>1899</v>
      </c>
      <c r="J188" s="94">
        <v>12</v>
      </c>
    </row>
    <row r="189" spans="2:10" x14ac:dyDescent="0.15">
      <c r="B189" s="119">
        <v>186</v>
      </c>
      <c r="C189" s="129"/>
      <c r="D189" s="100"/>
      <c r="E189" s="100" t="s">
        <v>64</v>
      </c>
      <c r="F189" s="100" t="s">
        <v>64</v>
      </c>
      <c r="G189" s="100"/>
      <c r="H189" s="100"/>
      <c r="I189" s="100">
        <v>1899</v>
      </c>
      <c r="J189" s="100">
        <v>12</v>
      </c>
    </row>
    <row r="190" spans="2:10" x14ac:dyDescent="0.15">
      <c r="B190" s="119">
        <v>187</v>
      </c>
      <c r="C190" s="128"/>
      <c r="D190" s="94"/>
      <c r="E190" s="94" t="s">
        <v>64</v>
      </c>
      <c r="F190" s="94" t="s">
        <v>64</v>
      </c>
      <c r="G190" s="94"/>
      <c r="H190" s="94"/>
      <c r="I190" s="94">
        <v>1899</v>
      </c>
      <c r="J190" s="94">
        <v>12</v>
      </c>
    </row>
    <row r="191" spans="2:10" x14ac:dyDescent="0.15">
      <c r="B191" s="119">
        <v>188</v>
      </c>
      <c r="C191" s="129"/>
      <c r="D191" s="100"/>
      <c r="E191" s="100" t="s">
        <v>64</v>
      </c>
      <c r="F191" s="100" t="s">
        <v>64</v>
      </c>
      <c r="G191" s="100"/>
      <c r="H191" s="100"/>
      <c r="I191" s="100">
        <v>1899</v>
      </c>
      <c r="J191" s="100">
        <v>12</v>
      </c>
    </row>
    <row r="192" spans="2:10" x14ac:dyDescent="0.15">
      <c r="B192" s="119">
        <v>189</v>
      </c>
      <c r="C192" s="128"/>
      <c r="D192" s="94"/>
      <c r="E192" s="94" t="s">
        <v>64</v>
      </c>
      <c r="F192" s="94" t="s">
        <v>64</v>
      </c>
      <c r="G192" s="94"/>
      <c r="H192" s="94"/>
      <c r="I192" s="94">
        <v>1899</v>
      </c>
      <c r="J192" s="94">
        <v>12</v>
      </c>
    </row>
    <row r="193" spans="2:10" x14ac:dyDescent="0.15">
      <c r="B193" s="119">
        <v>190</v>
      </c>
      <c r="C193" s="129"/>
      <c r="D193" s="100"/>
      <c r="E193" s="100" t="s">
        <v>64</v>
      </c>
      <c r="F193" s="100" t="s">
        <v>64</v>
      </c>
      <c r="G193" s="100"/>
      <c r="H193" s="100"/>
      <c r="I193" s="100">
        <v>1899</v>
      </c>
      <c r="J193" s="100">
        <v>12</v>
      </c>
    </row>
    <row r="194" spans="2:10" x14ac:dyDescent="0.15">
      <c r="B194" s="119">
        <v>191</v>
      </c>
      <c r="C194" s="128"/>
      <c r="D194" s="94"/>
      <c r="E194" s="94" t="s">
        <v>64</v>
      </c>
      <c r="F194" s="94" t="s">
        <v>64</v>
      </c>
      <c r="G194" s="94"/>
      <c r="H194" s="94"/>
      <c r="I194" s="94">
        <v>1899</v>
      </c>
      <c r="J194" s="94">
        <v>12</v>
      </c>
    </row>
    <row r="195" spans="2:10" x14ac:dyDescent="0.15">
      <c r="B195" s="119">
        <v>192</v>
      </c>
      <c r="C195" s="129"/>
      <c r="D195" s="100"/>
      <c r="E195" s="100" t="s">
        <v>64</v>
      </c>
      <c r="F195" s="100" t="s">
        <v>64</v>
      </c>
      <c r="G195" s="100"/>
      <c r="H195" s="100"/>
      <c r="I195" s="100">
        <v>1899</v>
      </c>
      <c r="J195" s="100">
        <v>12</v>
      </c>
    </row>
    <row r="196" spans="2:10" x14ac:dyDescent="0.15">
      <c r="B196" s="119">
        <v>193</v>
      </c>
      <c r="C196" s="128"/>
      <c r="D196" s="94"/>
      <c r="E196" s="94" t="s">
        <v>64</v>
      </c>
      <c r="F196" s="94" t="s">
        <v>64</v>
      </c>
      <c r="G196" s="94"/>
      <c r="H196" s="94"/>
      <c r="I196" s="94">
        <v>1899</v>
      </c>
      <c r="J196" s="94">
        <v>12</v>
      </c>
    </row>
    <row r="197" spans="2:10" x14ac:dyDescent="0.15">
      <c r="B197" s="119">
        <v>194</v>
      </c>
      <c r="C197" s="129"/>
      <c r="D197" s="100"/>
      <c r="E197" s="100" t="s">
        <v>64</v>
      </c>
      <c r="F197" s="100" t="s">
        <v>64</v>
      </c>
      <c r="G197" s="100"/>
      <c r="H197" s="100"/>
      <c r="I197" s="100">
        <v>1899</v>
      </c>
      <c r="J197" s="100">
        <v>12</v>
      </c>
    </row>
    <row r="198" spans="2:10" x14ac:dyDescent="0.15">
      <c r="B198" s="119">
        <v>195</v>
      </c>
      <c r="C198" s="128"/>
      <c r="D198" s="94"/>
      <c r="E198" s="94" t="s">
        <v>64</v>
      </c>
      <c r="F198" s="94" t="s">
        <v>64</v>
      </c>
      <c r="G198" s="94"/>
      <c r="H198" s="94"/>
      <c r="I198" s="94">
        <v>1899</v>
      </c>
      <c r="J198" s="94">
        <v>12</v>
      </c>
    </row>
    <row r="199" spans="2:10" x14ac:dyDescent="0.15">
      <c r="B199" s="119">
        <v>196</v>
      </c>
      <c r="C199" s="129"/>
      <c r="D199" s="100"/>
      <c r="E199" s="100" t="s">
        <v>64</v>
      </c>
      <c r="F199" s="100" t="s">
        <v>64</v>
      </c>
      <c r="G199" s="100"/>
      <c r="H199" s="100"/>
      <c r="I199" s="100">
        <v>1899</v>
      </c>
      <c r="J199" s="100">
        <v>12</v>
      </c>
    </row>
    <row r="200" spans="2:10" x14ac:dyDescent="0.15">
      <c r="B200" s="119">
        <v>197</v>
      </c>
      <c r="C200" s="128"/>
      <c r="D200" s="94"/>
      <c r="E200" s="94" t="s">
        <v>64</v>
      </c>
      <c r="F200" s="94" t="s">
        <v>64</v>
      </c>
      <c r="G200" s="94"/>
      <c r="H200" s="94"/>
      <c r="I200" s="94">
        <v>1899</v>
      </c>
      <c r="J200" s="94">
        <v>12</v>
      </c>
    </row>
    <row r="201" spans="2:10" x14ac:dyDescent="0.15">
      <c r="B201" s="119">
        <v>198</v>
      </c>
      <c r="C201" s="129"/>
      <c r="D201" s="100"/>
      <c r="E201" s="100" t="s">
        <v>64</v>
      </c>
      <c r="F201" s="100" t="s">
        <v>64</v>
      </c>
      <c r="G201" s="100"/>
      <c r="H201" s="100"/>
      <c r="I201" s="100">
        <v>1899</v>
      </c>
      <c r="J201" s="100">
        <v>12</v>
      </c>
    </row>
    <row r="202" spans="2:10" x14ac:dyDescent="0.15">
      <c r="B202" s="119">
        <v>199</v>
      </c>
      <c r="C202" s="128"/>
      <c r="D202" s="94"/>
      <c r="E202" s="94" t="s">
        <v>64</v>
      </c>
      <c r="F202" s="94" t="s">
        <v>64</v>
      </c>
      <c r="G202" s="94"/>
      <c r="H202" s="94"/>
      <c r="I202" s="94">
        <v>1899</v>
      </c>
      <c r="J202" s="94">
        <v>12</v>
      </c>
    </row>
    <row r="203" spans="2:10" x14ac:dyDescent="0.15">
      <c r="B203" s="119">
        <v>200</v>
      </c>
      <c r="C203" s="129"/>
      <c r="D203" s="100"/>
      <c r="E203" s="100" t="s">
        <v>64</v>
      </c>
      <c r="F203" s="100" t="s">
        <v>64</v>
      </c>
      <c r="G203" s="100"/>
      <c r="H203" s="100"/>
      <c r="I203" s="100">
        <v>1899</v>
      </c>
      <c r="J203" s="100">
        <v>12</v>
      </c>
    </row>
    <row r="204" spans="2:10" x14ac:dyDescent="0.15">
      <c r="B204" s="119">
        <v>201</v>
      </c>
      <c r="C204" s="128"/>
      <c r="D204" s="94"/>
      <c r="E204" s="94" t="s">
        <v>64</v>
      </c>
      <c r="F204" s="94" t="s">
        <v>64</v>
      </c>
      <c r="G204" s="94"/>
      <c r="H204" s="94"/>
      <c r="I204" s="94">
        <v>1899</v>
      </c>
      <c r="J204" s="94">
        <v>12</v>
      </c>
    </row>
    <row r="205" spans="2:10" x14ac:dyDescent="0.15">
      <c r="B205" s="119">
        <v>202</v>
      </c>
      <c r="C205" s="129"/>
      <c r="D205" s="100"/>
      <c r="E205" s="100" t="s">
        <v>64</v>
      </c>
      <c r="F205" s="100" t="s">
        <v>64</v>
      </c>
      <c r="G205" s="100"/>
      <c r="H205" s="100"/>
      <c r="I205" s="100">
        <v>1899</v>
      </c>
      <c r="J205" s="100">
        <v>12</v>
      </c>
    </row>
    <row r="206" spans="2:10" x14ac:dyDescent="0.15">
      <c r="B206" s="119">
        <v>203</v>
      </c>
      <c r="C206" s="128"/>
      <c r="D206" s="94"/>
      <c r="E206" s="94" t="s">
        <v>64</v>
      </c>
      <c r="F206" s="94" t="s">
        <v>64</v>
      </c>
      <c r="G206" s="94"/>
      <c r="H206" s="94"/>
      <c r="I206" s="94">
        <v>1899</v>
      </c>
      <c r="J206" s="94">
        <v>12</v>
      </c>
    </row>
    <row r="207" spans="2:10" x14ac:dyDescent="0.15">
      <c r="B207" s="119">
        <v>204</v>
      </c>
      <c r="C207" s="129"/>
      <c r="D207" s="100"/>
      <c r="E207" s="100" t="s">
        <v>64</v>
      </c>
      <c r="F207" s="100" t="s">
        <v>64</v>
      </c>
      <c r="G207" s="100"/>
      <c r="H207" s="100"/>
      <c r="I207" s="100">
        <v>1899</v>
      </c>
      <c r="J207" s="100">
        <v>12</v>
      </c>
    </row>
    <row r="208" spans="2:10" x14ac:dyDescent="0.15">
      <c r="B208" s="119">
        <v>205</v>
      </c>
      <c r="C208" s="128"/>
      <c r="D208" s="94"/>
      <c r="E208" s="94" t="s">
        <v>64</v>
      </c>
      <c r="F208" s="94" t="s">
        <v>64</v>
      </c>
      <c r="G208" s="94"/>
      <c r="H208" s="94"/>
      <c r="I208" s="94">
        <v>1899</v>
      </c>
      <c r="J208" s="94">
        <v>12</v>
      </c>
    </row>
    <row r="209" spans="2:10" x14ac:dyDescent="0.15">
      <c r="B209" s="119">
        <v>206</v>
      </c>
      <c r="C209" s="129"/>
      <c r="D209" s="100"/>
      <c r="E209" s="100" t="s">
        <v>64</v>
      </c>
      <c r="F209" s="100" t="s">
        <v>64</v>
      </c>
      <c r="G209" s="100"/>
      <c r="H209" s="100"/>
      <c r="I209" s="100">
        <v>1899</v>
      </c>
      <c r="J209" s="100">
        <v>12</v>
      </c>
    </row>
    <row r="210" spans="2:10" x14ac:dyDescent="0.15">
      <c r="B210" s="119">
        <v>207</v>
      </c>
      <c r="C210" s="128"/>
      <c r="D210" s="94"/>
      <c r="E210" s="94" t="s">
        <v>64</v>
      </c>
      <c r="F210" s="94" t="s">
        <v>64</v>
      </c>
      <c r="G210" s="94"/>
      <c r="H210" s="94"/>
      <c r="I210" s="94">
        <v>1899</v>
      </c>
      <c r="J210" s="94">
        <v>12</v>
      </c>
    </row>
    <row r="211" spans="2:10" x14ac:dyDescent="0.15">
      <c r="B211" s="119">
        <v>208</v>
      </c>
      <c r="C211" s="129"/>
      <c r="D211" s="100"/>
      <c r="E211" s="100" t="s">
        <v>64</v>
      </c>
      <c r="F211" s="100" t="s">
        <v>64</v>
      </c>
      <c r="G211" s="100"/>
      <c r="H211" s="100"/>
      <c r="I211" s="100">
        <v>1899</v>
      </c>
      <c r="J211" s="100">
        <v>12</v>
      </c>
    </row>
    <row r="212" spans="2:10" x14ac:dyDescent="0.15">
      <c r="B212" s="119">
        <v>209</v>
      </c>
      <c r="C212" s="128"/>
      <c r="D212" s="94"/>
      <c r="E212" s="94" t="s">
        <v>64</v>
      </c>
      <c r="F212" s="94" t="s">
        <v>64</v>
      </c>
      <c r="G212" s="94"/>
      <c r="H212" s="94"/>
      <c r="I212" s="94">
        <v>1899</v>
      </c>
      <c r="J212" s="94">
        <v>12</v>
      </c>
    </row>
    <row r="213" spans="2:10" x14ac:dyDescent="0.15">
      <c r="B213" s="119">
        <v>210</v>
      </c>
      <c r="C213" s="129"/>
      <c r="D213" s="100"/>
      <c r="E213" s="100" t="s">
        <v>64</v>
      </c>
      <c r="F213" s="100" t="s">
        <v>64</v>
      </c>
      <c r="G213" s="100"/>
      <c r="H213" s="100"/>
      <c r="I213" s="100">
        <v>1899</v>
      </c>
      <c r="J213" s="100">
        <v>12</v>
      </c>
    </row>
    <row r="214" spans="2:10" x14ac:dyDescent="0.15">
      <c r="B214" s="119">
        <v>211</v>
      </c>
      <c r="C214" s="128"/>
      <c r="D214" s="94"/>
      <c r="E214" s="94" t="s">
        <v>64</v>
      </c>
      <c r="F214" s="94" t="s">
        <v>64</v>
      </c>
      <c r="G214" s="94"/>
      <c r="H214" s="94"/>
      <c r="I214" s="94">
        <v>1899</v>
      </c>
      <c r="J214" s="94">
        <v>12</v>
      </c>
    </row>
    <row r="215" spans="2:10" x14ac:dyDescent="0.15">
      <c r="B215" s="119">
        <v>212</v>
      </c>
      <c r="C215" s="129"/>
      <c r="D215" s="100"/>
      <c r="E215" s="100" t="s">
        <v>64</v>
      </c>
      <c r="F215" s="100" t="s">
        <v>64</v>
      </c>
      <c r="G215" s="100"/>
      <c r="H215" s="100"/>
      <c r="I215" s="100">
        <v>1899</v>
      </c>
      <c r="J215" s="100">
        <v>12</v>
      </c>
    </row>
    <row r="216" spans="2:10" x14ac:dyDescent="0.15">
      <c r="B216" s="119">
        <v>213</v>
      </c>
      <c r="C216" s="128"/>
      <c r="D216" s="94"/>
      <c r="E216" s="94" t="s">
        <v>64</v>
      </c>
      <c r="F216" s="94" t="s">
        <v>64</v>
      </c>
      <c r="G216" s="94"/>
      <c r="H216" s="94"/>
      <c r="I216" s="94">
        <v>1899</v>
      </c>
      <c r="J216" s="94">
        <v>12</v>
      </c>
    </row>
    <row r="217" spans="2:10" x14ac:dyDescent="0.15">
      <c r="B217" s="119">
        <v>214</v>
      </c>
      <c r="C217" s="129"/>
      <c r="D217" s="100"/>
      <c r="E217" s="100" t="s">
        <v>64</v>
      </c>
      <c r="F217" s="100" t="s">
        <v>64</v>
      </c>
      <c r="G217" s="100"/>
      <c r="H217" s="100"/>
      <c r="I217" s="100">
        <v>1899</v>
      </c>
      <c r="J217" s="100">
        <v>12</v>
      </c>
    </row>
    <row r="218" spans="2:10" x14ac:dyDescent="0.15">
      <c r="B218" s="119">
        <v>215</v>
      </c>
      <c r="C218" s="128"/>
      <c r="D218" s="94"/>
      <c r="E218" s="94" t="s">
        <v>64</v>
      </c>
      <c r="F218" s="94" t="s">
        <v>64</v>
      </c>
      <c r="G218" s="94"/>
      <c r="H218" s="94"/>
      <c r="I218" s="94">
        <v>1899</v>
      </c>
      <c r="J218" s="94">
        <v>12</v>
      </c>
    </row>
    <row r="219" spans="2:10" x14ac:dyDescent="0.15">
      <c r="B219" s="119">
        <v>216</v>
      </c>
      <c r="C219" s="129"/>
      <c r="D219" s="100"/>
      <c r="E219" s="100" t="s">
        <v>64</v>
      </c>
      <c r="F219" s="100" t="s">
        <v>64</v>
      </c>
      <c r="G219" s="100"/>
      <c r="H219" s="100"/>
      <c r="I219" s="100">
        <v>1899</v>
      </c>
      <c r="J219" s="100">
        <v>12</v>
      </c>
    </row>
    <row r="220" spans="2:10" x14ac:dyDescent="0.15">
      <c r="B220" s="119">
        <v>217</v>
      </c>
      <c r="C220" s="128"/>
      <c r="D220" s="94"/>
      <c r="E220" s="94" t="s">
        <v>64</v>
      </c>
      <c r="F220" s="94" t="s">
        <v>64</v>
      </c>
      <c r="G220" s="94"/>
      <c r="H220" s="94"/>
      <c r="I220" s="94">
        <v>1899</v>
      </c>
      <c r="J220" s="94">
        <v>12</v>
      </c>
    </row>
    <row r="221" spans="2:10" x14ac:dyDescent="0.15">
      <c r="B221" s="119">
        <v>218</v>
      </c>
      <c r="C221" s="129"/>
      <c r="D221" s="100"/>
      <c r="E221" s="100" t="s">
        <v>64</v>
      </c>
      <c r="F221" s="100" t="s">
        <v>64</v>
      </c>
      <c r="G221" s="100"/>
      <c r="H221" s="100"/>
      <c r="I221" s="100">
        <v>1899</v>
      </c>
      <c r="J221" s="100">
        <v>12</v>
      </c>
    </row>
    <row r="222" spans="2:10" x14ac:dyDescent="0.15">
      <c r="B222" s="119">
        <v>219</v>
      </c>
      <c r="C222" s="128"/>
      <c r="D222" s="94"/>
      <c r="E222" s="94" t="s">
        <v>64</v>
      </c>
      <c r="F222" s="94" t="s">
        <v>64</v>
      </c>
      <c r="G222" s="94"/>
      <c r="H222" s="94"/>
      <c r="I222" s="94">
        <v>1899</v>
      </c>
      <c r="J222" s="94">
        <v>12</v>
      </c>
    </row>
    <row r="223" spans="2:10" x14ac:dyDescent="0.15">
      <c r="B223" s="119">
        <v>220</v>
      </c>
      <c r="C223" s="129"/>
      <c r="D223" s="100"/>
      <c r="E223" s="100" t="s">
        <v>64</v>
      </c>
      <c r="F223" s="100" t="s">
        <v>64</v>
      </c>
      <c r="G223" s="100"/>
      <c r="H223" s="100"/>
      <c r="I223" s="100">
        <v>1899</v>
      </c>
      <c r="J223" s="100">
        <v>12</v>
      </c>
    </row>
    <row r="224" spans="2:10" x14ac:dyDescent="0.15">
      <c r="B224" s="119">
        <v>221</v>
      </c>
      <c r="C224" s="128"/>
      <c r="D224" s="94"/>
      <c r="E224" s="94" t="s">
        <v>64</v>
      </c>
      <c r="F224" s="94" t="s">
        <v>64</v>
      </c>
      <c r="G224" s="94"/>
      <c r="H224" s="94"/>
      <c r="I224" s="94">
        <v>1899</v>
      </c>
      <c r="J224" s="94">
        <v>12</v>
      </c>
    </row>
    <row r="225" spans="2:10" x14ac:dyDescent="0.15">
      <c r="B225" s="119">
        <v>222</v>
      </c>
      <c r="C225" s="129"/>
      <c r="D225" s="100"/>
      <c r="E225" s="100" t="s">
        <v>64</v>
      </c>
      <c r="F225" s="100" t="s">
        <v>64</v>
      </c>
      <c r="G225" s="100"/>
      <c r="H225" s="100"/>
      <c r="I225" s="100">
        <v>1899</v>
      </c>
      <c r="J225" s="100">
        <v>12</v>
      </c>
    </row>
    <row r="226" spans="2:10" x14ac:dyDescent="0.15">
      <c r="B226" s="119">
        <v>223</v>
      </c>
      <c r="C226" s="128"/>
      <c r="D226" s="94"/>
      <c r="E226" s="94" t="s">
        <v>64</v>
      </c>
      <c r="F226" s="94" t="s">
        <v>64</v>
      </c>
      <c r="G226" s="94"/>
      <c r="H226" s="94"/>
      <c r="I226" s="94">
        <v>1899</v>
      </c>
      <c r="J226" s="94">
        <v>12</v>
      </c>
    </row>
    <row r="227" spans="2:10" x14ac:dyDescent="0.15">
      <c r="B227" s="119">
        <v>224</v>
      </c>
      <c r="C227" s="129"/>
      <c r="D227" s="100"/>
      <c r="E227" s="100" t="s">
        <v>64</v>
      </c>
      <c r="F227" s="100" t="s">
        <v>64</v>
      </c>
      <c r="G227" s="100"/>
      <c r="H227" s="100"/>
      <c r="I227" s="100">
        <v>1899</v>
      </c>
      <c r="J227" s="100">
        <v>12</v>
      </c>
    </row>
    <row r="228" spans="2:10" x14ac:dyDescent="0.15">
      <c r="B228" s="119">
        <v>225</v>
      </c>
      <c r="C228" s="128"/>
      <c r="D228" s="94"/>
      <c r="E228" s="94" t="s">
        <v>64</v>
      </c>
      <c r="F228" s="94" t="s">
        <v>64</v>
      </c>
      <c r="G228" s="94"/>
      <c r="H228" s="94"/>
      <c r="I228" s="94">
        <v>1899</v>
      </c>
      <c r="J228" s="94">
        <v>12</v>
      </c>
    </row>
    <row r="229" spans="2:10" x14ac:dyDescent="0.15">
      <c r="B229" s="119">
        <v>226</v>
      </c>
      <c r="C229" s="129"/>
      <c r="D229" s="100"/>
      <c r="E229" s="100" t="s">
        <v>64</v>
      </c>
      <c r="F229" s="100" t="s">
        <v>64</v>
      </c>
      <c r="G229" s="100"/>
      <c r="H229" s="100"/>
      <c r="I229" s="100">
        <v>1899</v>
      </c>
      <c r="J229" s="100">
        <v>12</v>
      </c>
    </row>
    <row r="230" spans="2:10" x14ac:dyDescent="0.15">
      <c r="B230" s="119">
        <v>227</v>
      </c>
      <c r="C230" s="128"/>
      <c r="D230" s="94"/>
      <c r="E230" s="94" t="s">
        <v>64</v>
      </c>
      <c r="F230" s="94" t="s">
        <v>64</v>
      </c>
      <c r="G230" s="94"/>
      <c r="H230" s="94"/>
      <c r="I230" s="94">
        <v>1899</v>
      </c>
      <c r="J230" s="94">
        <v>12</v>
      </c>
    </row>
    <row r="231" spans="2:10" x14ac:dyDescent="0.15">
      <c r="B231" s="119">
        <v>228</v>
      </c>
      <c r="C231" s="129"/>
      <c r="D231" s="100"/>
      <c r="E231" s="100" t="s">
        <v>64</v>
      </c>
      <c r="F231" s="100" t="s">
        <v>64</v>
      </c>
      <c r="G231" s="100"/>
      <c r="H231" s="100"/>
      <c r="I231" s="100">
        <v>1899</v>
      </c>
      <c r="J231" s="100">
        <v>12</v>
      </c>
    </row>
    <row r="232" spans="2:10" x14ac:dyDescent="0.15">
      <c r="B232" s="119">
        <v>229</v>
      </c>
      <c r="C232" s="128"/>
      <c r="D232" s="94"/>
      <c r="E232" s="94" t="s">
        <v>64</v>
      </c>
      <c r="F232" s="94" t="s">
        <v>64</v>
      </c>
      <c r="G232" s="94"/>
      <c r="H232" s="94"/>
      <c r="I232" s="94">
        <v>1899</v>
      </c>
      <c r="J232" s="94">
        <v>12</v>
      </c>
    </row>
    <row r="233" spans="2:10" x14ac:dyDescent="0.15">
      <c r="B233" s="119">
        <v>230</v>
      </c>
      <c r="C233" s="129"/>
      <c r="D233" s="100"/>
      <c r="E233" s="100" t="s">
        <v>64</v>
      </c>
      <c r="F233" s="100" t="s">
        <v>64</v>
      </c>
      <c r="G233" s="100"/>
      <c r="H233" s="100"/>
      <c r="I233" s="100">
        <v>1899</v>
      </c>
      <c r="J233" s="100">
        <v>12</v>
      </c>
    </row>
    <row r="234" spans="2:10" x14ac:dyDescent="0.15">
      <c r="B234" s="119">
        <v>231</v>
      </c>
      <c r="C234" s="128"/>
      <c r="D234" s="94"/>
      <c r="E234" s="94" t="s">
        <v>64</v>
      </c>
      <c r="F234" s="94" t="s">
        <v>64</v>
      </c>
      <c r="G234" s="94"/>
      <c r="H234" s="94"/>
      <c r="I234" s="94">
        <v>1899</v>
      </c>
      <c r="J234" s="94">
        <v>12</v>
      </c>
    </row>
    <row r="235" spans="2:10" x14ac:dyDescent="0.15">
      <c r="B235" s="119">
        <v>232</v>
      </c>
      <c r="C235" s="129"/>
      <c r="D235" s="100"/>
      <c r="E235" s="100" t="s">
        <v>64</v>
      </c>
      <c r="F235" s="100" t="s">
        <v>64</v>
      </c>
      <c r="G235" s="100"/>
      <c r="H235" s="100"/>
      <c r="I235" s="100">
        <v>1899</v>
      </c>
      <c r="J235" s="100">
        <v>12</v>
      </c>
    </row>
    <row r="236" spans="2:10" x14ac:dyDescent="0.15">
      <c r="B236" s="119">
        <v>233</v>
      </c>
      <c r="C236" s="128"/>
      <c r="D236" s="94"/>
      <c r="E236" s="94" t="s">
        <v>64</v>
      </c>
      <c r="F236" s="94" t="s">
        <v>64</v>
      </c>
      <c r="G236" s="94"/>
      <c r="H236" s="94"/>
      <c r="I236" s="94">
        <v>1899</v>
      </c>
      <c r="J236" s="94">
        <v>12</v>
      </c>
    </row>
    <row r="237" spans="2:10" x14ac:dyDescent="0.15">
      <c r="B237" s="119">
        <v>234</v>
      </c>
      <c r="C237" s="129"/>
      <c r="D237" s="100"/>
      <c r="E237" s="100" t="s">
        <v>64</v>
      </c>
      <c r="F237" s="100" t="s">
        <v>64</v>
      </c>
      <c r="G237" s="100"/>
      <c r="H237" s="100"/>
      <c r="I237" s="100">
        <v>1899</v>
      </c>
      <c r="J237" s="100">
        <v>12</v>
      </c>
    </row>
    <row r="238" spans="2:10" x14ac:dyDescent="0.15">
      <c r="B238" s="119">
        <v>235</v>
      </c>
      <c r="C238" s="128"/>
      <c r="D238" s="94"/>
      <c r="E238" s="94" t="s">
        <v>64</v>
      </c>
      <c r="F238" s="94" t="s">
        <v>64</v>
      </c>
      <c r="G238" s="94"/>
      <c r="H238" s="94"/>
      <c r="I238" s="94">
        <v>1899</v>
      </c>
      <c r="J238" s="94">
        <v>12</v>
      </c>
    </row>
    <row r="239" spans="2:10" x14ac:dyDescent="0.15">
      <c r="B239" s="119">
        <v>236</v>
      </c>
      <c r="C239" s="129"/>
      <c r="D239" s="100"/>
      <c r="E239" s="100" t="s">
        <v>64</v>
      </c>
      <c r="F239" s="100" t="s">
        <v>64</v>
      </c>
      <c r="G239" s="100"/>
      <c r="H239" s="100"/>
      <c r="I239" s="100">
        <v>1899</v>
      </c>
      <c r="J239" s="100">
        <v>12</v>
      </c>
    </row>
    <row r="240" spans="2:10" x14ac:dyDescent="0.15">
      <c r="B240" s="119">
        <v>237</v>
      </c>
      <c r="C240" s="128"/>
      <c r="D240" s="94"/>
      <c r="E240" s="94" t="s">
        <v>64</v>
      </c>
      <c r="F240" s="94" t="s">
        <v>64</v>
      </c>
      <c r="G240" s="94"/>
      <c r="H240" s="94"/>
      <c r="I240" s="94">
        <v>1899</v>
      </c>
      <c r="J240" s="94">
        <v>12</v>
      </c>
    </row>
    <row r="241" spans="2:10" x14ac:dyDescent="0.15">
      <c r="B241" s="119">
        <v>238</v>
      </c>
      <c r="C241" s="129"/>
      <c r="D241" s="100"/>
      <c r="E241" s="100" t="s">
        <v>64</v>
      </c>
      <c r="F241" s="100" t="s">
        <v>64</v>
      </c>
      <c r="G241" s="100"/>
      <c r="H241" s="100"/>
      <c r="I241" s="100">
        <v>1899</v>
      </c>
      <c r="J241" s="100">
        <v>12</v>
      </c>
    </row>
    <row r="242" spans="2:10" x14ac:dyDescent="0.15">
      <c r="B242" s="119">
        <v>239</v>
      </c>
      <c r="C242" s="128"/>
      <c r="D242" s="94"/>
      <c r="E242" s="94" t="s">
        <v>64</v>
      </c>
      <c r="F242" s="94" t="s">
        <v>64</v>
      </c>
      <c r="G242" s="94"/>
      <c r="H242" s="94"/>
      <c r="I242" s="94">
        <v>1899</v>
      </c>
      <c r="J242" s="94">
        <v>12</v>
      </c>
    </row>
    <row r="243" spans="2:10" x14ac:dyDescent="0.15">
      <c r="B243" s="119">
        <v>240</v>
      </c>
      <c r="C243" s="129"/>
      <c r="D243" s="100"/>
      <c r="E243" s="100" t="s">
        <v>64</v>
      </c>
      <c r="F243" s="100" t="s">
        <v>64</v>
      </c>
      <c r="G243" s="100"/>
      <c r="H243" s="100"/>
      <c r="I243" s="100">
        <v>1899</v>
      </c>
      <c r="J243" s="100">
        <v>12</v>
      </c>
    </row>
    <row r="244" spans="2:10" x14ac:dyDescent="0.15">
      <c r="B244" s="119">
        <v>241</v>
      </c>
      <c r="C244" s="128"/>
      <c r="D244" s="94"/>
      <c r="E244" s="94" t="s">
        <v>64</v>
      </c>
      <c r="F244" s="94" t="s">
        <v>64</v>
      </c>
      <c r="G244" s="94"/>
      <c r="H244" s="94"/>
      <c r="I244" s="94">
        <v>1899</v>
      </c>
      <c r="J244" s="94">
        <v>12</v>
      </c>
    </row>
    <row r="245" spans="2:10" x14ac:dyDescent="0.15">
      <c r="B245" s="119">
        <v>242</v>
      </c>
      <c r="C245" s="129"/>
      <c r="D245" s="100"/>
      <c r="E245" s="100" t="s">
        <v>64</v>
      </c>
      <c r="F245" s="100" t="s">
        <v>64</v>
      </c>
      <c r="G245" s="100"/>
      <c r="H245" s="100"/>
      <c r="I245" s="100">
        <v>1899</v>
      </c>
      <c r="J245" s="100">
        <v>12</v>
      </c>
    </row>
    <row r="246" spans="2:10" x14ac:dyDescent="0.15">
      <c r="B246" s="119">
        <v>243</v>
      </c>
      <c r="C246" s="128"/>
      <c r="D246" s="94"/>
      <c r="E246" s="94" t="s">
        <v>64</v>
      </c>
      <c r="F246" s="94" t="s">
        <v>64</v>
      </c>
      <c r="G246" s="94"/>
      <c r="H246" s="94"/>
      <c r="I246" s="94">
        <v>1899</v>
      </c>
      <c r="J246" s="94">
        <v>12</v>
      </c>
    </row>
    <row r="247" spans="2:10" x14ac:dyDescent="0.15">
      <c r="B247" s="119">
        <v>244</v>
      </c>
      <c r="C247" s="129"/>
      <c r="D247" s="100"/>
      <c r="E247" s="100" t="s">
        <v>64</v>
      </c>
      <c r="F247" s="100" t="s">
        <v>64</v>
      </c>
      <c r="G247" s="100"/>
      <c r="H247" s="100"/>
      <c r="I247" s="100">
        <v>1899</v>
      </c>
      <c r="J247" s="100">
        <v>12</v>
      </c>
    </row>
    <row r="248" spans="2:10" x14ac:dyDescent="0.15">
      <c r="B248" s="119">
        <v>245</v>
      </c>
      <c r="C248" s="128"/>
      <c r="D248" s="94"/>
      <c r="E248" s="94" t="s">
        <v>64</v>
      </c>
      <c r="F248" s="94" t="s">
        <v>64</v>
      </c>
      <c r="G248" s="94"/>
      <c r="H248" s="94"/>
      <c r="I248" s="94">
        <v>1899</v>
      </c>
      <c r="J248" s="94">
        <v>12</v>
      </c>
    </row>
    <row r="249" spans="2:10" x14ac:dyDescent="0.15">
      <c r="B249" s="119">
        <v>246</v>
      </c>
      <c r="C249" s="129"/>
      <c r="D249" s="100"/>
      <c r="E249" s="100" t="s">
        <v>64</v>
      </c>
      <c r="F249" s="100" t="s">
        <v>64</v>
      </c>
      <c r="G249" s="100"/>
      <c r="H249" s="100"/>
      <c r="I249" s="100">
        <v>1899</v>
      </c>
      <c r="J249" s="100">
        <v>12</v>
      </c>
    </row>
    <row r="250" spans="2:10" x14ac:dyDescent="0.15">
      <c r="B250" s="119">
        <v>247</v>
      </c>
      <c r="C250" s="128"/>
      <c r="D250" s="94"/>
      <c r="E250" s="94" t="s">
        <v>64</v>
      </c>
      <c r="F250" s="94" t="s">
        <v>64</v>
      </c>
      <c r="G250" s="94"/>
      <c r="H250" s="94"/>
      <c r="I250" s="94">
        <v>1899</v>
      </c>
      <c r="J250" s="94">
        <v>12</v>
      </c>
    </row>
    <row r="251" spans="2:10" x14ac:dyDescent="0.15">
      <c r="B251" s="119">
        <v>248</v>
      </c>
      <c r="C251" s="129"/>
      <c r="D251" s="100"/>
      <c r="E251" s="100" t="s">
        <v>64</v>
      </c>
      <c r="F251" s="100" t="s">
        <v>64</v>
      </c>
      <c r="G251" s="100"/>
      <c r="H251" s="100"/>
      <c r="I251" s="100">
        <v>1899</v>
      </c>
      <c r="J251" s="100">
        <v>12</v>
      </c>
    </row>
    <row r="252" spans="2:10" x14ac:dyDescent="0.15">
      <c r="B252" s="119">
        <v>249</v>
      </c>
      <c r="C252" s="128"/>
      <c r="D252" s="94"/>
      <c r="E252" s="94" t="s">
        <v>64</v>
      </c>
      <c r="F252" s="94" t="s">
        <v>64</v>
      </c>
      <c r="G252" s="94"/>
      <c r="H252" s="94"/>
      <c r="I252" s="94">
        <v>1899</v>
      </c>
      <c r="J252" s="94">
        <v>12</v>
      </c>
    </row>
    <row r="253" spans="2:10" x14ac:dyDescent="0.15">
      <c r="B253" s="119">
        <v>250</v>
      </c>
      <c r="C253" s="129"/>
      <c r="D253" s="100"/>
      <c r="E253" s="100" t="s">
        <v>64</v>
      </c>
      <c r="F253" s="100" t="s">
        <v>64</v>
      </c>
      <c r="G253" s="100"/>
      <c r="H253" s="100"/>
      <c r="I253" s="100">
        <v>1899</v>
      </c>
      <c r="J253" s="100">
        <v>12</v>
      </c>
    </row>
    <row r="254" spans="2:10" x14ac:dyDescent="0.15">
      <c r="B254" s="119">
        <v>251</v>
      </c>
      <c r="C254" s="128"/>
      <c r="D254" s="94"/>
      <c r="E254" s="94" t="s">
        <v>64</v>
      </c>
      <c r="F254" s="94" t="s">
        <v>64</v>
      </c>
      <c r="G254" s="94"/>
      <c r="H254" s="94"/>
      <c r="I254" s="94">
        <v>1899</v>
      </c>
      <c r="J254" s="94">
        <v>12</v>
      </c>
    </row>
    <row r="255" spans="2:10" x14ac:dyDescent="0.15">
      <c r="B255" s="119">
        <v>252</v>
      </c>
      <c r="C255" s="129"/>
      <c r="D255" s="100"/>
      <c r="E255" s="100" t="s">
        <v>64</v>
      </c>
      <c r="F255" s="100" t="s">
        <v>64</v>
      </c>
      <c r="G255" s="100"/>
      <c r="H255" s="100"/>
      <c r="I255" s="100">
        <v>1899</v>
      </c>
      <c r="J255" s="100">
        <v>12</v>
      </c>
    </row>
    <row r="256" spans="2:10" x14ac:dyDescent="0.15">
      <c r="B256" s="119">
        <v>253</v>
      </c>
      <c r="C256" s="128"/>
      <c r="D256" s="94"/>
      <c r="E256" s="94" t="s">
        <v>64</v>
      </c>
      <c r="F256" s="94" t="s">
        <v>64</v>
      </c>
      <c r="G256" s="94"/>
      <c r="H256" s="94"/>
      <c r="I256" s="94">
        <v>1899</v>
      </c>
      <c r="J256" s="94">
        <v>12</v>
      </c>
    </row>
    <row r="257" spans="2:10" x14ac:dyDescent="0.15">
      <c r="B257" s="119">
        <v>254</v>
      </c>
      <c r="C257" s="129"/>
      <c r="D257" s="100"/>
      <c r="E257" s="100" t="s">
        <v>64</v>
      </c>
      <c r="F257" s="100" t="s">
        <v>64</v>
      </c>
      <c r="G257" s="100"/>
      <c r="H257" s="100"/>
      <c r="I257" s="100">
        <v>1899</v>
      </c>
      <c r="J257" s="100">
        <v>12</v>
      </c>
    </row>
    <row r="258" spans="2:10" x14ac:dyDescent="0.15">
      <c r="B258" s="119">
        <v>255</v>
      </c>
      <c r="C258" s="128"/>
      <c r="D258" s="94"/>
      <c r="E258" s="94" t="s">
        <v>64</v>
      </c>
      <c r="F258" s="94" t="s">
        <v>64</v>
      </c>
      <c r="G258" s="94"/>
      <c r="H258" s="94"/>
      <c r="I258" s="94">
        <v>1899</v>
      </c>
      <c r="J258" s="94">
        <v>12</v>
      </c>
    </row>
    <row r="259" spans="2:10" x14ac:dyDescent="0.15">
      <c r="B259" s="119">
        <v>256</v>
      </c>
      <c r="C259" s="129"/>
      <c r="D259" s="100"/>
      <c r="E259" s="100" t="s">
        <v>64</v>
      </c>
      <c r="F259" s="100" t="s">
        <v>64</v>
      </c>
      <c r="G259" s="100"/>
      <c r="H259" s="100"/>
      <c r="I259" s="100">
        <v>1899</v>
      </c>
      <c r="J259" s="100">
        <v>12</v>
      </c>
    </row>
    <row r="260" spans="2:10" x14ac:dyDescent="0.15">
      <c r="B260" s="119">
        <v>257</v>
      </c>
      <c r="C260" s="128"/>
      <c r="D260" s="94"/>
      <c r="E260" s="94" t="s">
        <v>64</v>
      </c>
      <c r="F260" s="94" t="s">
        <v>64</v>
      </c>
      <c r="G260" s="94"/>
      <c r="H260" s="94"/>
      <c r="I260" s="94">
        <v>1899</v>
      </c>
      <c r="J260" s="94">
        <v>12</v>
      </c>
    </row>
    <row r="261" spans="2:10" x14ac:dyDescent="0.15">
      <c r="B261" s="119">
        <v>258</v>
      </c>
      <c r="C261" s="129"/>
      <c r="D261" s="100"/>
      <c r="E261" s="100" t="s">
        <v>64</v>
      </c>
      <c r="F261" s="100" t="s">
        <v>64</v>
      </c>
      <c r="G261" s="100"/>
      <c r="H261" s="100"/>
      <c r="I261" s="100">
        <v>1899</v>
      </c>
      <c r="J261" s="100">
        <v>12</v>
      </c>
    </row>
    <row r="262" spans="2:10" x14ac:dyDescent="0.15">
      <c r="B262" s="119">
        <v>259</v>
      </c>
      <c r="C262" s="128"/>
      <c r="D262" s="94"/>
      <c r="E262" s="94" t="s">
        <v>64</v>
      </c>
      <c r="F262" s="94" t="s">
        <v>64</v>
      </c>
      <c r="G262" s="94"/>
      <c r="H262" s="94"/>
      <c r="I262" s="94">
        <v>1899</v>
      </c>
      <c r="J262" s="94">
        <v>12</v>
      </c>
    </row>
    <row r="263" spans="2:10" x14ac:dyDescent="0.15">
      <c r="B263" s="119">
        <v>260</v>
      </c>
      <c r="C263" s="129"/>
      <c r="D263" s="100"/>
      <c r="E263" s="100" t="s">
        <v>64</v>
      </c>
      <c r="F263" s="100" t="s">
        <v>64</v>
      </c>
      <c r="G263" s="100"/>
      <c r="H263" s="100"/>
      <c r="I263" s="100">
        <v>1899</v>
      </c>
      <c r="J263" s="100">
        <v>12</v>
      </c>
    </row>
    <row r="264" spans="2:10" x14ac:dyDescent="0.15">
      <c r="B264" s="119">
        <v>261</v>
      </c>
      <c r="C264" s="128"/>
      <c r="D264" s="94"/>
      <c r="E264" s="94" t="s">
        <v>64</v>
      </c>
      <c r="F264" s="94" t="s">
        <v>64</v>
      </c>
      <c r="G264" s="94"/>
      <c r="H264" s="94"/>
      <c r="I264" s="94">
        <v>1899</v>
      </c>
      <c r="J264" s="94">
        <v>12</v>
      </c>
    </row>
    <row r="265" spans="2:10" x14ac:dyDescent="0.15">
      <c r="B265" s="119">
        <v>262</v>
      </c>
      <c r="C265" s="129"/>
      <c r="D265" s="100"/>
      <c r="E265" s="100" t="s">
        <v>64</v>
      </c>
      <c r="F265" s="100" t="s">
        <v>64</v>
      </c>
      <c r="G265" s="100"/>
      <c r="H265" s="100"/>
      <c r="I265" s="100">
        <v>1899</v>
      </c>
      <c r="J265" s="100">
        <v>12</v>
      </c>
    </row>
    <row r="266" spans="2:10" x14ac:dyDescent="0.15">
      <c r="B266" s="119">
        <v>263</v>
      </c>
      <c r="C266" s="128"/>
      <c r="D266" s="94"/>
      <c r="E266" s="94" t="s">
        <v>64</v>
      </c>
      <c r="F266" s="94" t="s">
        <v>64</v>
      </c>
      <c r="G266" s="94"/>
      <c r="H266" s="94"/>
      <c r="I266" s="94">
        <v>1899</v>
      </c>
      <c r="J266" s="94">
        <v>12</v>
      </c>
    </row>
    <row r="267" spans="2:10" x14ac:dyDescent="0.15">
      <c r="B267" s="119">
        <v>264</v>
      </c>
      <c r="C267" s="129"/>
      <c r="D267" s="100"/>
      <c r="E267" s="100" t="s">
        <v>64</v>
      </c>
      <c r="F267" s="100" t="s">
        <v>64</v>
      </c>
      <c r="G267" s="100"/>
      <c r="H267" s="100"/>
      <c r="I267" s="100">
        <v>1899</v>
      </c>
      <c r="J267" s="100">
        <v>12</v>
      </c>
    </row>
    <row r="268" spans="2:10" x14ac:dyDescent="0.15">
      <c r="B268" s="119">
        <v>265</v>
      </c>
      <c r="C268" s="128"/>
      <c r="D268" s="94"/>
      <c r="E268" s="94" t="s">
        <v>64</v>
      </c>
      <c r="F268" s="94" t="s">
        <v>64</v>
      </c>
      <c r="G268" s="94"/>
      <c r="H268" s="94"/>
      <c r="I268" s="94">
        <v>1899</v>
      </c>
      <c r="J268" s="94">
        <v>12</v>
      </c>
    </row>
    <row r="269" spans="2:10" x14ac:dyDescent="0.15">
      <c r="B269" s="119">
        <v>266</v>
      </c>
      <c r="C269" s="129"/>
      <c r="D269" s="100"/>
      <c r="E269" s="100" t="s">
        <v>64</v>
      </c>
      <c r="F269" s="100" t="s">
        <v>64</v>
      </c>
      <c r="G269" s="100"/>
      <c r="H269" s="100"/>
      <c r="I269" s="100">
        <v>1899</v>
      </c>
      <c r="J269" s="100">
        <v>12</v>
      </c>
    </row>
    <row r="270" spans="2:10" x14ac:dyDescent="0.15">
      <c r="B270" s="119">
        <v>267</v>
      </c>
      <c r="C270" s="128"/>
      <c r="D270" s="94"/>
      <c r="E270" s="94" t="s">
        <v>64</v>
      </c>
      <c r="F270" s="94" t="s">
        <v>64</v>
      </c>
      <c r="G270" s="94"/>
      <c r="H270" s="94"/>
      <c r="I270" s="94">
        <v>1899</v>
      </c>
      <c r="J270" s="94">
        <v>12</v>
      </c>
    </row>
    <row r="271" spans="2:10" x14ac:dyDescent="0.15">
      <c r="B271" s="119">
        <v>268</v>
      </c>
      <c r="C271" s="129"/>
      <c r="D271" s="100"/>
      <c r="E271" s="100" t="s">
        <v>64</v>
      </c>
      <c r="F271" s="100" t="s">
        <v>64</v>
      </c>
      <c r="G271" s="100"/>
      <c r="H271" s="100"/>
      <c r="I271" s="100">
        <v>1899</v>
      </c>
      <c r="J271" s="100">
        <v>12</v>
      </c>
    </row>
    <row r="272" spans="2:10" x14ac:dyDescent="0.15">
      <c r="B272" s="119">
        <v>269</v>
      </c>
      <c r="C272" s="128"/>
      <c r="D272" s="94"/>
      <c r="E272" s="94" t="s">
        <v>64</v>
      </c>
      <c r="F272" s="94" t="s">
        <v>64</v>
      </c>
      <c r="G272" s="94"/>
      <c r="H272" s="94"/>
      <c r="I272" s="94">
        <v>1899</v>
      </c>
      <c r="J272" s="94">
        <v>12</v>
      </c>
    </row>
    <row r="273" spans="2:10" x14ac:dyDescent="0.15">
      <c r="B273" s="119">
        <v>270</v>
      </c>
      <c r="C273" s="129"/>
      <c r="D273" s="100"/>
      <c r="E273" s="100" t="s">
        <v>64</v>
      </c>
      <c r="F273" s="100" t="s">
        <v>64</v>
      </c>
      <c r="G273" s="100"/>
      <c r="H273" s="100"/>
      <c r="I273" s="100">
        <v>1899</v>
      </c>
      <c r="J273" s="100">
        <v>12</v>
      </c>
    </row>
    <row r="274" spans="2:10" x14ac:dyDescent="0.15">
      <c r="B274" s="119">
        <v>271</v>
      </c>
      <c r="C274" s="128"/>
      <c r="D274" s="94"/>
      <c r="E274" s="94" t="s">
        <v>64</v>
      </c>
      <c r="F274" s="94" t="s">
        <v>64</v>
      </c>
      <c r="G274" s="94"/>
      <c r="H274" s="94"/>
      <c r="I274" s="94">
        <v>1899</v>
      </c>
      <c r="J274" s="94">
        <v>12</v>
      </c>
    </row>
    <row r="275" spans="2:10" x14ac:dyDescent="0.15">
      <c r="B275" s="119">
        <v>272</v>
      </c>
      <c r="C275" s="129"/>
      <c r="D275" s="100"/>
      <c r="E275" s="100" t="s">
        <v>64</v>
      </c>
      <c r="F275" s="100" t="s">
        <v>64</v>
      </c>
      <c r="G275" s="100"/>
      <c r="H275" s="100"/>
      <c r="I275" s="100">
        <v>1899</v>
      </c>
      <c r="J275" s="100">
        <v>12</v>
      </c>
    </row>
    <row r="276" spans="2:10" x14ac:dyDescent="0.15">
      <c r="B276" s="119">
        <v>273</v>
      </c>
      <c r="C276" s="128"/>
      <c r="D276" s="94"/>
      <c r="E276" s="94" t="s">
        <v>64</v>
      </c>
      <c r="F276" s="94" t="s">
        <v>64</v>
      </c>
      <c r="G276" s="94"/>
      <c r="H276" s="94"/>
      <c r="I276" s="94">
        <v>1899</v>
      </c>
      <c r="J276" s="94">
        <v>12</v>
      </c>
    </row>
    <row r="277" spans="2:10" x14ac:dyDescent="0.15">
      <c r="B277" s="119">
        <v>274</v>
      </c>
      <c r="C277" s="129"/>
      <c r="D277" s="100"/>
      <c r="E277" s="100" t="s">
        <v>64</v>
      </c>
      <c r="F277" s="100" t="s">
        <v>64</v>
      </c>
      <c r="G277" s="100"/>
      <c r="H277" s="100"/>
      <c r="I277" s="100">
        <v>1899</v>
      </c>
      <c r="J277" s="100">
        <v>12</v>
      </c>
    </row>
    <row r="278" spans="2:10" x14ac:dyDescent="0.15">
      <c r="B278" s="119">
        <v>275</v>
      </c>
      <c r="C278" s="128"/>
      <c r="D278" s="94"/>
      <c r="E278" s="94" t="s">
        <v>64</v>
      </c>
      <c r="F278" s="94" t="s">
        <v>64</v>
      </c>
      <c r="G278" s="94"/>
      <c r="H278" s="94"/>
      <c r="I278" s="94">
        <v>1899</v>
      </c>
      <c r="J278" s="94">
        <v>12</v>
      </c>
    </row>
    <row r="279" spans="2:10" x14ac:dyDescent="0.15">
      <c r="B279" s="119">
        <v>276</v>
      </c>
      <c r="C279" s="129"/>
      <c r="D279" s="100"/>
      <c r="E279" s="100" t="s">
        <v>64</v>
      </c>
      <c r="F279" s="100" t="s">
        <v>64</v>
      </c>
      <c r="G279" s="100"/>
      <c r="H279" s="100"/>
      <c r="I279" s="100">
        <v>1899</v>
      </c>
      <c r="J279" s="100">
        <v>12</v>
      </c>
    </row>
    <row r="280" spans="2:10" x14ac:dyDescent="0.15">
      <c r="B280" s="119">
        <v>277</v>
      </c>
      <c r="C280" s="128"/>
      <c r="D280" s="94"/>
      <c r="E280" s="94" t="s">
        <v>64</v>
      </c>
      <c r="F280" s="94" t="s">
        <v>64</v>
      </c>
      <c r="G280" s="94"/>
      <c r="H280" s="94"/>
      <c r="I280" s="94">
        <v>1899</v>
      </c>
      <c r="J280" s="94">
        <v>12</v>
      </c>
    </row>
    <row r="281" spans="2:10" x14ac:dyDescent="0.15">
      <c r="B281" s="119">
        <v>278</v>
      </c>
      <c r="C281" s="129"/>
      <c r="D281" s="100"/>
      <c r="E281" s="100" t="s">
        <v>64</v>
      </c>
      <c r="F281" s="100" t="s">
        <v>64</v>
      </c>
      <c r="G281" s="100"/>
      <c r="H281" s="100"/>
      <c r="I281" s="100">
        <v>1899</v>
      </c>
      <c r="J281" s="100">
        <v>12</v>
      </c>
    </row>
    <row r="282" spans="2:10" x14ac:dyDescent="0.15">
      <c r="B282" s="119">
        <v>279</v>
      </c>
      <c r="C282" s="128"/>
      <c r="D282" s="94"/>
      <c r="E282" s="94" t="s">
        <v>64</v>
      </c>
      <c r="F282" s="94" t="s">
        <v>64</v>
      </c>
      <c r="G282" s="94"/>
      <c r="H282" s="94"/>
      <c r="I282" s="94">
        <v>1899</v>
      </c>
      <c r="J282" s="94">
        <v>12</v>
      </c>
    </row>
    <row r="283" spans="2:10" x14ac:dyDescent="0.15">
      <c r="B283" s="119">
        <v>280</v>
      </c>
      <c r="C283" s="129"/>
      <c r="D283" s="100"/>
      <c r="E283" s="100" t="s">
        <v>64</v>
      </c>
      <c r="F283" s="100" t="s">
        <v>64</v>
      </c>
      <c r="G283" s="100"/>
      <c r="H283" s="100"/>
      <c r="I283" s="100">
        <v>1899</v>
      </c>
      <c r="J283" s="100">
        <v>12</v>
      </c>
    </row>
    <row r="284" spans="2:10" x14ac:dyDescent="0.15">
      <c r="B284" s="119">
        <v>281</v>
      </c>
      <c r="C284" s="128"/>
      <c r="D284" s="94"/>
      <c r="E284" s="94" t="s">
        <v>64</v>
      </c>
      <c r="F284" s="94" t="s">
        <v>64</v>
      </c>
      <c r="G284" s="94"/>
      <c r="H284" s="94"/>
      <c r="I284" s="94">
        <v>1899</v>
      </c>
      <c r="J284" s="94">
        <v>12</v>
      </c>
    </row>
    <row r="285" spans="2:10" x14ac:dyDescent="0.15">
      <c r="B285" s="119">
        <v>282</v>
      </c>
      <c r="C285" s="129"/>
      <c r="D285" s="100"/>
      <c r="E285" s="100" t="s">
        <v>64</v>
      </c>
      <c r="F285" s="100" t="s">
        <v>64</v>
      </c>
      <c r="G285" s="100"/>
      <c r="H285" s="100"/>
      <c r="I285" s="100">
        <v>1899</v>
      </c>
      <c r="J285" s="100">
        <v>12</v>
      </c>
    </row>
    <row r="286" spans="2:10" x14ac:dyDescent="0.15">
      <c r="B286" s="119">
        <v>283</v>
      </c>
      <c r="C286" s="128"/>
      <c r="D286" s="94"/>
      <c r="E286" s="94" t="s">
        <v>64</v>
      </c>
      <c r="F286" s="94" t="s">
        <v>64</v>
      </c>
      <c r="G286" s="94"/>
      <c r="H286" s="94"/>
      <c r="I286" s="94">
        <v>1899</v>
      </c>
      <c r="J286" s="94">
        <v>12</v>
      </c>
    </row>
    <row r="287" spans="2:10" x14ac:dyDescent="0.15">
      <c r="B287" s="119">
        <v>284</v>
      </c>
      <c r="C287" s="129"/>
      <c r="D287" s="100"/>
      <c r="E287" s="100" t="s">
        <v>64</v>
      </c>
      <c r="F287" s="100" t="s">
        <v>64</v>
      </c>
      <c r="G287" s="100"/>
      <c r="H287" s="100"/>
      <c r="I287" s="100">
        <v>1899</v>
      </c>
      <c r="J287" s="100">
        <v>12</v>
      </c>
    </row>
    <row r="288" spans="2:10" x14ac:dyDescent="0.15">
      <c r="B288" s="119">
        <v>285</v>
      </c>
      <c r="C288" s="128"/>
      <c r="D288" s="94"/>
      <c r="E288" s="94" t="s">
        <v>64</v>
      </c>
      <c r="F288" s="94" t="s">
        <v>64</v>
      </c>
      <c r="G288" s="94"/>
      <c r="H288" s="94"/>
      <c r="I288" s="94">
        <v>1899</v>
      </c>
      <c r="J288" s="94">
        <v>12</v>
      </c>
    </row>
    <row r="289" spans="2:10" x14ac:dyDescent="0.15">
      <c r="B289" s="119">
        <v>286</v>
      </c>
      <c r="C289" s="129"/>
      <c r="D289" s="100"/>
      <c r="E289" s="100" t="s">
        <v>64</v>
      </c>
      <c r="F289" s="100" t="s">
        <v>64</v>
      </c>
      <c r="G289" s="100"/>
      <c r="H289" s="100"/>
      <c r="I289" s="100">
        <v>1899</v>
      </c>
      <c r="J289" s="100">
        <v>12</v>
      </c>
    </row>
    <row r="290" spans="2:10" x14ac:dyDescent="0.15">
      <c r="B290" s="119">
        <v>287</v>
      </c>
      <c r="C290" s="128"/>
      <c r="D290" s="94"/>
      <c r="E290" s="94" t="s">
        <v>64</v>
      </c>
      <c r="F290" s="94" t="s">
        <v>64</v>
      </c>
      <c r="G290" s="94"/>
      <c r="H290" s="94"/>
      <c r="I290" s="94">
        <v>1899</v>
      </c>
      <c r="J290" s="94">
        <v>12</v>
      </c>
    </row>
    <row r="291" spans="2:10" x14ac:dyDescent="0.15">
      <c r="B291" s="119">
        <v>288</v>
      </c>
      <c r="C291" s="129"/>
      <c r="D291" s="100"/>
      <c r="E291" s="100" t="s">
        <v>64</v>
      </c>
      <c r="F291" s="100" t="s">
        <v>64</v>
      </c>
      <c r="G291" s="100"/>
      <c r="H291" s="100"/>
      <c r="I291" s="100">
        <v>1899</v>
      </c>
      <c r="J291" s="100">
        <v>12</v>
      </c>
    </row>
    <row r="292" spans="2:10" x14ac:dyDescent="0.15">
      <c r="B292" s="119">
        <v>289</v>
      </c>
      <c r="C292" s="128"/>
      <c r="D292" s="94"/>
      <c r="E292" s="94" t="s">
        <v>64</v>
      </c>
      <c r="F292" s="94" t="s">
        <v>64</v>
      </c>
      <c r="G292" s="94"/>
      <c r="H292" s="94"/>
      <c r="I292" s="94">
        <v>1899</v>
      </c>
      <c r="J292" s="94">
        <v>12</v>
      </c>
    </row>
    <row r="293" spans="2:10" x14ac:dyDescent="0.15">
      <c r="B293" s="119">
        <v>290</v>
      </c>
      <c r="C293" s="129"/>
      <c r="D293" s="100"/>
      <c r="E293" s="100" t="s">
        <v>64</v>
      </c>
      <c r="F293" s="100" t="s">
        <v>64</v>
      </c>
      <c r="G293" s="100"/>
      <c r="H293" s="100"/>
      <c r="I293" s="100">
        <v>1899</v>
      </c>
      <c r="J293" s="100">
        <v>12</v>
      </c>
    </row>
    <row r="294" spans="2:10" x14ac:dyDescent="0.15">
      <c r="B294" s="119">
        <v>291</v>
      </c>
      <c r="C294" s="128"/>
      <c r="D294" s="94"/>
      <c r="E294" s="94" t="s">
        <v>64</v>
      </c>
      <c r="F294" s="94" t="s">
        <v>64</v>
      </c>
      <c r="G294" s="94"/>
      <c r="H294" s="94"/>
      <c r="I294" s="94">
        <v>1899</v>
      </c>
      <c r="J294" s="94">
        <v>12</v>
      </c>
    </row>
    <row r="295" spans="2:10" x14ac:dyDescent="0.15">
      <c r="B295" s="119">
        <v>292</v>
      </c>
      <c r="C295" s="129"/>
      <c r="D295" s="100"/>
      <c r="E295" s="100" t="s">
        <v>64</v>
      </c>
      <c r="F295" s="100" t="s">
        <v>64</v>
      </c>
      <c r="G295" s="100"/>
      <c r="H295" s="100"/>
      <c r="I295" s="100">
        <v>1899</v>
      </c>
      <c r="J295" s="100">
        <v>12</v>
      </c>
    </row>
    <row r="296" spans="2:10" x14ac:dyDescent="0.15">
      <c r="B296" s="119">
        <v>293</v>
      </c>
      <c r="C296" s="128"/>
      <c r="D296" s="94"/>
      <c r="E296" s="94" t="s">
        <v>64</v>
      </c>
      <c r="F296" s="94" t="s">
        <v>64</v>
      </c>
      <c r="G296" s="94"/>
      <c r="H296" s="94"/>
      <c r="I296" s="94">
        <v>1899</v>
      </c>
      <c r="J296" s="94">
        <v>12</v>
      </c>
    </row>
    <row r="297" spans="2:10" x14ac:dyDescent="0.15">
      <c r="B297" s="119">
        <v>294</v>
      </c>
      <c r="C297" s="129"/>
      <c r="D297" s="100"/>
      <c r="E297" s="100" t="s">
        <v>64</v>
      </c>
      <c r="F297" s="100" t="s">
        <v>64</v>
      </c>
      <c r="G297" s="100"/>
      <c r="H297" s="100"/>
      <c r="I297" s="100">
        <v>1899</v>
      </c>
      <c r="J297" s="100">
        <v>12</v>
      </c>
    </row>
    <row r="298" spans="2:10" x14ac:dyDescent="0.15">
      <c r="B298" s="119">
        <v>295</v>
      </c>
      <c r="C298" s="128"/>
      <c r="D298" s="94"/>
      <c r="E298" s="94" t="s">
        <v>64</v>
      </c>
      <c r="F298" s="94" t="s">
        <v>64</v>
      </c>
      <c r="G298" s="94"/>
      <c r="H298" s="94"/>
      <c r="I298" s="94">
        <v>1899</v>
      </c>
      <c r="J298" s="94">
        <v>12</v>
      </c>
    </row>
    <row r="299" spans="2:10" x14ac:dyDescent="0.15">
      <c r="B299" s="119">
        <v>296</v>
      </c>
      <c r="C299" s="129"/>
      <c r="D299" s="100"/>
      <c r="E299" s="100" t="s">
        <v>64</v>
      </c>
      <c r="F299" s="100" t="s">
        <v>64</v>
      </c>
      <c r="G299" s="100"/>
      <c r="H299" s="100"/>
      <c r="I299" s="100">
        <v>1899</v>
      </c>
      <c r="J299" s="100">
        <v>12</v>
      </c>
    </row>
    <row r="300" spans="2:10" x14ac:dyDescent="0.15">
      <c r="B300" s="119">
        <v>297</v>
      </c>
      <c r="C300" s="128"/>
      <c r="D300" s="94"/>
      <c r="E300" s="94" t="s">
        <v>64</v>
      </c>
      <c r="F300" s="94" t="s">
        <v>64</v>
      </c>
      <c r="G300" s="94"/>
      <c r="H300" s="94"/>
      <c r="I300" s="94">
        <v>1899</v>
      </c>
      <c r="J300" s="94">
        <v>12</v>
      </c>
    </row>
    <row r="301" spans="2:10" x14ac:dyDescent="0.15">
      <c r="B301" s="119">
        <v>298</v>
      </c>
      <c r="C301" s="129"/>
      <c r="D301" s="100"/>
      <c r="E301" s="100" t="s">
        <v>64</v>
      </c>
      <c r="F301" s="100" t="s">
        <v>64</v>
      </c>
      <c r="G301" s="100"/>
      <c r="H301" s="100"/>
      <c r="I301" s="100">
        <v>1899</v>
      </c>
      <c r="J301" s="100">
        <v>12</v>
      </c>
    </row>
    <row r="302" spans="2:10" x14ac:dyDescent="0.15">
      <c r="B302" s="119">
        <v>299</v>
      </c>
      <c r="C302" s="128"/>
      <c r="D302" s="94"/>
      <c r="E302" s="94" t="s">
        <v>64</v>
      </c>
      <c r="F302" s="94" t="s">
        <v>64</v>
      </c>
      <c r="G302" s="94"/>
      <c r="H302" s="94"/>
      <c r="I302" s="94">
        <v>1899</v>
      </c>
      <c r="J302" s="94">
        <v>12</v>
      </c>
    </row>
    <row r="303" spans="2:10" x14ac:dyDescent="0.15">
      <c r="B303" s="119">
        <v>300</v>
      </c>
      <c r="C303" s="129"/>
      <c r="D303" s="100"/>
      <c r="E303" s="100" t="s">
        <v>64</v>
      </c>
      <c r="F303" s="100" t="s">
        <v>64</v>
      </c>
      <c r="G303" s="100"/>
      <c r="H303" s="100"/>
      <c r="I303" s="100">
        <v>1899</v>
      </c>
      <c r="J303" s="100">
        <v>12</v>
      </c>
    </row>
    <row r="304" spans="2:10" x14ac:dyDescent="0.15">
      <c r="B304" s="119">
        <v>301</v>
      </c>
      <c r="C304" s="128"/>
      <c r="D304" s="94"/>
      <c r="E304" s="94" t="s">
        <v>64</v>
      </c>
      <c r="F304" s="94" t="s">
        <v>64</v>
      </c>
      <c r="G304" s="94"/>
      <c r="H304" s="94"/>
      <c r="I304" s="94">
        <v>1899</v>
      </c>
      <c r="J304" s="94">
        <v>12</v>
      </c>
    </row>
    <row r="305" spans="2:10" x14ac:dyDescent="0.15">
      <c r="B305" s="119">
        <v>302</v>
      </c>
      <c r="C305" s="129"/>
      <c r="D305" s="100"/>
      <c r="E305" s="100" t="s">
        <v>64</v>
      </c>
      <c r="F305" s="100" t="s">
        <v>64</v>
      </c>
      <c r="G305" s="100"/>
      <c r="H305" s="100"/>
      <c r="I305" s="100">
        <v>1899</v>
      </c>
      <c r="J305" s="100">
        <v>12</v>
      </c>
    </row>
    <row r="306" spans="2:10" x14ac:dyDescent="0.15">
      <c r="B306" s="119">
        <v>303</v>
      </c>
      <c r="C306" s="128"/>
      <c r="D306" s="94"/>
      <c r="E306" s="94" t="s">
        <v>64</v>
      </c>
      <c r="F306" s="94" t="s">
        <v>64</v>
      </c>
      <c r="G306" s="94"/>
      <c r="H306" s="94"/>
      <c r="I306" s="94">
        <v>1899</v>
      </c>
      <c r="J306" s="94">
        <v>12</v>
      </c>
    </row>
    <row r="307" spans="2:10" x14ac:dyDescent="0.15">
      <c r="B307" s="119">
        <v>304</v>
      </c>
      <c r="C307" s="129"/>
      <c r="D307" s="100"/>
      <c r="E307" s="100" t="s">
        <v>64</v>
      </c>
      <c r="F307" s="100" t="s">
        <v>64</v>
      </c>
      <c r="G307" s="100"/>
      <c r="H307" s="100"/>
      <c r="I307" s="100">
        <v>1899</v>
      </c>
      <c r="J307" s="100">
        <v>12</v>
      </c>
    </row>
    <row r="308" spans="2:10" x14ac:dyDescent="0.15">
      <c r="B308" s="119">
        <v>305</v>
      </c>
      <c r="C308" s="128"/>
      <c r="D308" s="94"/>
      <c r="E308" s="94" t="s">
        <v>64</v>
      </c>
      <c r="F308" s="94" t="s">
        <v>64</v>
      </c>
      <c r="G308" s="94"/>
      <c r="H308" s="94"/>
      <c r="I308" s="94">
        <v>1899</v>
      </c>
      <c r="J308" s="94">
        <v>12</v>
      </c>
    </row>
    <row r="309" spans="2:10" x14ac:dyDescent="0.15">
      <c r="B309" s="119">
        <v>306</v>
      </c>
      <c r="C309" s="129"/>
      <c r="D309" s="100"/>
      <c r="E309" s="100" t="s">
        <v>64</v>
      </c>
      <c r="F309" s="100" t="s">
        <v>64</v>
      </c>
      <c r="G309" s="100"/>
      <c r="H309" s="100"/>
      <c r="I309" s="100">
        <v>1899</v>
      </c>
      <c r="J309" s="100">
        <v>12</v>
      </c>
    </row>
    <row r="310" spans="2:10" x14ac:dyDescent="0.15">
      <c r="B310" s="119">
        <v>307</v>
      </c>
      <c r="C310" s="128"/>
      <c r="D310" s="94"/>
      <c r="E310" s="94" t="s">
        <v>64</v>
      </c>
      <c r="F310" s="94" t="s">
        <v>64</v>
      </c>
      <c r="G310" s="94"/>
      <c r="H310" s="94"/>
      <c r="I310" s="94">
        <v>1899</v>
      </c>
      <c r="J310" s="94">
        <v>12</v>
      </c>
    </row>
    <row r="311" spans="2:10" x14ac:dyDescent="0.15">
      <c r="B311" s="119">
        <v>308</v>
      </c>
      <c r="C311" s="129"/>
      <c r="D311" s="100"/>
      <c r="E311" s="100" t="s">
        <v>64</v>
      </c>
      <c r="F311" s="100" t="s">
        <v>64</v>
      </c>
      <c r="G311" s="100"/>
      <c r="H311" s="100"/>
      <c r="I311" s="100">
        <v>1899</v>
      </c>
      <c r="J311" s="100">
        <v>12</v>
      </c>
    </row>
    <row r="312" spans="2:10" x14ac:dyDescent="0.15">
      <c r="B312" s="119">
        <v>309</v>
      </c>
      <c r="C312" s="128"/>
      <c r="D312" s="94"/>
      <c r="E312" s="94" t="s">
        <v>64</v>
      </c>
      <c r="F312" s="94" t="s">
        <v>64</v>
      </c>
      <c r="G312" s="94"/>
      <c r="H312" s="94"/>
      <c r="I312" s="94">
        <v>1899</v>
      </c>
      <c r="J312" s="94">
        <v>12</v>
      </c>
    </row>
    <row r="313" spans="2:10" x14ac:dyDescent="0.15">
      <c r="B313" s="119">
        <v>310</v>
      </c>
      <c r="C313" s="129"/>
      <c r="D313" s="100"/>
      <c r="E313" s="100" t="s">
        <v>64</v>
      </c>
      <c r="F313" s="100" t="s">
        <v>64</v>
      </c>
      <c r="G313" s="100"/>
      <c r="H313" s="100"/>
      <c r="I313" s="100">
        <v>1899</v>
      </c>
      <c r="J313" s="100">
        <v>12</v>
      </c>
    </row>
    <row r="314" spans="2:10" x14ac:dyDescent="0.15">
      <c r="B314" s="119">
        <v>311</v>
      </c>
      <c r="C314" s="128"/>
      <c r="D314" s="94"/>
      <c r="E314" s="94" t="s">
        <v>64</v>
      </c>
      <c r="F314" s="94" t="s">
        <v>64</v>
      </c>
      <c r="G314" s="94"/>
      <c r="H314" s="94"/>
      <c r="I314" s="94">
        <v>1899</v>
      </c>
      <c r="J314" s="94">
        <v>12</v>
      </c>
    </row>
    <row r="315" spans="2:10" x14ac:dyDescent="0.15">
      <c r="B315" s="119">
        <v>312</v>
      </c>
      <c r="C315" s="129"/>
      <c r="D315" s="100"/>
      <c r="E315" s="100" t="s">
        <v>64</v>
      </c>
      <c r="F315" s="100" t="s">
        <v>64</v>
      </c>
      <c r="G315" s="100"/>
      <c r="H315" s="100"/>
      <c r="I315" s="100">
        <v>1899</v>
      </c>
      <c r="J315" s="100">
        <v>12</v>
      </c>
    </row>
    <row r="316" spans="2:10" x14ac:dyDescent="0.15">
      <c r="B316" s="119">
        <v>313</v>
      </c>
      <c r="C316" s="128"/>
      <c r="D316" s="94"/>
      <c r="E316" s="94" t="s">
        <v>64</v>
      </c>
      <c r="F316" s="94" t="s">
        <v>64</v>
      </c>
      <c r="G316" s="94"/>
      <c r="H316" s="94"/>
      <c r="I316" s="94">
        <v>1899</v>
      </c>
      <c r="J316" s="94">
        <v>12</v>
      </c>
    </row>
    <row r="317" spans="2:10" x14ac:dyDescent="0.15">
      <c r="B317" s="119">
        <v>314</v>
      </c>
      <c r="C317" s="129"/>
      <c r="D317" s="100"/>
      <c r="E317" s="100" t="s">
        <v>64</v>
      </c>
      <c r="F317" s="100" t="s">
        <v>64</v>
      </c>
      <c r="G317" s="100"/>
      <c r="H317" s="100"/>
      <c r="I317" s="100">
        <v>1899</v>
      </c>
      <c r="J317" s="100">
        <v>12</v>
      </c>
    </row>
    <row r="318" spans="2:10" x14ac:dyDescent="0.15">
      <c r="B318" s="119">
        <v>315</v>
      </c>
      <c r="C318" s="128"/>
      <c r="D318" s="94"/>
      <c r="E318" s="94" t="s">
        <v>64</v>
      </c>
      <c r="F318" s="94" t="s">
        <v>64</v>
      </c>
      <c r="G318" s="94"/>
      <c r="H318" s="94"/>
      <c r="I318" s="94">
        <v>1899</v>
      </c>
      <c r="J318" s="94">
        <v>12</v>
      </c>
    </row>
    <row r="319" spans="2:10" x14ac:dyDescent="0.15">
      <c r="B319" s="119">
        <v>316</v>
      </c>
      <c r="C319" s="129"/>
      <c r="D319" s="100"/>
      <c r="E319" s="100" t="s">
        <v>64</v>
      </c>
      <c r="F319" s="100" t="s">
        <v>64</v>
      </c>
      <c r="G319" s="100"/>
      <c r="H319" s="100"/>
      <c r="I319" s="100">
        <v>1899</v>
      </c>
      <c r="J319" s="100">
        <v>12</v>
      </c>
    </row>
    <row r="320" spans="2:10" x14ac:dyDescent="0.15">
      <c r="B320" s="119">
        <v>317</v>
      </c>
      <c r="C320" s="128"/>
      <c r="D320" s="94"/>
      <c r="E320" s="94" t="s">
        <v>64</v>
      </c>
      <c r="F320" s="94" t="s">
        <v>64</v>
      </c>
      <c r="G320" s="94"/>
      <c r="H320" s="94"/>
      <c r="I320" s="94">
        <v>1899</v>
      </c>
      <c r="J320" s="94">
        <v>12</v>
      </c>
    </row>
    <row r="321" spans="2:10" x14ac:dyDescent="0.15">
      <c r="B321" s="119">
        <v>318</v>
      </c>
      <c r="C321" s="129"/>
      <c r="D321" s="100"/>
      <c r="E321" s="100" t="s">
        <v>64</v>
      </c>
      <c r="F321" s="100" t="s">
        <v>64</v>
      </c>
      <c r="G321" s="100"/>
      <c r="H321" s="100"/>
      <c r="I321" s="100">
        <v>1899</v>
      </c>
      <c r="J321" s="100">
        <v>12</v>
      </c>
    </row>
    <row r="322" spans="2:10" x14ac:dyDescent="0.15">
      <c r="B322" s="119">
        <v>319</v>
      </c>
      <c r="C322" s="128"/>
      <c r="D322" s="94"/>
      <c r="E322" s="94" t="s">
        <v>64</v>
      </c>
      <c r="F322" s="94" t="s">
        <v>64</v>
      </c>
      <c r="G322" s="94"/>
      <c r="H322" s="94"/>
      <c r="I322" s="94">
        <v>1899</v>
      </c>
      <c r="J322" s="94">
        <v>12</v>
      </c>
    </row>
    <row r="323" spans="2:10" x14ac:dyDescent="0.15">
      <c r="B323" s="119">
        <v>320</v>
      </c>
      <c r="C323" s="129"/>
      <c r="D323" s="100"/>
      <c r="E323" s="100" t="s">
        <v>64</v>
      </c>
      <c r="F323" s="100" t="s">
        <v>64</v>
      </c>
      <c r="G323" s="100"/>
      <c r="H323" s="100"/>
      <c r="I323" s="100">
        <v>1899</v>
      </c>
      <c r="J323" s="100">
        <v>12</v>
      </c>
    </row>
    <row r="324" spans="2:10" x14ac:dyDescent="0.15">
      <c r="B324" s="119">
        <v>321</v>
      </c>
      <c r="C324" s="128"/>
      <c r="D324" s="94"/>
      <c r="E324" s="94" t="s">
        <v>64</v>
      </c>
      <c r="F324" s="94" t="s">
        <v>64</v>
      </c>
      <c r="G324" s="94"/>
      <c r="H324" s="94"/>
      <c r="I324" s="94">
        <v>1899</v>
      </c>
      <c r="J324" s="94">
        <v>12</v>
      </c>
    </row>
    <row r="325" spans="2:10" x14ac:dyDescent="0.15">
      <c r="B325" s="119">
        <v>322</v>
      </c>
      <c r="C325" s="129"/>
      <c r="D325" s="100"/>
      <c r="E325" s="100" t="s">
        <v>64</v>
      </c>
      <c r="F325" s="100" t="s">
        <v>64</v>
      </c>
      <c r="G325" s="100"/>
      <c r="H325" s="100"/>
      <c r="I325" s="100">
        <v>1899</v>
      </c>
      <c r="J325" s="100">
        <v>12</v>
      </c>
    </row>
    <row r="326" spans="2:10" x14ac:dyDescent="0.15">
      <c r="B326" s="119">
        <v>323</v>
      </c>
      <c r="C326" s="128"/>
      <c r="D326" s="94"/>
      <c r="E326" s="94" t="s">
        <v>64</v>
      </c>
      <c r="F326" s="94" t="s">
        <v>64</v>
      </c>
      <c r="G326" s="94"/>
      <c r="H326" s="94"/>
      <c r="I326" s="94">
        <v>1899</v>
      </c>
      <c r="J326" s="94">
        <v>12</v>
      </c>
    </row>
    <row r="327" spans="2:10" x14ac:dyDescent="0.15">
      <c r="B327" s="119">
        <v>324</v>
      </c>
      <c r="C327" s="129"/>
      <c r="D327" s="100"/>
      <c r="E327" s="100" t="s">
        <v>64</v>
      </c>
      <c r="F327" s="100" t="s">
        <v>64</v>
      </c>
      <c r="G327" s="100"/>
      <c r="H327" s="100"/>
      <c r="I327" s="100">
        <v>1899</v>
      </c>
      <c r="J327" s="100">
        <v>12</v>
      </c>
    </row>
    <row r="328" spans="2:10" x14ac:dyDescent="0.15">
      <c r="B328" s="119">
        <v>325</v>
      </c>
      <c r="C328" s="128"/>
      <c r="D328" s="94"/>
      <c r="E328" s="94" t="s">
        <v>64</v>
      </c>
      <c r="F328" s="94" t="s">
        <v>64</v>
      </c>
      <c r="G328" s="94"/>
      <c r="H328" s="94"/>
      <c r="I328" s="94">
        <v>1899</v>
      </c>
      <c r="J328" s="94">
        <v>12</v>
      </c>
    </row>
    <row r="329" spans="2:10" x14ac:dyDescent="0.15">
      <c r="B329" s="119">
        <v>326</v>
      </c>
      <c r="C329" s="129"/>
      <c r="D329" s="100"/>
      <c r="E329" s="100" t="s">
        <v>64</v>
      </c>
      <c r="F329" s="100" t="s">
        <v>64</v>
      </c>
      <c r="G329" s="100"/>
      <c r="H329" s="100"/>
      <c r="I329" s="100">
        <v>1899</v>
      </c>
      <c r="J329" s="100">
        <v>12</v>
      </c>
    </row>
    <row r="330" spans="2:10" x14ac:dyDescent="0.15">
      <c r="B330" s="119">
        <v>327</v>
      </c>
      <c r="C330" s="128"/>
      <c r="D330" s="94"/>
      <c r="E330" s="94" t="s">
        <v>64</v>
      </c>
      <c r="F330" s="94" t="s">
        <v>64</v>
      </c>
      <c r="G330" s="94"/>
      <c r="H330" s="94"/>
      <c r="I330" s="94">
        <v>1899</v>
      </c>
      <c r="J330" s="94">
        <v>12</v>
      </c>
    </row>
    <row r="331" spans="2:10" x14ac:dyDescent="0.15">
      <c r="B331" s="119">
        <v>328</v>
      </c>
      <c r="C331" s="129"/>
      <c r="D331" s="100"/>
      <c r="E331" s="100" t="s">
        <v>64</v>
      </c>
      <c r="F331" s="100" t="s">
        <v>64</v>
      </c>
      <c r="G331" s="100"/>
      <c r="H331" s="100"/>
      <c r="I331" s="100">
        <v>1899</v>
      </c>
      <c r="J331" s="100">
        <v>12</v>
      </c>
    </row>
    <row r="332" spans="2:10" x14ac:dyDescent="0.15">
      <c r="B332" s="119">
        <v>329</v>
      </c>
      <c r="C332" s="128"/>
      <c r="D332" s="94"/>
      <c r="E332" s="94" t="s">
        <v>64</v>
      </c>
      <c r="F332" s="94" t="s">
        <v>64</v>
      </c>
      <c r="G332" s="94"/>
      <c r="H332" s="94"/>
      <c r="I332" s="94">
        <v>1899</v>
      </c>
      <c r="J332" s="94">
        <v>12</v>
      </c>
    </row>
    <row r="333" spans="2:10" x14ac:dyDescent="0.15">
      <c r="B333" s="119">
        <v>330</v>
      </c>
      <c r="C333" s="129"/>
      <c r="D333" s="100"/>
      <c r="E333" s="100" t="s">
        <v>64</v>
      </c>
      <c r="F333" s="100" t="s">
        <v>64</v>
      </c>
      <c r="G333" s="100"/>
      <c r="H333" s="100"/>
      <c r="I333" s="100">
        <v>1899</v>
      </c>
      <c r="J333" s="100">
        <v>12</v>
      </c>
    </row>
    <row r="334" spans="2:10" x14ac:dyDescent="0.15">
      <c r="B334" s="119">
        <v>331</v>
      </c>
      <c r="C334" s="128"/>
      <c r="D334" s="94"/>
      <c r="E334" s="94" t="s">
        <v>64</v>
      </c>
      <c r="F334" s="94" t="s">
        <v>64</v>
      </c>
      <c r="G334" s="94"/>
      <c r="H334" s="94"/>
      <c r="I334" s="94">
        <v>1899</v>
      </c>
      <c r="J334" s="94">
        <v>12</v>
      </c>
    </row>
    <row r="335" spans="2:10" x14ac:dyDescent="0.15">
      <c r="B335" s="119">
        <v>332</v>
      </c>
      <c r="C335" s="129"/>
      <c r="D335" s="100"/>
      <c r="E335" s="100" t="s">
        <v>64</v>
      </c>
      <c r="F335" s="100" t="s">
        <v>64</v>
      </c>
      <c r="G335" s="100"/>
      <c r="H335" s="100"/>
      <c r="I335" s="100">
        <v>1899</v>
      </c>
      <c r="J335" s="100">
        <v>12</v>
      </c>
    </row>
    <row r="336" spans="2:10" x14ac:dyDescent="0.15">
      <c r="B336" s="119">
        <v>333</v>
      </c>
      <c r="C336" s="128"/>
      <c r="D336" s="94"/>
      <c r="E336" s="94" t="s">
        <v>64</v>
      </c>
      <c r="F336" s="94" t="s">
        <v>64</v>
      </c>
      <c r="G336" s="94"/>
      <c r="H336" s="94"/>
      <c r="I336" s="94">
        <v>1899</v>
      </c>
      <c r="J336" s="94">
        <v>12</v>
      </c>
    </row>
    <row r="337" spans="2:10" x14ac:dyDescent="0.15">
      <c r="B337" s="119">
        <v>334</v>
      </c>
      <c r="C337" s="129"/>
      <c r="D337" s="100"/>
      <c r="E337" s="100" t="s">
        <v>64</v>
      </c>
      <c r="F337" s="100" t="s">
        <v>64</v>
      </c>
      <c r="G337" s="100"/>
      <c r="H337" s="100"/>
      <c r="I337" s="100">
        <v>1899</v>
      </c>
      <c r="J337" s="100">
        <v>12</v>
      </c>
    </row>
    <row r="338" spans="2:10" x14ac:dyDescent="0.15">
      <c r="B338" s="119">
        <v>335</v>
      </c>
      <c r="C338" s="128"/>
      <c r="D338" s="94"/>
      <c r="E338" s="94" t="s">
        <v>64</v>
      </c>
      <c r="F338" s="94" t="s">
        <v>64</v>
      </c>
      <c r="G338" s="94"/>
      <c r="H338" s="94"/>
      <c r="I338" s="94">
        <v>1899</v>
      </c>
      <c r="J338" s="94">
        <v>12</v>
      </c>
    </row>
    <row r="339" spans="2:10" x14ac:dyDescent="0.15">
      <c r="B339" s="119">
        <v>336</v>
      </c>
      <c r="C339" s="129"/>
      <c r="D339" s="100"/>
      <c r="E339" s="100" t="s">
        <v>64</v>
      </c>
      <c r="F339" s="100" t="s">
        <v>64</v>
      </c>
      <c r="G339" s="100"/>
      <c r="H339" s="100"/>
      <c r="I339" s="100">
        <v>1899</v>
      </c>
      <c r="J339" s="100">
        <v>12</v>
      </c>
    </row>
    <row r="340" spans="2:10" x14ac:dyDescent="0.15">
      <c r="B340" s="119">
        <v>337</v>
      </c>
      <c r="C340" s="128"/>
      <c r="D340" s="94"/>
      <c r="E340" s="94" t="s">
        <v>64</v>
      </c>
      <c r="F340" s="94" t="s">
        <v>64</v>
      </c>
      <c r="G340" s="94"/>
      <c r="H340" s="94"/>
      <c r="I340" s="94">
        <v>1899</v>
      </c>
      <c r="J340" s="94">
        <v>12</v>
      </c>
    </row>
    <row r="341" spans="2:10" x14ac:dyDescent="0.15">
      <c r="B341" s="119">
        <v>338</v>
      </c>
      <c r="C341" s="129"/>
      <c r="D341" s="100"/>
      <c r="E341" s="100" t="s">
        <v>64</v>
      </c>
      <c r="F341" s="100" t="s">
        <v>64</v>
      </c>
      <c r="G341" s="100"/>
      <c r="H341" s="100"/>
      <c r="I341" s="100">
        <v>1899</v>
      </c>
      <c r="J341" s="100">
        <v>12</v>
      </c>
    </row>
    <row r="342" spans="2:10" x14ac:dyDescent="0.15">
      <c r="B342" s="119">
        <v>339</v>
      </c>
      <c r="C342" s="128"/>
      <c r="D342" s="94"/>
      <c r="E342" s="94" t="s">
        <v>64</v>
      </c>
      <c r="F342" s="94" t="s">
        <v>64</v>
      </c>
      <c r="G342" s="94"/>
      <c r="H342" s="94"/>
      <c r="I342" s="94">
        <v>1899</v>
      </c>
      <c r="J342" s="94">
        <v>12</v>
      </c>
    </row>
    <row r="343" spans="2:10" x14ac:dyDescent="0.15">
      <c r="B343" s="119">
        <v>340</v>
      </c>
      <c r="C343" s="129"/>
      <c r="D343" s="100"/>
      <c r="E343" s="100" t="s">
        <v>64</v>
      </c>
      <c r="F343" s="100" t="s">
        <v>64</v>
      </c>
      <c r="G343" s="100"/>
      <c r="H343" s="100"/>
      <c r="I343" s="100">
        <v>1899</v>
      </c>
      <c r="J343" s="100">
        <v>12</v>
      </c>
    </row>
    <row r="344" spans="2:10" x14ac:dyDescent="0.15">
      <c r="B344" s="119">
        <v>341</v>
      </c>
      <c r="C344" s="128"/>
      <c r="D344" s="94"/>
      <c r="E344" s="94" t="s">
        <v>64</v>
      </c>
      <c r="F344" s="94" t="s">
        <v>64</v>
      </c>
      <c r="G344" s="94"/>
      <c r="H344" s="94"/>
      <c r="I344" s="94">
        <v>1899</v>
      </c>
      <c r="J344" s="94">
        <v>12</v>
      </c>
    </row>
    <row r="345" spans="2:10" x14ac:dyDescent="0.15">
      <c r="B345" s="119">
        <v>342</v>
      </c>
      <c r="C345" s="129"/>
      <c r="D345" s="100"/>
      <c r="E345" s="100" t="s">
        <v>64</v>
      </c>
      <c r="F345" s="100" t="s">
        <v>64</v>
      </c>
      <c r="G345" s="100"/>
      <c r="H345" s="100"/>
      <c r="I345" s="100">
        <v>1899</v>
      </c>
      <c r="J345" s="100">
        <v>12</v>
      </c>
    </row>
    <row r="346" spans="2:10" x14ac:dyDescent="0.15">
      <c r="B346" s="119">
        <v>343</v>
      </c>
      <c r="C346" s="128"/>
      <c r="D346" s="94"/>
      <c r="E346" s="94" t="s">
        <v>64</v>
      </c>
      <c r="F346" s="94" t="s">
        <v>64</v>
      </c>
      <c r="G346" s="94"/>
      <c r="H346" s="94"/>
      <c r="I346" s="94">
        <v>1899</v>
      </c>
      <c r="J346" s="94">
        <v>12</v>
      </c>
    </row>
    <row r="347" spans="2:10" x14ac:dyDescent="0.15">
      <c r="B347" s="119">
        <v>344</v>
      </c>
      <c r="C347" s="129"/>
      <c r="D347" s="100"/>
      <c r="E347" s="100" t="s">
        <v>64</v>
      </c>
      <c r="F347" s="100" t="s">
        <v>64</v>
      </c>
      <c r="G347" s="100"/>
      <c r="H347" s="100"/>
      <c r="I347" s="100">
        <v>1899</v>
      </c>
      <c r="J347" s="100">
        <v>12</v>
      </c>
    </row>
    <row r="348" spans="2:10" x14ac:dyDescent="0.15">
      <c r="B348" s="119">
        <v>345</v>
      </c>
      <c r="C348" s="128"/>
      <c r="D348" s="94"/>
      <c r="E348" s="94" t="s">
        <v>64</v>
      </c>
      <c r="F348" s="94" t="s">
        <v>64</v>
      </c>
      <c r="G348" s="94"/>
      <c r="H348" s="94"/>
      <c r="I348" s="94">
        <v>1899</v>
      </c>
      <c r="J348" s="94">
        <v>12</v>
      </c>
    </row>
    <row r="349" spans="2:10" x14ac:dyDescent="0.15">
      <c r="B349" s="119">
        <v>346</v>
      </c>
      <c r="C349" s="129"/>
      <c r="D349" s="100"/>
      <c r="E349" s="100" t="s">
        <v>64</v>
      </c>
      <c r="F349" s="100" t="s">
        <v>64</v>
      </c>
      <c r="G349" s="100"/>
      <c r="H349" s="100"/>
      <c r="I349" s="100">
        <v>1899</v>
      </c>
      <c r="J349" s="100">
        <v>12</v>
      </c>
    </row>
    <row r="350" spans="2:10" x14ac:dyDescent="0.15">
      <c r="B350" s="119">
        <v>347</v>
      </c>
      <c r="C350" s="128"/>
      <c r="D350" s="94"/>
      <c r="E350" s="94" t="s">
        <v>64</v>
      </c>
      <c r="F350" s="94" t="s">
        <v>64</v>
      </c>
      <c r="G350" s="94"/>
      <c r="H350" s="94"/>
      <c r="I350" s="94">
        <v>1899</v>
      </c>
      <c r="J350" s="94">
        <v>12</v>
      </c>
    </row>
    <row r="351" spans="2:10" x14ac:dyDescent="0.15">
      <c r="B351" s="119">
        <v>348</v>
      </c>
      <c r="C351" s="129"/>
      <c r="D351" s="100"/>
      <c r="E351" s="100" t="s">
        <v>64</v>
      </c>
      <c r="F351" s="100" t="s">
        <v>64</v>
      </c>
      <c r="G351" s="100"/>
      <c r="H351" s="100"/>
      <c r="I351" s="100">
        <v>1899</v>
      </c>
      <c r="J351" s="100">
        <v>12</v>
      </c>
    </row>
    <row r="352" spans="2:10" x14ac:dyDescent="0.15">
      <c r="B352" s="119">
        <v>349</v>
      </c>
      <c r="C352" s="128"/>
      <c r="D352" s="94"/>
      <c r="E352" s="94" t="s">
        <v>64</v>
      </c>
      <c r="F352" s="94" t="s">
        <v>64</v>
      </c>
      <c r="G352" s="94"/>
      <c r="H352" s="94"/>
      <c r="I352" s="94">
        <v>1899</v>
      </c>
      <c r="J352" s="94">
        <v>12</v>
      </c>
    </row>
    <row r="353" spans="2:10" x14ac:dyDescent="0.15">
      <c r="B353" s="119">
        <v>350</v>
      </c>
      <c r="C353" s="129"/>
      <c r="D353" s="100"/>
      <c r="E353" s="100" t="s">
        <v>64</v>
      </c>
      <c r="F353" s="100" t="s">
        <v>64</v>
      </c>
      <c r="G353" s="100"/>
      <c r="H353" s="100"/>
      <c r="I353" s="100">
        <v>1899</v>
      </c>
      <c r="J353" s="100">
        <v>12</v>
      </c>
    </row>
    <row r="354" spans="2:10" x14ac:dyDescent="0.15">
      <c r="B354" s="119">
        <v>351</v>
      </c>
      <c r="C354" s="128"/>
      <c r="D354" s="94"/>
      <c r="E354" s="94" t="s">
        <v>64</v>
      </c>
      <c r="F354" s="94" t="s">
        <v>64</v>
      </c>
      <c r="G354" s="94"/>
      <c r="H354" s="94"/>
      <c r="I354" s="94">
        <v>1899</v>
      </c>
      <c r="J354" s="94">
        <v>12</v>
      </c>
    </row>
    <row r="355" spans="2:10" x14ac:dyDescent="0.15">
      <c r="B355" s="119">
        <v>352</v>
      </c>
      <c r="C355" s="129"/>
      <c r="D355" s="100"/>
      <c r="E355" s="100" t="s">
        <v>64</v>
      </c>
      <c r="F355" s="100" t="s">
        <v>64</v>
      </c>
      <c r="G355" s="100"/>
      <c r="H355" s="100"/>
      <c r="I355" s="100">
        <v>1899</v>
      </c>
      <c r="J355" s="100">
        <v>12</v>
      </c>
    </row>
    <row r="356" spans="2:10" x14ac:dyDescent="0.15">
      <c r="B356" s="119">
        <v>353</v>
      </c>
      <c r="C356" s="128"/>
      <c r="D356" s="94"/>
      <c r="E356" s="94" t="s">
        <v>64</v>
      </c>
      <c r="F356" s="94" t="s">
        <v>64</v>
      </c>
      <c r="G356" s="94"/>
      <c r="H356" s="94"/>
      <c r="I356" s="94">
        <v>1899</v>
      </c>
      <c r="J356" s="94">
        <v>12</v>
      </c>
    </row>
    <row r="357" spans="2:10" x14ac:dyDescent="0.15">
      <c r="B357" s="119">
        <v>354</v>
      </c>
      <c r="C357" s="129"/>
      <c r="D357" s="100"/>
      <c r="E357" s="100" t="s">
        <v>64</v>
      </c>
      <c r="F357" s="100" t="s">
        <v>64</v>
      </c>
      <c r="G357" s="100"/>
      <c r="H357" s="100"/>
      <c r="I357" s="100">
        <v>1899</v>
      </c>
      <c r="J357" s="100">
        <v>12</v>
      </c>
    </row>
    <row r="358" spans="2:10" x14ac:dyDescent="0.15">
      <c r="B358" s="119">
        <v>355</v>
      </c>
      <c r="C358" s="128"/>
      <c r="D358" s="94"/>
      <c r="E358" s="94" t="s">
        <v>64</v>
      </c>
      <c r="F358" s="94" t="s">
        <v>64</v>
      </c>
      <c r="G358" s="94"/>
      <c r="H358" s="94"/>
      <c r="I358" s="94">
        <v>1899</v>
      </c>
      <c r="J358" s="94">
        <v>12</v>
      </c>
    </row>
    <row r="359" spans="2:10" x14ac:dyDescent="0.15">
      <c r="B359" s="119">
        <v>356</v>
      </c>
      <c r="C359" s="129"/>
      <c r="D359" s="100"/>
      <c r="E359" s="100" t="s">
        <v>64</v>
      </c>
      <c r="F359" s="100" t="s">
        <v>64</v>
      </c>
      <c r="G359" s="100"/>
      <c r="H359" s="100"/>
      <c r="I359" s="100">
        <v>1899</v>
      </c>
      <c r="J359" s="100">
        <v>12</v>
      </c>
    </row>
    <row r="360" spans="2:10" x14ac:dyDescent="0.15">
      <c r="B360" s="119">
        <v>357</v>
      </c>
      <c r="C360" s="128"/>
      <c r="D360" s="94"/>
      <c r="E360" s="94" t="s">
        <v>64</v>
      </c>
      <c r="F360" s="94" t="s">
        <v>64</v>
      </c>
      <c r="G360" s="94"/>
      <c r="H360" s="94"/>
      <c r="I360" s="94">
        <v>1899</v>
      </c>
      <c r="J360" s="94">
        <v>12</v>
      </c>
    </row>
    <row r="361" spans="2:10" x14ac:dyDescent="0.15">
      <c r="B361" s="119">
        <v>358</v>
      </c>
      <c r="C361" s="129"/>
      <c r="D361" s="100"/>
      <c r="E361" s="100" t="s">
        <v>64</v>
      </c>
      <c r="F361" s="100" t="s">
        <v>64</v>
      </c>
      <c r="G361" s="100"/>
      <c r="H361" s="100"/>
      <c r="I361" s="100">
        <v>1899</v>
      </c>
      <c r="J361" s="100">
        <v>12</v>
      </c>
    </row>
    <row r="362" spans="2:10" x14ac:dyDescent="0.15">
      <c r="B362" s="119">
        <v>359</v>
      </c>
      <c r="C362" s="128"/>
      <c r="D362" s="94"/>
      <c r="E362" s="94" t="s">
        <v>64</v>
      </c>
      <c r="F362" s="94" t="s">
        <v>64</v>
      </c>
      <c r="G362" s="94"/>
      <c r="H362" s="94"/>
      <c r="I362" s="94">
        <v>1899</v>
      </c>
      <c r="J362" s="94">
        <v>12</v>
      </c>
    </row>
    <row r="363" spans="2:10" x14ac:dyDescent="0.15">
      <c r="B363" s="119">
        <v>360</v>
      </c>
      <c r="C363" s="129"/>
      <c r="D363" s="100"/>
      <c r="E363" s="100" t="s">
        <v>64</v>
      </c>
      <c r="F363" s="100" t="s">
        <v>64</v>
      </c>
      <c r="G363" s="100"/>
      <c r="H363" s="100"/>
      <c r="I363" s="100">
        <v>1899</v>
      </c>
      <c r="J363" s="100">
        <v>12</v>
      </c>
    </row>
    <row r="364" spans="2:10" x14ac:dyDescent="0.15">
      <c r="B364" s="119">
        <v>361</v>
      </c>
      <c r="C364" s="128"/>
      <c r="D364" s="94"/>
      <c r="E364" s="94" t="s">
        <v>64</v>
      </c>
      <c r="F364" s="94" t="s">
        <v>64</v>
      </c>
      <c r="G364" s="94"/>
      <c r="H364" s="94"/>
      <c r="I364" s="94">
        <v>1899</v>
      </c>
      <c r="J364" s="94">
        <v>12</v>
      </c>
    </row>
    <row r="365" spans="2:10" x14ac:dyDescent="0.15">
      <c r="B365" s="119">
        <v>362</v>
      </c>
      <c r="C365" s="129"/>
      <c r="D365" s="100"/>
      <c r="E365" s="100" t="s">
        <v>64</v>
      </c>
      <c r="F365" s="100" t="s">
        <v>64</v>
      </c>
      <c r="G365" s="100"/>
      <c r="H365" s="100"/>
      <c r="I365" s="100">
        <v>1899</v>
      </c>
      <c r="J365" s="100">
        <v>12</v>
      </c>
    </row>
    <row r="366" spans="2:10" x14ac:dyDescent="0.15">
      <c r="B366" s="119">
        <v>363</v>
      </c>
      <c r="C366" s="128"/>
      <c r="D366" s="94"/>
      <c r="E366" s="94" t="s">
        <v>64</v>
      </c>
      <c r="F366" s="94" t="s">
        <v>64</v>
      </c>
      <c r="G366" s="94"/>
      <c r="H366" s="94"/>
      <c r="I366" s="94">
        <v>1899</v>
      </c>
      <c r="J366" s="94">
        <v>12</v>
      </c>
    </row>
    <row r="367" spans="2:10" x14ac:dyDescent="0.15">
      <c r="B367" s="119">
        <v>364</v>
      </c>
      <c r="C367" s="129"/>
      <c r="D367" s="100"/>
      <c r="E367" s="100" t="s">
        <v>64</v>
      </c>
      <c r="F367" s="100" t="s">
        <v>64</v>
      </c>
      <c r="G367" s="100"/>
      <c r="H367" s="100"/>
      <c r="I367" s="100">
        <v>1899</v>
      </c>
      <c r="J367" s="100">
        <v>12</v>
      </c>
    </row>
    <row r="368" spans="2:10" x14ac:dyDescent="0.15">
      <c r="B368" s="119">
        <v>365</v>
      </c>
      <c r="C368" s="128"/>
      <c r="D368" s="94"/>
      <c r="E368" s="94" t="s">
        <v>64</v>
      </c>
      <c r="F368" s="94" t="s">
        <v>64</v>
      </c>
      <c r="G368" s="94"/>
      <c r="H368" s="94"/>
      <c r="I368" s="94">
        <v>1899</v>
      </c>
      <c r="J368" s="94">
        <v>12</v>
      </c>
    </row>
    <row r="369" spans="2:10" x14ac:dyDescent="0.15">
      <c r="B369" s="119">
        <v>366</v>
      </c>
      <c r="C369" s="129"/>
      <c r="D369" s="100"/>
      <c r="E369" s="100" t="s">
        <v>64</v>
      </c>
      <c r="F369" s="100" t="s">
        <v>64</v>
      </c>
      <c r="G369" s="100"/>
      <c r="H369" s="100"/>
      <c r="I369" s="100">
        <v>1899</v>
      </c>
      <c r="J369" s="100">
        <v>12</v>
      </c>
    </row>
    <row r="370" spans="2:10" x14ac:dyDescent="0.15">
      <c r="B370" s="119">
        <v>367</v>
      </c>
      <c r="C370" s="128"/>
      <c r="D370" s="94"/>
      <c r="E370" s="94" t="s">
        <v>64</v>
      </c>
      <c r="F370" s="94" t="s">
        <v>64</v>
      </c>
      <c r="G370" s="94"/>
      <c r="H370" s="94"/>
      <c r="I370" s="94">
        <v>1899</v>
      </c>
      <c r="J370" s="94">
        <v>12</v>
      </c>
    </row>
    <row r="371" spans="2:10" x14ac:dyDescent="0.15">
      <c r="B371" s="119">
        <v>368</v>
      </c>
      <c r="C371" s="129"/>
      <c r="D371" s="100"/>
      <c r="E371" s="100" t="s">
        <v>64</v>
      </c>
      <c r="F371" s="100" t="s">
        <v>64</v>
      </c>
      <c r="G371" s="100"/>
      <c r="H371" s="100"/>
      <c r="I371" s="100">
        <v>1899</v>
      </c>
      <c r="J371" s="100">
        <v>12</v>
      </c>
    </row>
    <row r="372" spans="2:10" x14ac:dyDescent="0.15">
      <c r="B372" s="119">
        <v>369</v>
      </c>
      <c r="C372" s="128"/>
      <c r="D372" s="94"/>
      <c r="E372" s="94" t="s">
        <v>64</v>
      </c>
      <c r="F372" s="94" t="s">
        <v>64</v>
      </c>
      <c r="G372" s="94"/>
      <c r="H372" s="94"/>
      <c r="I372" s="94">
        <v>1899</v>
      </c>
      <c r="J372" s="94">
        <v>12</v>
      </c>
    </row>
    <row r="373" spans="2:10" x14ac:dyDescent="0.15">
      <c r="B373" s="119">
        <v>370</v>
      </c>
      <c r="C373" s="129"/>
      <c r="D373" s="100"/>
      <c r="E373" s="100" t="s">
        <v>64</v>
      </c>
      <c r="F373" s="100" t="s">
        <v>64</v>
      </c>
      <c r="G373" s="100"/>
      <c r="H373" s="100"/>
      <c r="I373" s="100">
        <v>1899</v>
      </c>
      <c r="J373" s="100">
        <v>12</v>
      </c>
    </row>
    <row r="374" spans="2:10" x14ac:dyDescent="0.15">
      <c r="B374" s="119">
        <v>371</v>
      </c>
      <c r="C374" s="128"/>
      <c r="D374" s="94"/>
      <c r="E374" s="94" t="s">
        <v>64</v>
      </c>
      <c r="F374" s="94" t="s">
        <v>64</v>
      </c>
      <c r="G374" s="94"/>
      <c r="H374" s="94"/>
      <c r="I374" s="94">
        <v>1899</v>
      </c>
      <c r="J374" s="94">
        <v>12</v>
      </c>
    </row>
    <row r="375" spans="2:10" x14ac:dyDescent="0.15">
      <c r="B375" s="119">
        <v>372</v>
      </c>
      <c r="C375" s="129"/>
      <c r="D375" s="100"/>
      <c r="E375" s="100" t="s">
        <v>64</v>
      </c>
      <c r="F375" s="100" t="s">
        <v>64</v>
      </c>
      <c r="G375" s="100"/>
      <c r="H375" s="100"/>
      <c r="I375" s="100">
        <v>1899</v>
      </c>
      <c r="J375" s="100">
        <v>12</v>
      </c>
    </row>
    <row r="376" spans="2:10" x14ac:dyDescent="0.15">
      <c r="B376" s="119">
        <v>373</v>
      </c>
      <c r="C376" s="128"/>
      <c r="D376" s="94"/>
      <c r="E376" s="94" t="s">
        <v>64</v>
      </c>
      <c r="F376" s="94" t="s">
        <v>64</v>
      </c>
      <c r="G376" s="94"/>
      <c r="H376" s="94"/>
      <c r="I376" s="94">
        <v>1899</v>
      </c>
      <c r="J376" s="94">
        <v>12</v>
      </c>
    </row>
    <row r="377" spans="2:10" x14ac:dyDescent="0.15">
      <c r="B377" s="119">
        <v>374</v>
      </c>
      <c r="C377" s="129"/>
      <c r="D377" s="100"/>
      <c r="E377" s="100" t="s">
        <v>64</v>
      </c>
      <c r="F377" s="100" t="s">
        <v>64</v>
      </c>
      <c r="G377" s="100"/>
      <c r="H377" s="100"/>
      <c r="I377" s="100">
        <v>1899</v>
      </c>
      <c r="J377" s="100">
        <v>12</v>
      </c>
    </row>
    <row r="378" spans="2:10" x14ac:dyDescent="0.15">
      <c r="B378" s="119">
        <v>375</v>
      </c>
      <c r="C378" s="128"/>
      <c r="D378" s="94"/>
      <c r="E378" s="94" t="s">
        <v>64</v>
      </c>
      <c r="F378" s="94" t="s">
        <v>64</v>
      </c>
      <c r="G378" s="94"/>
      <c r="H378" s="94"/>
      <c r="I378" s="94">
        <v>1899</v>
      </c>
      <c r="J378" s="94">
        <v>12</v>
      </c>
    </row>
    <row r="379" spans="2:10" x14ac:dyDescent="0.15">
      <c r="B379" s="119">
        <v>376</v>
      </c>
      <c r="C379" s="129"/>
      <c r="D379" s="100"/>
      <c r="E379" s="100" t="s">
        <v>64</v>
      </c>
      <c r="F379" s="100" t="s">
        <v>64</v>
      </c>
      <c r="G379" s="100"/>
      <c r="H379" s="100"/>
      <c r="I379" s="100">
        <v>1899</v>
      </c>
      <c r="J379" s="100">
        <v>12</v>
      </c>
    </row>
    <row r="380" spans="2:10" x14ac:dyDescent="0.15">
      <c r="B380" s="119">
        <v>377</v>
      </c>
      <c r="C380" s="128"/>
      <c r="D380" s="94"/>
      <c r="E380" s="94" t="s">
        <v>64</v>
      </c>
      <c r="F380" s="94" t="s">
        <v>64</v>
      </c>
      <c r="G380" s="94"/>
      <c r="H380" s="94"/>
      <c r="I380" s="94">
        <v>1899</v>
      </c>
      <c r="J380" s="94">
        <v>12</v>
      </c>
    </row>
    <row r="381" spans="2:10" x14ac:dyDescent="0.15">
      <c r="B381" s="119">
        <v>378</v>
      </c>
      <c r="C381" s="129"/>
      <c r="D381" s="100"/>
      <c r="E381" s="100" t="s">
        <v>64</v>
      </c>
      <c r="F381" s="100" t="s">
        <v>64</v>
      </c>
      <c r="G381" s="100"/>
      <c r="H381" s="100"/>
      <c r="I381" s="100">
        <v>1899</v>
      </c>
      <c r="J381" s="100">
        <v>12</v>
      </c>
    </row>
    <row r="382" spans="2:10" x14ac:dyDescent="0.15">
      <c r="B382" s="119">
        <v>379</v>
      </c>
      <c r="C382" s="128"/>
      <c r="D382" s="94"/>
      <c r="E382" s="94" t="s">
        <v>64</v>
      </c>
      <c r="F382" s="94" t="s">
        <v>64</v>
      </c>
      <c r="G382" s="94"/>
      <c r="H382" s="94"/>
      <c r="I382" s="94">
        <v>1899</v>
      </c>
      <c r="J382" s="94">
        <v>12</v>
      </c>
    </row>
    <row r="383" spans="2:10" x14ac:dyDescent="0.15">
      <c r="B383" s="119">
        <v>380</v>
      </c>
      <c r="C383" s="129"/>
      <c r="D383" s="100"/>
      <c r="E383" s="100" t="s">
        <v>64</v>
      </c>
      <c r="F383" s="100" t="s">
        <v>64</v>
      </c>
      <c r="G383" s="100"/>
      <c r="H383" s="100"/>
      <c r="I383" s="100">
        <v>1899</v>
      </c>
      <c r="J383" s="100">
        <v>12</v>
      </c>
    </row>
    <row r="384" spans="2:10" x14ac:dyDescent="0.15">
      <c r="B384" s="119">
        <v>381</v>
      </c>
      <c r="C384" s="128"/>
      <c r="D384" s="94"/>
      <c r="E384" s="94" t="s">
        <v>64</v>
      </c>
      <c r="F384" s="94" t="s">
        <v>64</v>
      </c>
      <c r="G384" s="94"/>
      <c r="H384" s="94"/>
      <c r="I384" s="94">
        <v>1899</v>
      </c>
      <c r="J384" s="94">
        <v>12</v>
      </c>
    </row>
    <row r="385" spans="2:10" x14ac:dyDescent="0.15">
      <c r="B385" s="119">
        <v>382</v>
      </c>
      <c r="C385" s="129"/>
      <c r="D385" s="100"/>
      <c r="E385" s="100" t="s">
        <v>64</v>
      </c>
      <c r="F385" s="100" t="s">
        <v>64</v>
      </c>
      <c r="G385" s="100"/>
      <c r="H385" s="100"/>
      <c r="I385" s="100">
        <v>1899</v>
      </c>
      <c r="J385" s="100">
        <v>12</v>
      </c>
    </row>
    <row r="386" spans="2:10" x14ac:dyDescent="0.15">
      <c r="B386" s="119">
        <v>383</v>
      </c>
      <c r="C386" s="128"/>
      <c r="D386" s="94"/>
      <c r="E386" s="94" t="s">
        <v>64</v>
      </c>
      <c r="F386" s="94" t="s">
        <v>64</v>
      </c>
      <c r="G386" s="94"/>
      <c r="H386" s="94"/>
      <c r="I386" s="94">
        <v>1899</v>
      </c>
      <c r="J386" s="94">
        <v>12</v>
      </c>
    </row>
    <row r="387" spans="2:10" x14ac:dyDescent="0.15">
      <c r="B387" s="119">
        <v>384</v>
      </c>
      <c r="C387" s="129"/>
      <c r="D387" s="100"/>
      <c r="E387" s="100" t="s">
        <v>64</v>
      </c>
      <c r="F387" s="100" t="s">
        <v>64</v>
      </c>
      <c r="G387" s="100"/>
      <c r="H387" s="100"/>
      <c r="I387" s="100">
        <v>1899</v>
      </c>
      <c r="J387" s="100">
        <v>12</v>
      </c>
    </row>
    <row r="388" spans="2:10" x14ac:dyDescent="0.15">
      <c r="B388" s="119">
        <v>385</v>
      </c>
      <c r="C388" s="128"/>
      <c r="D388" s="94"/>
      <c r="E388" s="94" t="s">
        <v>64</v>
      </c>
      <c r="F388" s="94" t="s">
        <v>64</v>
      </c>
      <c r="G388" s="94"/>
      <c r="H388" s="94"/>
      <c r="I388" s="94">
        <v>1899</v>
      </c>
      <c r="J388" s="94">
        <v>12</v>
      </c>
    </row>
    <row r="389" spans="2:10" x14ac:dyDescent="0.15">
      <c r="B389" s="119">
        <v>386</v>
      </c>
      <c r="C389" s="129"/>
      <c r="D389" s="100"/>
      <c r="E389" s="100" t="s">
        <v>64</v>
      </c>
      <c r="F389" s="100" t="s">
        <v>64</v>
      </c>
      <c r="G389" s="100"/>
      <c r="H389" s="100"/>
      <c r="I389" s="100">
        <v>1899</v>
      </c>
      <c r="J389" s="100">
        <v>12</v>
      </c>
    </row>
    <row r="390" spans="2:10" x14ac:dyDescent="0.15">
      <c r="B390" s="119">
        <v>387</v>
      </c>
      <c r="C390" s="128"/>
      <c r="D390" s="94"/>
      <c r="E390" s="94" t="s">
        <v>64</v>
      </c>
      <c r="F390" s="94" t="s">
        <v>64</v>
      </c>
      <c r="G390" s="94"/>
      <c r="H390" s="94"/>
      <c r="I390" s="94">
        <v>1899</v>
      </c>
      <c r="J390" s="94">
        <v>12</v>
      </c>
    </row>
    <row r="391" spans="2:10" x14ac:dyDescent="0.15">
      <c r="B391" s="119">
        <v>388</v>
      </c>
      <c r="C391" s="129"/>
      <c r="D391" s="100"/>
      <c r="E391" s="100" t="s">
        <v>64</v>
      </c>
      <c r="F391" s="100" t="s">
        <v>64</v>
      </c>
      <c r="G391" s="100"/>
      <c r="H391" s="100"/>
      <c r="I391" s="100">
        <v>1899</v>
      </c>
      <c r="J391" s="100">
        <v>12</v>
      </c>
    </row>
    <row r="392" spans="2:10" x14ac:dyDescent="0.15">
      <c r="B392" s="119">
        <v>389</v>
      </c>
      <c r="C392" s="128"/>
      <c r="D392" s="94"/>
      <c r="E392" s="94" t="s">
        <v>64</v>
      </c>
      <c r="F392" s="94" t="s">
        <v>64</v>
      </c>
      <c r="G392" s="94"/>
      <c r="H392" s="94"/>
      <c r="I392" s="94">
        <v>1899</v>
      </c>
      <c r="J392" s="94">
        <v>12</v>
      </c>
    </row>
    <row r="393" spans="2:10" x14ac:dyDescent="0.15">
      <c r="B393" s="119">
        <v>390</v>
      </c>
      <c r="C393" s="129"/>
      <c r="D393" s="100"/>
      <c r="E393" s="100" t="s">
        <v>64</v>
      </c>
      <c r="F393" s="100" t="s">
        <v>64</v>
      </c>
      <c r="G393" s="100"/>
      <c r="H393" s="100"/>
      <c r="I393" s="100">
        <v>1899</v>
      </c>
      <c r="J393" s="100">
        <v>12</v>
      </c>
    </row>
    <row r="394" spans="2:10" x14ac:dyDescent="0.15">
      <c r="B394" s="119">
        <v>391</v>
      </c>
      <c r="C394" s="128"/>
      <c r="D394" s="94"/>
      <c r="E394" s="94" t="s">
        <v>64</v>
      </c>
      <c r="F394" s="94" t="s">
        <v>64</v>
      </c>
      <c r="G394" s="94"/>
      <c r="H394" s="94"/>
      <c r="I394" s="94">
        <v>1899</v>
      </c>
      <c r="J394" s="94">
        <v>12</v>
      </c>
    </row>
    <row r="395" spans="2:10" x14ac:dyDescent="0.15">
      <c r="B395" s="119">
        <v>392</v>
      </c>
      <c r="C395" s="129"/>
      <c r="D395" s="100"/>
      <c r="E395" s="100" t="s">
        <v>64</v>
      </c>
      <c r="F395" s="100" t="s">
        <v>64</v>
      </c>
      <c r="G395" s="100"/>
      <c r="H395" s="100"/>
      <c r="I395" s="100">
        <v>1899</v>
      </c>
      <c r="J395" s="100">
        <v>12</v>
      </c>
    </row>
    <row r="396" spans="2:10" x14ac:dyDescent="0.15">
      <c r="B396" s="119">
        <v>393</v>
      </c>
      <c r="C396" s="128"/>
      <c r="D396" s="94"/>
      <c r="E396" s="94" t="s">
        <v>64</v>
      </c>
      <c r="F396" s="94" t="s">
        <v>64</v>
      </c>
      <c r="G396" s="94"/>
      <c r="H396" s="94"/>
      <c r="I396" s="94">
        <v>1899</v>
      </c>
      <c r="J396" s="94">
        <v>12</v>
      </c>
    </row>
    <row r="397" spans="2:10" x14ac:dyDescent="0.15">
      <c r="B397" s="119">
        <v>394</v>
      </c>
      <c r="C397" s="129"/>
      <c r="D397" s="100"/>
      <c r="E397" s="100" t="s">
        <v>64</v>
      </c>
      <c r="F397" s="100" t="s">
        <v>64</v>
      </c>
      <c r="G397" s="100"/>
      <c r="H397" s="100"/>
      <c r="I397" s="100">
        <v>1899</v>
      </c>
      <c r="J397" s="100">
        <v>12</v>
      </c>
    </row>
    <row r="398" spans="2:10" x14ac:dyDescent="0.15">
      <c r="B398" s="119">
        <v>395</v>
      </c>
      <c r="C398" s="128"/>
      <c r="D398" s="94"/>
      <c r="E398" s="94" t="s">
        <v>64</v>
      </c>
      <c r="F398" s="94" t="s">
        <v>64</v>
      </c>
      <c r="G398" s="94"/>
      <c r="H398" s="94"/>
      <c r="I398" s="94">
        <v>1899</v>
      </c>
      <c r="J398" s="94">
        <v>12</v>
      </c>
    </row>
    <row r="399" spans="2:10" x14ac:dyDescent="0.15">
      <c r="B399" s="119">
        <v>396</v>
      </c>
      <c r="C399" s="129"/>
      <c r="D399" s="100"/>
      <c r="E399" s="100" t="s">
        <v>64</v>
      </c>
      <c r="F399" s="100" t="s">
        <v>64</v>
      </c>
      <c r="G399" s="100"/>
      <c r="H399" s="100"/>
      <c r="I399" s="100">
        <v>1899</v>
      </c>
      <c r="J399" s="100">
        <v>12</v>
      </c>
    </row>
    <row r="400" spans="2:10" x14ac:dyDescent="0.15">
      <c r="B400" s="119">
        <v>397</v>
      </c>
      <c r="C400" s="128"/>
      <c r="D400" s="94"/>
      <c r="E400" s="94" t="s">
        <v>64</v>
      </c>
      <c r="F400" s="94" t="s">
        <v>64</v>
      </c>
      <c r="G400" s="94"/>
      <c r="H400" s="94"/>
      <c r="I400" s="94">
        <v>1899</v>
      </c>
      <c r="J400" s="94">
        <v>12</v>
      </c>
    </row>
    <row r="401" spans="2:10" x14ac:dyDescent="0.15">
      <c r="B401" s="119">
        <v>398</v>
      </c>
      <c r="C401" s="129"/>
      <c r="D401" s="100"/>
      <c r="E401" s="100" t="s">
        <v>64</v>
      </c>
      <c r="F401" s="100" t="s">
        <v>64</v>
      </c>
      <c r="G401" s="100"/>
      <c r="H401" s="100"/>
      <c r="I401" s="100">
        <v>1899</v>
      </c>
      <c r="J401" s="100">
        <v>12</v>
      </c>
    </row>
    <row r="402" spans="2:10" x14ac:dyDescent="0.15">
      <c r="B402" s="119">
        <v>399</v>
      </c>
      <c r="C402" s="128"/>
      <c r="D402" s="94"/>
      <c r="E402" s="94" t="s">
        <v>64</v>
      </c>
      <c r="F402" s="94" t="s">
        <v>64</v>
      </c>
      <c r="G402" s="94"/>
      <c r="H402" s="94"/>
      <c r="I402" s="94">
        <v>1899</v>
      </c>
      <c r="J402" s="94">
        <v>12</v>
      </c>
    </row>
    <row r="403" spans="2:10" x14ac:dyDescent="0.15">
      <c r="B403" s="119">
        <v>400</v>
      </c>
      <c r="C403" s="129"/>
      <c r="D403" s="100"/>
      <c r="E403" s="100" t="s">
        <v>64</v>
      </c>
      <c r="F403" s="100" t="s">
        <v>64</v>
      </c>
      <c r="G403" s="100"/>
      <c r="H403" s="100"/>
      <c r="I403" s="100">
        <v>1899</v>
      </c>
      <c r="J403" s="100">
        <v>12</v>
      </c>
    </row>
    <row r="404" spans="2:10" x14ac:dyDescent="0.15">
      <c r="B404" s="119">
        <v>401</v>
      </c>
      <c r="C404" s="128"/>
      <c r="D404" s="94"/>
      <c r="E404" s="94" t="s">
        <v>64</v>
      </c>
      <c r="F404" s="94" t="s">
        <v>64</v>
      </c>
      <c r="G404" s="94"/>
      <c r="H404" s="94"/>
      <c r="I404" s="94">
        <v>1899</v>
      </c>
      <c r="J404" s="94">
        <v>12</v>
      </c>
    </row>
    <row r="405" spans="2:10" x14ac:dyDescent="0.15">
      <c r="B405" s="119">
        <v>402</v>
      </c>
      <c r="C405" s="129"/>
      <c r="D405" s="100"/>
      <c r="E405" s="100" t="s">
        <v>64</v>
      </c>
      <c r="F405" s="100" t="s">
        <v>64</v>
      </c>
      <c r="G405" s="100"/>
      <c r="H405" s="100"/>
      <c r="I405" s="100">
        <v>1899</v>
      </c>
      <c r="J405" s="100">
        <v>12</v>
      </c>
    </row>
    <row r="406" spans="2:10" x14ac:dyDescent="0.15">
      <c r="B406" s="119">
        <v>403</v>
      </c>
      <c r="C406" s="128"/>
      <c r="D406" s="94"/>
      <c r="E406" s="94" t="s">
        <v>64</v>
      </c>
      <c r="F406" s="94" t="s">
        <v>64</v>
      </c>
      <c r="G406" s="94"/>
      <c r="H406" s="94"/>
      <c r="I406" s="94">
        <v>1899</v>
      </c>
      <c r="J406" s="94">
        <v>12</v>
      </c>
    </row>
    <row r="407" spans="2:10" x14ac:dyDescent="0.15">
      <c r="B407" s="119">
        <v>404</v>
      </c>
      <c r="C407" s="129"/>
      <c r="D407" s="100"/>
      <c r="E407" s="100" t="s">
        <v>64</v>
      </c>
      <c r="F407" s="100" t="s">
        <v>64</v>
      </c>
      <c r="G407" s="100"/>
      <c r="H407" s="100"/>
      <c r="I407" s="100">
        <v>1899</v>
      </c>
      <c r="J407" s="100">
        <v>12</v>
      </c>
    </row>
    <row r="408" spans="2:10" x14ac:dyDescent="0.15">
      <c r="B408" s="119">
        <v>405</v>
      </c>
      <c r="C408" s="128"/>
      <c r="D408" s="94"/>
      <c r="E408" s="94" t="s">
        <v>64</v>
      </c>
      <c r="F408" s="94" t="s">
        <v>64</v>
      </c>
      <c r="G408" s="94"/>
      <c r="H408" s="94"/>
      <c r="I408" s="94">
        <v>1899</v>
      </c>
      <c r="J408" s="94">
        <v>12</v>
      </c>
    </row>
    <row r="409" spans="2:10" x14ac:dyDescent="0.15">
      <c r="B409" s="119">
        <v>406</v>
      </c>
      <c r="C409" s="129"/>
      <c r="D409" s="100"/>
      <c r="E409" s="100" t="s">
        <v>64</v>
      </c>
      <c r="F409" s="100" t="s">
        <v>64</v>
      </c>
      <c r="G409" s="100"/>
      <c r="H409" s="100"/>
      <c r="I409" s="100">
        <v>1899</v>
      </c>
      <c r="J409" s="100">
        <v>12</v>
      </c>
    </row>
    <row r="410" spans="2:10" x14ac:dyDescent="0.15">
      <c r="B410" s="119">
        <v>407</v>
      </c>
      <c r="C410" s="128"/>
      <c r="D410" s="94"/>
      <c r="E410" s="94" t="s">
        <v>64</v>
      </c>
      <c r="F410" s="94" t="s">
        <v>64</v>
      </c>
      <c r="G410" s="94"/>
      <c r="H410" s="94"/>
      <c r="I410" s="94">
        <v>1899</v>
      </c>
      <c r="J410" s="94">
        <v>12</v>
      </c>
    </row>
    <row r="411" spans="2:10" x14ac:dyDescent="0.15">
      <c r="B411" s="119">
        <v>408</v>
      </c>
      <c r="C411" s="129"/>
      <c r="D411" s="100"/>
      <c r="E411" s="100" t="s">
        <v>64</v>
      </c>
      <c r="F411" s="100" t="s">
        <v>64</v>
      </c>
      <c r="G411" s="100"/>
      <c r="H411" s="100"/>
      <c r="I411" s="100">
        <v>1899</v>
      </c>
      <c r="J411" s="100">
        <v>12</v>
      </c>
    </row>
    <row r="412" spans="2:10" x14ac:dyDescent="0.15">
      <c r="B412" s="119">
        <v>409</v>
      </c>
      <c r="C412" s="128"/>
      <c r="D412" s="94"/>
      <c r="E412" s="94" t="s">
        <v>64</v>
      </c>
      <c r="F412" s="94" t="s">
        <v>64</v>
      </c>
      <c r="G412" s="94"/>
      <c r="H412" s="94"/>
      <c r="I412" s="94">
        <v>1899</v>
      </c>
      <c r="J412" s="94">
        <v>12</v>
      </c>
    </row>
    <row r="413" spans="2:10" x14ac:dyDescent="0.15">
      <c r="B413" s="119">
        <v>410</v>
      </c>
      <c r="C413" s="129"/>
      <c r="D413" s="100"/>
      <c r="E413" s="100" t="s">
        <v>64</v>
      </c>
      <c r="F413" s="100" t="s">
        <v>64</v>
      </c>
      <c r="G413" s="100"/>
      <c r="H413" s="100"/>
      <c r="I413" s="100">
        <v>1899</v>
      </c>
      <c r="J413" s="100">
        <v>12</v>
      </c>
    </row>
    <row r="414" spans="2:10" x14ac:dyDescent="0.15">
      <c r="B414" s="119">
        <v>411</v>
      </c>
      <c r="C414" s="128"/>
      <c r="D414" s="94"/>
      <c r="E414" s="94" t="s">
        <v>64</v>
      </c>
      <c r="F414" s="94" t="s">
        <v>64</v>
      </c>
      <c r="G414" s="94"/>
      <c r="H414" s="94"/>
      <c r="I414" s="94">
        <v>1899</v>
      </c>
      <c r="J414" s="94">
        <v>12</v>
      </c>
    </row>
    <row r="415" spans="2:10" x14ac:dyDescent="0.15">
      <c r="B415" s="119">
        <v>412</v>
      </c>
      <c r="C415" s="129"/>
      <c r="D415" s="100"/>
      <c r="E415" s="100" t="s">
        <v>64</v>
      </c>
      <c r="F415" s="100" t="s">
        <v>64</v>
      </c>
      <c r="G415" s="100"/>
      <c r="H415" s="100"/>
      <c r="I415" s="100">
        <v>1899</v>
      </c>
      <c r="J415" s="100">
        <v>12</v>
      </c>
    </row>
    <row r="416" spans="2:10" x14ac:dyDescent="0.15">
      <c r="B416" s="119">
        <v>413</v>
      </c>
      <c r="C416" s="128"/>
      <c r="D416" s="94"/>
      <c r="E416" s="94" t="s">
        <v>64</v>
      </c>
      <c r="F416" s="94" t="s">
        <v>64</v>
      </c>
      <c r="G416" s="94"/>
      <c r="H416" s="94"/>
      <c r="I416" s="94">
        <v>1899</v>
      </c>
      <c r="J416" s="94">
        <v>12</v>
      </c>
    </row>
    <row r="417" spans="2:10" x14ac:dyDescent="0.15">
      <c r="B417" s="119">
        <v>414</v>
      </c>
      <c r="C417" s="129"/>
      <c r="D417" s="100"/>
      <c r="E417" s="100" t="s">
        <v>64</v>
      </c>
      <c r="F417" s="100" t="s">
        <v>64</v>
      </c>
      <c r="G417" s="100"/>
      <c r="H417" s="100"/>
      <c r="I417" s="100">
        <v>1899</v>
      </c>
      <c r="J417" s="100">
        <v>12</v>
      </c>
    </row>
    <row r="418" spans="2:10" x14ac:dyDescent="0.15">
      <c r="B418" s="119">
        <v>415</v>
      </c>
      <c r="C418" s="128"/>
      <c r="D418" s="94"/>
      <c r="E418" s="94" t="s">
        <v>64</v>
      </c>
      <c r="F418" s="94" t="s">
        <v>64</v>
      </c>
      <c r="G418" s="94"/>
      <c r="H418" s="94"/>
      <c r="I418" s="94">
        <v>1899</v>
      </c>
      <c r="J418" s="94">
        <v>12</v>
      </c>
    </row>
    <row r="419" spans="2:10" x14ac:dyDescent="0.15">
      <c r="B419" s="119">
        <v>416</v>
      </c>
      <c r="C419" s="129"/>
      <c r="D419" s="100"/>
      <c r="E419" s="100" t="s">
        <v>64</v>
      </c>
      <c r="F419" s="100" t="s">
        <v>64</v>
      </c>
      <c r="G419" s="100"/>
      <c r="H419" s="100"/>
      <c r="I419" s="100">
        <v>1899</v>
      </c>
      <c r="J419" s="100">
        <v>12</v>
      </c>
    </row>
    <row r="420" spans="2:10" x14ac:dyDescent="0.15">
      <c r="B420" s="119">
        <v>417</v>
      </c>
      <c r="C420" s="128"/>
      <c r="D420" s="94"/>
      <c r="E420" s="94" t="s">
        <v>64</v>
      </c>
      <c r="F420" s="94" t="s">
        <v>64</v>
      </c>
      <c r="G420" s="94"/>
      <c r="H420" s="94"/>
      <c r="I420" s="94">
        <v>1899</v>
      </c>
      <c r="J420" s="94">
        <v>12</v>
      </c>
    </row>
    <row r="421" spans="2:10" x14ac:dyDescent="0.15">
      <c r="B421" s="119">
        <v>418</v>
      </c>
      <c r="C421" s="129"/>
      <c r="D421" s="100"/>
      <c r="E421" s="100" t="s">
        <v>64</v>
      </c>
      <c r="F421" s="100" t="s">
        <v>64</v>
      </c>
      <c r="G421" s="100"/>
      <c r="H421" s="100"/>
      <c r="I421" s="100">
        <v>1899</v>
      </c>
      <c r="J421" s="100">
        <v>12</v>
      </c>
    </row>
    <row r="422" spans="2:10" x14ac:dyDescent="0.15">
      <c r="B422" s="119">
        <v>419</v>
      </c>
      <c r="C422" s="128"/>
      <c r="D422" s="94"/>
      <c r="E422" s="94" t="s">
        <v>64</v>
      </c>
      <c r="F422" s="94" t="s">
        <v>64</v>
      </c>
      <c r="G422" s="94"/>
      <c r="H422" s="94"/>
      <c r="I422" s="94">
        <v>1899</v>
      </c>
      <c r="J422" s="94">
        <v>12</v>
      </c>
    </row>
    <row r="423" spans="2:10" x14ac:dyDescent="0.15">
      <c r="B423" s="119">
        <v>420</v>
      </c>
      <c r="C423" s="129"/>
      <c r="D423" s="100"/>
      <c r="E423" s="100" t="s">
        <v>64</v>
      </c>
      <c r="F423" s="100" t="s">
        <v>64</v>
      </c>
      <c r="G423" s="100"/>
      <c r="H423" s="100"/>
      <c r="I423" s="100">
        <v>1899</v>
      </c>
      <c r="J423" s="100">
        <v>12</v>
      </c>
    </row>
    <row r="424" spans="2:10" x14ac:dyDescent="0.15">
      <c r="B424" s="119">
        <v>421</v>
      </c>
      <c r="C424" s="128"/>
      <c r="D424" s="94"/>
      <c r="E424" s="94" t="s">
        <v>64</v>
      </c>
      <c r="F424" s="94" t="s">
        <v>64</v>
      </c>
      <c r="G424" s="94"/>
      <c r="H424" s="94"/>
      <c r="I424" s="94">
        <v>1899</v>
      </c>
      <c r="J424" s="94">
        <v>12</v>
      </c>
    </row>
    <row r="425" spans="2:10" x14ac:dyDescent="0.15">
      <c r="B425" s="119">
        <v>422</v>
      </c>
      <c r="C425" s="129"/>
      <c r="D425" s="100"/>
      <c r="E425" s="100" t="s">
        <v>64</v>
      </c>
      <c r="F425" s="100" t="s">
        <v>64</v>
      </c>
      <c r="G425" s="100"/>
      <c r="H425" s="100"/>
      <c r="I425" s="100">
        <v>1899</v>
      </c>
      <c r="J425" s="100">
        <v>12</v>
      </c>
    </row>
    <row r="426" spans="2:10" x14ac:dyDescent="0.15">
      <c r="B426" s="119">
        <v>423</v>
      </c>
      <c r="C426" s="128"/>
      <c r="D426" s="94"/>
      <c r="E426" s="94" t="s">
        <v>64</v>
      </c>
      <c r="F426" s="94" t="s">
        <v>64</v>
      </c>
      <c r="G426" s="94"/>
      <c r="H426" s="94"/>
      <c r="I426" s="94">
        <v>1899</v>
      </c>
      <c r="J426" s="94">
        <v>12</v>
      </c>
    </row>
    <row r="427" spans="2:10" x14ac:dyDescent="0.15">
      <c r="B427" s="119">
        <v>424</v>
      </c>
      <c r="C427" s="129"/>
      <c r="D427" s="100"/>
      <c r="E427" s="100" t="s">
        <v>64</v>
      </c>
      <c r="F427" s="100" t="s">
        <v>64</v>
      </c>
      <c r="G427" s="100"/>
      <c r="H427" s="100"/>
      <c r="I427" s="100">
        <v>1899</v>
      </c>
      <c r="J427" s="100">
        <v>12</v>
      </c>
    </row>
    <row r="428" spans="2:10" x14ac:dyDescent="0.15">
      <c r="B428" s="119">
        <v>425</v>
      </c>
      <c r="C428" s="128"/>
      <c r="D428" s="94"/>
      <c r="E428" s="94" t="s">
        <v>64</v>
      </c>
      <c r="F428" s="94" t="s">
        <v>64</v>
      </c>
      <c r="G428" s="94"/>
      <c r="H428" s="94"/>
      <c r="I428" s="94">
        <v>1899</v>
      </c>
      <c r="J428" s="94">
        <v>12</v>
      </c>
    </row>
    <row r="429" spans="2:10" x14ac:dyDescent="0.15">
      <c r="B429" s="119">
        <v>426</v>
      </c>
      <c r="C429" s="129"/>
      <c r="D429" s="100"/>
      <c r="E429" s="100" t="s">
        <v>64</v>
      </c>
      <c r="F429" s="100" t="s">
        <v>64</v>
      </c>
      <c r="G429" s="100"/>
      <c r="H429" s="100"/>
      <c r="I429" s="100">
        <v>1899</v>
      </c>
      <c r="J429" s="100">
        <v>12</v>
      </c>
    </row>
    <row r="430" spans="2:10" x14ac:dyDescent="0.15">
      <c r="B430" s="119">
        <v>427</v>
      </c>
      <c r="C430" s="128"/>
      <c r="D430" s="94"/>
      <c r="E430" s="94" t="s">
        <v>64</v>
      </c>
      <c r="F430" s="94" t="s">
        <v>64</v>
      </c>
      <c r="G430" s="94"/>
      <c r="H430" s="94"/>
      <c r="I430" s="94">
        <v>1899</v>
      </c>
      <c r="J430" s="94">
        <v>12</v>
      </c>
    </row>
    <row r="431" spans="2:10" x14ac:dyDescent="0.15">
      <c r="B431" s="119">
        <v>428</v>
      </c>
      <c r="C431" s="129"/>
      <c r="D431" s="100"/>
      <c r="E431" s="100" t="s">
        <v>64</v>
      </c>
      <c r="F431" s="100" t="s">
        <v>64</v>
      </c>
      <c r="G431" s="100"/>
      <c r="H431" s="100"/>
      <c r="I431" s="100">
        <v>1899</v>
      </c>
      <c r="J431" s="100">
        <v>12</v>
      </c>
    </row>
    <row r="432" spans="2:10" x14ac:dyDescent="0.15">
      <c r="B432" s="119">
        <v>429</v>
      </c>
      <c r="C432" s="128"/>
      <c r="D432" s="94"/>
      <c r="E432" s="94" t="s">
        <v>64</v>
      </c>
      <c r="F432" s="94" t="s">
        <v>64</v>
      </c>
      <c r="G432" s="94"/>
      <c r="H432" s="94"/>
      <c r="I432" s="94">
        <v>1899</v>
      </c>
      <c r="J432" s="94">
        <v>12</v>
      </c>
    </row>
    <row r="433" spans="2:10" x14ac:dyDescent="0.15">
      <c r="B433" s="119">
        <v>430</v>
      </c>
      <c r="C433" s="129"/>
      <c r="D433" s="100"/>
      <c r="E433" s="100" t="s">
        <v>64</v>
      </c>
      <c r="F433" s="100" t="s">
        <v>64</v>
      </c>
      <c r="G433" s="100"/>
      <c r="H433" s="100"/>
      <c r="I433" s="100">
        <v>1899</v>
      </c>
      <c r="J433" s="100">
        <v>12</v>
      </c>
    </row>
    <row r="434" spans="2:10" x14ac:dyDescent="0.15">
      <c r="B434" s="119">
        <v>431</v>
      </c>
      <c r="C434" s="128"/>
      <c r="D434" s="94"/>
      <c r="E434" s="94" t="s">
        <v>64</v>
      </c>
      <c r="F434" s="94" t="s">
        <v>64</v>
      </c>
      <c r="G434" s="94"/>
      <c r="H434" s="94"/>
      <c r="I434" s="94">
        <v>1899</v>
      </c>
      <c r="J434" s="94">
        <v>12</v>
      </c>
    </row>
    <row r="435" spans="2:10" x14ac:dyDescent="0.15">
      <c r="B435" s="119">
        <v>432</v>
      </c>
      <c r="C435" s="129"/>
      <c r="D435" s="100"/>
      <c r="E435" s="100" t="s">
        <v>64</v>
      </c>
      <c r="F435" s="100" t="s">
        <v>64</v>
      </c>
      <c r="G435" s="100"/>
      <c r="H435" s="100"/>
      <c r="I435" s="100">
        <v>1899</v>
      </c>
      <c r="J435" s="100">
        <v>12</v>
      </c>
    </row>
    <row r="436" spans="2:10" x14ac:dyDescent="0.15">
      <c r="B436" s="119">
        <v>433</v>
      </c>
      <c r="C436" s="128"/>
      <c r="D436" s="94"/>
      <c r="E436" s="94" t="s">
        <v>64</v>
      </c>
      <c r="F436" s="94" t="s">
        <v>64</v>
      </c>
      <c r="G436" s="94"/>
      <c r="H436" s="94"/>
      <c r="I436" s="94">
        <v>1899</v>
      </c>
      <c r="J436" s="94">
        <v>12</v>
      </c>
    </row>
    <row r="437" spans="2:10" x14ac:dyDescent="0.15">
      <c r="B437" s="119">
        <v>434</v>
      </c>
      <c r="C437" s="129"/>
      <c r="D437" s="100"/>
      <c r="E437" s="100" t="s">
        <v>64</v>
      </c>
      <c r="F437" s="100" t="s">
        <v>64</v>
      </c>
      <c r="G437" s="100"/>
      <c r="H437" s="100"/>
      <c r="I437" s="100">
        <v>1899</v>
      </c>
      <c r="J437" s="100">
        <v>12</v>
      </c>
    </row>
    <row r="438" spans="2:10" x14ac:dyDescent="0.15">
      <c r="B438" s="119">
        <v>435</v>
      </c>
      <c r="C438" s="128"/>
      <c r="D438" s="94"/>
      <c r="E438" s="94" t="s">
        <v>64</v>
      </c>
      <c r="F438" s="94" t="s">
        <v>64</v>
      </c>
      <c r="G438" s="94"/>
      <c r="H438" s="94"/>
      <c r="I438" s="94">
        <v>1899</v>
      </c>
      <c r="J438" s="94">
        <v>12</v>
      </c>
    </row>
    <row r="439" spans="2:10" x14ac:dyDescent="0.15">
      <c r="B439" s="119">
        <v>436</v>
      </c>
      <c r="C439" s="129"/>
      <c r="D439" s="100"/>
      <c r="E439" s="100" t="s">
        <v>64</v>
      </c>
      <c r="F439" s="100" t="s">
        <v>64</v>
      </c>
      <c r="G439" s="100"/>
      <c r="H439" s="100"/>
      <c r="I439" s="100">
        <v>1899</v>
      </c>
      <c r="J439" s="100">
        <v>12</v>
      </c>
    </row>
    <row r="440" spans="2:10" x14ac:dyDescent="0.15">
      <c r="B440" s="119">
        <v>437</v>
      </c>
      <c r="C440" s="128"/>
      <c r="D440" s="94"/>
      <c r="E440" s="94" t="s">
        <v>64</v>
      </c>
      <c r="F440" s="94" t="s">
        <v>64</v>
      </c>
      <c r="G440" s="94"/>
      <c r="H440" s="94"/>
      <c r="I440" s="94">
        <v>1899</v>
      </c>
      <c r="J440" s="94">
        <v>12</v>
      </c>
    </row>
    <row r="441" spans="2:10" x14ac:dyDescent="0.15">
      <c r="B441" s="119">
        <v>438</v>
      </c>
      <c r="C441" s="129"/>
      <c r="D441" s="100"/>
      <c r="E441" s="100" t="s">
        <v>64</v>
      </c>
      <c r="F441" s="100" t="s">
        <v>64</v>
      </c>
      <c r="G441" s="100"/>
      <c r="H441" s="100"/>
      <c r="I441" s="100">
        <v>1899</v>
      </c>
      <c r="J441" s="100">
        <v>12</v>
      </c>
    </row>
    <row r="442" spans="2:10" x14ac:dyDescent="0.15">
      <c r="B442" s="119">
        <v>439</v>
      </c>
      <c r="C442" s="128"/>
      <c r="D442" s="94"/>
      <c r="E442" s="94" t="s">
        <v>64</v>
      </c>
      <c r="F442" s="94" t="s">
        <v>64</v>
      </c>
      <c r="G442" s="94"/>
      <c r="H442" s="94"/>
      <c r="I442" s="94">
        <v>1899</v>
      </c>
      <c r="J442" s="94">
        <v>12</v>
      </c>
    </row>
    <row r="443" spans="2:10" x14ac:dyDescent="0.15">
      <c r="B443" s="119">
        <v>440</v>
      </c>
      <c r="C443" s="129"/>
      <c r="D443" s="100"/>
      <c r="E443" s="100" t="s">
        <v>64</v>
      </c>
      <c r="F443" s="100" t="s">
        <v>64</v>
      </c>
      <c r="G443" s="100"/>
      <c r="H443" s="100"/>
      <c r="I443" s="100">
        <v>1899</v>
      </c>
      <c r="J443" s="100">
        <v>12</v>
      </c>
    </row>
    <row r="444" spans="2:10" x14ac:dyDescent="0.15">
      <c r="B444" s="119">
        <v>441</v>
      </c>
      <c r="C444" s="128"/>
      <c r="D444" s="94"/>
      <c r="E444" s="94" t="s">
        <v>64</v>
      </c>
      <c r="F444" s="94" t="s">
        <v>64</v>
      </c>
      <c r="G444" s="94"/>
      <c r="H444" s="94"/>
      <c r="I444" s="94">
        <v>1899</v>
      </c>
      <c r="J444" s="94">
        <v>12</v>
      </c>
    </row>
    <row r="445" spans="2:10" x14ac:dyDescent="0.15">
      <c r="B445" s="119">
        <v>442</v>
      </c>
      <c r="C445" s="129"/>
      <c r="D445" s="100"/>
      <c r="E445" s="100" t="s">
        <v>64</v>
      </c>
      <c r="F445" s="100" t="s">
        <v>64</v>
      </c>
      <c r="G445" s="100"/>
      <c r="H445" s="100"/>
      <c r="I445" s="100">
        <v>1899</v>
      </c>
      <c r="J445" s="100">
        <v>12</v>
      </c>
    </row>
    <row r="446" spans="2:10" x14ac:dyDescent="0.15">
      <c r="B446" s="119">
        <v>443</v>
      </c>
      <c r="C446" s="128"/>
      <c r="D446" s="94"/>
      <c r="E446" s="94" t="s">
        <v>64</v>
      </c>
      <c r="F446" s="94" t="s">
        <v>64</v>
      </c>
      <c r="G446" s="94"/>
      <c r="H446" s="94"/>
      <c r="I446" s="94">
        <v>1899</v>
      </c>
      <c r="J446" s="94">
        <v>12</v>
      </c>
    </row>
    <row r="447" spans="2:10" x14ac:dyDescent="0.15">
      <c r="B447" s="119">
        <v>444</v>
      </c>
      <c r="C447" s="129"/>
      <c r="D447" s="100"/>
      <c r="E447" s="100" t="s">
        <v>64</v>
      </c>
      <c r="F447" s="100" t="s">
        <v>64</v>
      </c>
      <c r="G447" s="100"/>
      <c r="H447" s="100"/>
      <c r="I447" s="100">
        <v>1899</v>
      </c>
      <c r="J447" s="100">
        <v>12</v>
      </c>
    </row>
    <row r="448" spans="2:10" x14ac:dyDescent="0.15">
      <c r="B448" s="119">
        <v>445</v>
      </c>
      <c r="C448" s="128"/>
      <c r="D448" s="94"/>
      <c r="E448" s="94" t="s">
        <v>64</v>
      </c>
      <c r="F448" s="94" t="s">
        <v>64</v>
      </c>
      <c r="G448" s="94"/>
      <c r="H448" s="94"/>
      <c r="I448" s="94">
        <v>1899</v>
      </c>
      <c r="J448" s="94">
        <v>12</v>
      </c>
    </row>
    <row r="449" spans="2:10" x14ac:dyDescent="0.15">
      <c r="B449" s="119">
        <v>446</v>
      </c>
      <c r="C449" s="129"/>
      <c r="D449" s="100"/>
      <c r="E449" s="100" t="s">
        <v>64</v>
      </c>
      <c r="F449" s="100" t="s">
        <v>64</v>
      </c>
      <c r="G449" s="100"/>
      <c r="H449" s="100"/>
      <c r="I449" s="100">
        <v>1899</v>
      </c>
      <c r="J449" s="100">
        <v>12</v>
      </c>
    </row>
    <row r="450" spans="2:10" x14ac:dyDescent="0.15">
      <c r="B450" s="119">
        <v>447</v>
      </c>
      <c r="C450" s="128"/>
      <c r="D450" s="94"/>
      <c r="E450" s="94" t="s">
        <v>64</v>
      </c>
      <c r="F450" s="94" t="s">
        <v>64</v>
      </c>
      <c r="G450" s="94"/>
      <c r="H450" s="94"/>
      <c r="I450" s="94">
        <v>1899</v>
      </c>
      <c r="J450" s="94">
        <v>12</v>
      </c>
    </row>
    <row r="451" spans="2:10" x14ac:dyDescent="0.15">
      <c r="B451" s="119">
        <v>448</v>
      </c>
      <c r="C451" s="129"/>
      <c r="D451" s="100"/>
      <c r="E451" s="100" t="s">
        <v>64</v>
      </c>
      <c r="F451" s="100" t="s">
        <v>64</v>
      </c>
      <c r="G451" s="100"/>
      <c r="H451" s="100"/>
      <c r="I451" s="100">
        <v>1899</v>
      </c>
      <c r="J451" s="100">
        <v>12</v>
      </c>
    </row>
    <row r="452" spans="2:10" x14ac:dyDescent="0.15">
      <c r="B452" s="119">
        <v>449</v>
      </c>
      <c r="C452" s="128"/>
      <c r="D452" s="94"/>
      <c r="E452" s="94" t="s">
        <v>64</v>
      </c>
      <c r="F452" s="94" t="s">
        <v>64</v>
      </c>
      <c r="G452" s="94"/>
      <c r="H452" s="94"/>
      <c r="I452" s="94">
        <v>1899</v>
      </c>
      <c r="J452" s="94">
        <v>12</v>
      </c>
    </row>
    <row r="453" spans="2:10" x14ac:dyDescent="0.15">
      <c r="B453" s="119">
        <v>450</v>
      </c>
      <c r="C453" s="129"/>
      <c r="D453" s="100"/>
      <c r="E453" s="100" t="s">
        <v>64</v>
      </c>
      <c r="F453" s="100" t="s">
        <v>64</v>
      </c>
      <c r="G453" s="100"/>
      <c r="H453" s="100"/>
      <c r="I453" s="100">
        <v>1899</v>
      </c>
      <c r="J453" s="100">
        <v>12</v>
      </c>
    </row>
    <row r="454" spans="2:10" x14ac:dyDescent="0.15">
      <c r="B454" s="119">
        <v>451</v>
      </c>
      <c r="C454" s="128"/>
      <c r="D454" s="94"/>
      <c r="E454" s="94" t="s">
        <v>64</v>
      </c>
      <c r="F454" s="94" t="s">
        <v>64</v>
      </c>
      <c r="G454" s="94"/>
      <c r="H454" s="94"/>
      <c r="I454" s="94">
        <v>1899</v>
      </c>
      <c r="J454" s="94">
        <v>12</v>
      </c>
    </row>
    <row r="455" spans="2:10" x14ac:dyDescent="0.15">
      <c r="B455" s="119">
        <v>452</v>
      </c>
      <c r="C455" s="129"/>
      <c r="D455" s="100"/>
      <c r="E455" s="100" t="s">
        <v>64</v>
      </c>
      <c r="F455" s="100" t="s">
        <v>64</v>
      </c>
      <c r="G455" s="100"/>
      <c r="H455" s="100"/>
      <c r="I455" s="100">
        <v>1899</v>
      </c>
      <c r="J455" s="100">
        <v>12</v>
      </c>
    </row>
    <row r="456" spans="2:10" x14ac:dyDescent="0.15">
      <c r="B456" s="119">
        <v>453</v>
      </c>
      <c r="C456" s="128"/>
      <c r="D456" s="94"/>
      <c r="E456" s="94" t="s">
        <v>64</v>
      </c>
      <c r="F456" s="94" t="s">
        <v>64</v>
      </c>
      <c r="G456" s="94"/>
      <c r="H456" s="94"/>
      <c r="I456" s="94">
        <v>1899</v>
      </c>
      <c r="J456" s="94">
        <v>12</v>
      </c>
    </row>
    <row r="457" spans="2:10" x14ac:dyDescent="0.15">
      <c r="B457" s="119">
        <v>454</v>
      </c>
      <c r="C457" s="129"/>
      <c r="D457" s="100"/>
      <c r="E457" s="100" t="s">
        <v>64</v>
      </c>
      <c r="F457" s="100" t="s">
        <v>64</v>
      </c>
      <c r="G457" s="100"/>
      <c r="H457" s="100"/>
      <c r="I457" s="100">
        <v>1899</v>
      </c>
      <c r="J457" s="100">
        <v>12</v>
      </c>
    </row>
    <row r="458" spans="2:10" x14ac:dyDescent="0.15">
      <c r="B458" s="119">
        <v>455</v>
      </c>
      <c r="C458" s="128"/>
      <c r="D458" s="94"/>
      <c r="E458" s="94" t="s">
        <v>64</v>
      </c>
      <c r="F458" s="94" t="s">
        <v>64</v>
      </c>
      <c r="G458" s="94"/>
      <c r="H458" s="94"/>
      <c r="I458" s="94">
        <v>1899</v>
      </c>
      <c r="J458" s="94">
        <v>12</v>
      </c>
    </row>
    <row r="459" spans="2:10" x14ac:dyDescent="0.15">
      <c r="B459" s="119">
        <v>456</v>
      </c>
      <c r="C459" s="129"/>
      <c r="D459" s="100"/>
      <c r="E459" s="100" t="s">
        <v>64</v>
      </c>
      <c r="F459" s="100" t="s">
        <v>64</v>
      </c>
      <c r="G459" s="100"/>
      <c r="H459" s="100"/>
      <c r="I459" s="100">
        <v>1899</v>
      </c>
      <c r="J459" s="100">
        <v>12</v>
      </c>
    </row>
    <row r="460" spans="2:10" x14ac:dyDescent="0.15">
      <c r="B460" s="119">
        <v>457</v>
      </c>
      <c r="C460" s="128"/>
      <c r="D460" s="94"/>
      <c r="E460" s="94" t="s">
        <v>64</v>
      </c>
      <c r="F460" s="94" t="s">
        <v>64</v>
      </c>
      <c r="G460" s="94"/>
      <c r="H460" s="94"/>
      <c r="I460" s="94">
        <v>1899</v>
      </c>
      <c r="J460" s="94">
        <v>12</v>
      </c>
    </row>
    <row r="461" spans="2:10" x14ac:dyDescent="0.15">
      <c r="B461" s="119">
        <v>458</v>
      </c>
      <c r="C461" s="129"/>
      <c r="D461" s="100"/>
      <c r="E461" s="100" t="s">
        <v>64</v>
      </c>
      <c r="F461" s="100" t="s">
        <v>64</v>
      </c>
      <c r="G461" s="100"/>
      <c r="H461" s="100"/>
      <c r="I461" s="100">
        <v>1899</v>
      </c>
      <c r="J461" s="100">
        <v>12</v>
      </c>
    </row>
    <row r="462" spans="2:10" x14ac:dyDescent="0.15">
      <c r="B462" s="119">
        <v>459</v>
      </c>
      <c r="C462" s="128"/>
      <c r="D462" s="94"/>
      <c r="E462" s="94" t="s">
        <v>64</v>
      </c>
      <c r="F462" s="94" t="s">
        <v>64</v>
      </c>
      <c r="G462" s="94"/>
      <c r="H462" s="94"/>
      <c r="I462" s="94">
        <v>1899</v>
      </c>
      <c r="J462" s="94">
        <v>12</v>
      </c>
    </row>
    <row r="463" spans="2:10" x14ac:dyDescent="0.15">
      <c r="B463" s="119">
        <v>460</v>
      </c>
      <c r="C463" s="129"/>
      <c r="D463" s="100"/>
      <c r="E463" s="100" t="s">
        <v>64</v>
      </c>
      <c r="F463" s="100" t="s">
        <v>64</v>
      </c>
      <c r="G463" s="100"/>
      <c r="H463" s="100"/>
      <c r="I463" s="100">
        <v>1899</v>
      </c>
      <c r="J463" s="100">
        <v>12</v>
      </c>
    </row>
    <row r="464" spans="2:10" x14ac:dyDescent="0.15">
      <c r="B464" s="119">
        <v>461</v>
      </c>
      <c r="C464" s="128"/>
      <c r="D464" s="94"/>
      <c r="E464" s="94" t="s">
        <v>64</v>
      </c>
      <c r="F464" s="94" t="s">
        <v>64</v>
      </c>
      <c r="G464" s="94"/>
      <c r="H464" s="94"/>
      <c r="I464" s="94">
        <v>1899</v>
      </c>
      <c r="J464" s="94">
        <v>12</v>
      </c>
    </row>
    <row r="465" spans="2:10" x14ac:dyDescent="0.15">
      <c r="B465" s="119">
        <v>462</v>
      </c>
      <c r="C465" s="129"/>
      <c r="D465" s="100"/>
      <c r="E465" s="100" t="s">
        <v>64</v>
      </c>
      <c r="F465" s="100" t="s">
        <v>64</v>
      </c>
      <c r="G465" s="100"/>
      <c r="H465" s="100"/>
      <c r="I465" s="100">
        <v>1899</v>
      </c>
      <c r="J465" s="100">
        <v>12</v>
      </c>
    </row>
    <row r="466" spans="2:10" x14ac:dyDescent="0.15">
      <c r="B466" s="119">
        <v>463</v>
      </c>
      <c r="C466" s="128"/>
      <c r="D466" s="94"/>
      <c r="E466" s="94" t="s">
        <v>64</v>
      </c>
      <c r="F466" s="94" t="s">
        <v>64</v>
      </c>
      <c r="G466" s="94"/>
      <c r="H466" s="94"/>
      <c r="I466" s="94">
        <v>1899</v>
      </c>
      <c r="J466" s="94">
        <v>12</v>
      </c>
    </row>
    <row r="467" spans="2:10" x14ac:dyDescent="0.15">
      <c r="B467" s="119">
        <v>464</v>
      </c>
      <c r="C467" s="129"/>
      <c r="D467" s="100"/>
      <c r="E467" s="100" t="s">
        <v>64</v>
      </c>
      <c r="F467" s="100" t="s">
        <v>64</v>
      </c>
      <c r="G467" s="100"/>
      <c r="H467" s="100"/>
      <c r="I467" s="100">
        <v>1899</v>
      </c>
      <c r="J467" s="100">
        <v>12</v>
      </c>
    </row>
    <row r="468" spans="2:10" x14ac:dyDescent="0.15">
      <c r="B468" s="119">
        <v>465</v>
      </c>
      <c r="C468" s="128"/>
      <c r="D468" s="94"/>
      <c r="E468" s="94" t="s">
        <v>64</v>
      </c>
      <c r="F468" s="94" t="s">
        <v>64</v>
      </c>
      <c r="G468" s="94"/>
      <c r="H468" s="94"/>
      <c r="I468" s="94">
        <v>1899</v>
      </c>
      <c r="J468" s="94">
        <v>12</v>
      </c>
    </row>
    <row r="469" spans="2:10" x14ac:dyDescent="0.15">
      <c r="B469" s="119">
        <v>466</v>
      </c>
      <c r="C469" s="129"/>
      <c r="D469" s="100"/>
      <c r="E469" s="100" t="s">
        <v>64</v>
      </c>
      <c r="F469" s="100" t="s">
        <v>64</v>
      </c>
      <c r="G469" s="100"/>
      <c r="H469" s="100"/>
      <c r="I469" s="100">
        <v>1899</v>
      </c>
      <c r="J469" s="100">
        <v>12</v>
      </c>
    </row>
    <row r="470" spans="2:10" x14ac:dyDescent="0.15">
      <c r="B470" s="119">
        <v>467</v>
      </c>
      <c r="C470" s="128"/>
      <c r="D470" s="94"/>
      <c r="E470" s="94" t="s">
        <v>64</v>
      </c>
      <c r="F470" s="94" t="s">
        <v>64</v>
      </c>
      <c r="G470" s="94"/>
      <c r="H470" s="94"/>
      <c r="I470" s="94">
        <v>1899</v>
      </c>
      <c r="J470" s="94">
        <v>12</v>
      </c>
    </row>
    <row r="471" spans="2:10" x14ac:dyDescent="0.15">
      <c r="B471" s="119">
        <v>468</v>
      </c>
      <c r="C471" s="129"/>
      <c r="D471" s="100"/>
      <c r="E471" s="100" t="s">
        <v>64</v>
      </c>
      <c r="F471" s="100" t="s">
        <v>64</v>
      </c>
      <c r="G471" s="100"/>
      <c r="H471" s="100"/>
      <c r="I471" s="100">
        <v>1899</v>
      </c>
      <c r="J471" s="100">
        <v>12</v>
      </c>
    </row>
    <row r="472" spans="2:10" x14ac:dyDescent="0.15">
      <c r="B472" s="119">
        <v>469</v>
      </c>
      <c r="C472" s="128"/>
      <c r="D472" s="94"/>
      <c r="E472" s="94" t="s">
        <v>64</v>
      </c>
      <c r="F472" s="94" t="s">
        <v>64</v>
      </c>
      <c r="G472" s="94"/>
      <c r="H472" s="94"/>
      <c r="I472" s="94">
        <v>1899</v>
      </c>
      <c r="J472" s="94">
        <v>12</v>
      </c>
    </row>
    <row r="473" spans="2:10" x14ac:dyDescent="0.15">
      <c r="B473" s="119">
        <v>470</v>
      </c>
      <c r="C473" s="129"/>
      <c r="D473" s="100"/>
      <c r="E473" s="100" t="s">
        <v>64</v>
      </c>
      <c r="F473" s="100" t="s">
        <v>64</v>
      </c>
      <c r="G473" s="100"/>
      <c r="H473" s="100"/>
      <c r="I473" s="100">
        <v>1899</v>
      </c>
      <c r="J473" s="100">
        <v>12</v>
      </c>
    </row>
    <row r="474" spans="2:10" x14ac:dyDescent="0.15">
      <c r="B474" s="119">
        <v>471</v>
      </c>
      <c r="C474" s="128"/>
      <c r="D474" s="94"/>
      <c r="E474" s="94" t="s">
        <v>64</v>
      </c>
      <c r="F474" s="94" t="s">
        <v>64</v>
      </c>
      <c r="G474" s="94"/>
      <c r="H474" s="94"/>
      <c r="I474" s="94">
        <v>1899</v>
      </c>
      <c r="J474" s="94">
        <v>12</v>
      </c>
    </row>
    <row r="475" spans="2:10" x14ac:dyDescent="0.15">
      <c r="B475" s="119">
        <v>472</v>
      </c>
      <c r="C475" s="129"/>
      <c r="D475" s="100"/>
      <c r="E475" s="100" t="s">
        <v>64</v>
      </c>
      <c r="F475" s="100" t="s">
        <v>64</v>
      </c>
      <c r="G475" s="100"/>
      <c r="H475" s="100"/>
      <c r="I475" s="100">
        <v>1899</v>
      </c>
      <c r="J475" s="100">
        <v>12</v>
      </c>
    </row>
    <row r="476" spans="2:10" x14ac:dyDescent="0.15">
      <c r="B476" s="119">
        <v>473</v>
      </c>
      <c r="C476" s="128"/>
      <c r="D476" s="94"/>
      <c r="E476" s="94" t="s">
        <v>64</v>
      </c>
      <c r="F476" s="94" t="s">
        <v>64</v>
      </c>
      <c r="G476" s="94"/>
      <c r="H476" s="94"/>
      <c r="I476" s="94">
        <v>1899</v>
      </c>
      <c r="J476" s="94">
        <v>12</v>
      </c>
    </row>
    <row r="477" spans="2:10" x14ac:dyDescent="0.15">
      <c r="B477" s="119">
        <v>474</v>
      </c>
      <c r="C477" s="129"/>
      <c r="D477" s="100"/>
      <c r="E477" s="100" t="s">
        <v>64</v>
      </c>
      <c r="F477" s="100" t="s">
        <v>64</v>
      </c>
      <c r="G477" s="100"/>
      <c r="H477" s="100"/>
      <c r="I477" s="100">
        <v>1899</v>
      </c>
      <c r="J477" s="100">
        <v>12</v>
      </c>
    </row>
    <row r="478" spans="2:10" x14ac:dyDescent="0.15">
      <c r="B478" s="119">
        <v>475</v>
      </c>
      <c r="C478" s="128"/>
      <c r="D478" s="94"/>
      <c r="E478" s="94" t="s">
        <v>64</v>
      </c>
      <c r="F478" s="94" t="s">
        <v>64</v>
      </c>
      <c r="G478" s="94"/>
      <c r="H478" s="94"/>
      <c r="I478" s="94">
        <v>1899</v>
      </c>
      <c r="J478" s="94">
        <v>12</v>
      </c>
    </row>
    <row r="479" spans="2:10" x14ac:dyDescent="0.15">
      <c r="B479" s="119">
        <v>476</v>
      </c>
      <c r="C479" s="129"/>
      <c r="D479" s="100"/>
      <c r="E479" s="100" t="s">
        <v>64</v>
      </c>
      <c r="F479" s="100" t="s">
        <v>64</v>
      </c>
      <c r="G479" s="100"/>
      <c r="H479" s="100"/>
      <c r="I479" s="100">
        <v>1899</v>
      </c>
      <c r="J479" s="100">
        <v>12</v>
      </c>
    </row>
    <row r="480" spans="2:10" x14ac:dyDescent="0.15">
      <c r="B480" s="119">
        <v>477</v>
      </c>
      <c r="C480" s="128"/>
      <c r="D480" s="94"/>
      <c r="E480" s="94" t="s">
        <v>64</v>
      </c>
      <c r="F480" s="94" t="s">
        <v>64</v>
      </c>
      <c r="G480" s="94"/>
      <c r="H480" s="94"/>
      <c r="I480" s="94">
        <v>1899</v>
      </c>
      <c r="J480" s="94">
        <v>12</v>
      </c>
    </row>
    <row r="481" spans="2:10" x14ac:dyDescent="0.15">
      <c r="B481" s="119">
        <v>478</v>
      </c>
      <c r="C481" s="129"/>
      <c r="D481" s="100"/>
      <c r="E481" s="100" t="s">
        <v>64</v>
      </c>
      <c r="F481" s="100" t="s">
        <v>64</v>
      </c>
      <c r="G481" s="100"/>
      <c r="H481" s="100"/>
      <c r="I481" s="100">
        <v>1899</v>
      </c>
      <c r="J481" s="100">
        <v>12</v>
      </c>
    </row>
    <row r="482" spans="2:10" x14ac:dyDescent="0.15">
      <c r="B482" s="119">
        <v>479</v>
      </c>
      <c r="C482" s="128"/>
      <c r="D482" s="94"/>
      <c r="E482" s="94" t="s">
        <v>64</v>
      </c>
      <c r="F482" s="94" t="s">
        <v>64</v>
      </c>
      <c r="G482" s="94"/>
      <c r="H482" s="94"/>
      <c r="I482" s="94">
        <v>1899</v>
      </c>
      <c r="J482" s="94">
        <v>12</v>
      </c>
    </row>
    <row r="483" spans="2:10" x14ac:dyDescent="0.15">
      <c r="B483" s="119">
        <v>480</v>
      </c>
      <c r="C483" s="129"/>
      <c r="D483" s="100"/>
      <c r="E483" s="100" t="s">
        <v>64</v>
      </c>
      <c r="F483" s="100" t="s">
        <v>64</v>
      </c>
      <c r="G483" s="100"/>
      <c r="H483" s="100"/>
      <c r="I483" s="100">
        <v>1899</v>
      </c>
      <c r="J483" s="100">
        <v>12</v>
      </c>
    </row>
    <row r="484" spans="2:10" x14ac:dyDescent="0.15">
      <c r="B484" s="119">
        <v>481</v>
      </c>
      <c r="C484" s="128"/>
      <c r="D484" s="94"/>
      <c r="E484" s="94" t="s">
        <v>64</v>
      </c>
      <c r="F484" s="94" t="s">
        <v>64</v>
      </c>
      <c r="G484" s="94"/>
      <c r="H484" s="94"/>
      <c r="I484" s="94">
        <v>1899</v>
      </c>
      <c r="J484" s="94">
        <v>12</v>
      </c>
    </row>
    <row r="485" spans="2:10" x14ac:dyDescent="0.15">
      <c r="B485" s="119">
        <v>482</v>
      </c>
      <c r="C485" s="129"/>
      <c r="D485" s="100"/>
      <c r="E485" s="100" t="s">
        <v>64</v>
      </c>
      <c r="F485" s="100" t="s">
        <v>64</v>
      </c>
      <c r="G485" s="100"/>
      <c r="H485" s="100"/>
      <c r="I485" s="100">
        <v>1899</v>
      </c>
      <c r="J485" s="100">
        <v>12</v>
      </c>
    </row>
    <row r="486" spans="2:10" x14ac:dyDescent="0.15">
      <c r="B486" s="119">
        <v>483</v>
      </c>
      <c r="C486" s="128"/>
      <c r="D486" s="94"/>
      <c r="E486" s="94" t="s">
        <v>64</v>
      </c>
      <c r="F486" s="94" t="s">
        <v>64</v>
      </c>
      <c r="G486" s="94"/>
      <c r="H486" s="94"/>
      <c r="I486" s="94">
        <v>1899</v>
      </c>
      <c r="J486" s="94">
        <v>12</v>
      </c>
    </row>
    <row r="487" spans="2:10" x14ac:dyDescent="0.15">
      <c r="B487" s="119">
        <v>484</v>
      </c>
      <c r="C487" s="129"/>
      <c r="D487" s="100"/>
      <c r="E487" s="100" t="s">
        <v>64</v>
      </c>
      <c r="F487" s="100" t="s">
        <v>64</v>
      </c>
      <c r="G487" s="100"/>
      <c r="H487" s="100"/>
      <c r="I487" s="100">
        <v>1899</v>
      </c>
      <c r="J487" s="100">
        <v>12</v>
      </c>
    </row>
    <row r="488" spans="2:10" x14ac:dyDescent="0.15">
      <c r="B488" s="119">
        <v>485</v>
      </c>
      <c r="C488" s="128"/>
      <c r="D488" s="94"/>
      <c r="E488" s="94" t="s">
        <v>64</v>
      </c>
      <c r="F488" s="94" t="s">
        <v>64</v>
      </c>
      <c r="G488" s="94"/>
      <c r="H488" s="94"/>
      <c r="I488" s="94">
        <v>1899</v>
      </c>
      <c r="J488" s="94">
        <v>12</v>
      </c>
    </row>
    <row r="489" spans="2:10" x14ac:dyDescent="0.15">
      <c r="B489" s="119">
        <v>486</v>
      </c>
      <c r="C489" s="129"/>
      <c r="D489" s="100"/>
      <c r="E489" s="100" t="s">
        <v>64</v>
      </c>
      <c r="F489" s="100" t="s">
        <v>64</v>
      </c>
      <c r="G489" s="100"/>
      <c r="H489" s="100"/>
      <c r="I489" s="100">
        <v>1899</v>
      </c>
      <c r="J489" s="100">
        <v>12</v>
      </c>
    </row>
    <row r="490" spans="2:10" x14ac:dyDescent="0.15">
      <c r="B490" s="119">
        <v>487</v>
      </c>
      <c r="C490" s="128"/>
      <c r="D490" s="94"/>
      <c r="E490" s="94" t="s">
        <v>64</v>
      </c>
      <c r="F490" s="94" t="s">
        <v>64</v>
      </c>
      <c r="G490" s="94"/>
      <c r="H490" s="94"/>
      <c r="I490" s="94">
        <v>1899</v>
      </c>
      <c r="J490" s="94">
        <v>12</v>
      </c>
    </row>
    <row r="491" spans="2:10" x14ac:dyDescent="0.15">
      <c r="B491" s="119">
        <v>488</v>
      </c>
      <c r="C491" s="129"/>
      <c r="D491" s="100"/>
      <c r="E491" s="100" t="s">
        <v>64</v>
      </c>
      <c r="F491" s="100" t="s">
        <v>64</v>
      </c>
      <c r="G491" s="100"/>
      <c r="H491" s="100"/>
      <c r="I491" s="100">
        <v>1899</v>
      </c>
      <c r="J491" s="100">
        <v>12</v>
      </c>
    </row>
    <row r="492" spans="2:10" x14ac:dyDescent="0.15">
      <c r="B492" s="119">
        <v>489</v>
      </c>
      <c r="C492" s="128"/>
      <c r="D492" s="94"/>
      <c r="E492" s="94" t="s">
        <v>64</v>
      </c>
      <c r="F492" s="94" t="s">
        <v>64</v>
      </c>
      <c r="G492" s="94"/>
      <c r="H492" s="94"/>
      <c r="I492" s="94">
        <v>1899</v>
      </c>
      <c r="J492" s="94">
        <v>12</v>
      </c>
    </row>
    <row r="493" spans="2:10" x14ac:dyDescent="0.15">
      <c r="B493" s="119">
        <v>490</v>
      </c>
      <c r="C493" s="129"/>
      <c r="D493" s="100"/>
      <c r="E493" s="100" t="s">
        <v>64</v>
      </c>
      <c r="F493" s="100" t="s">
        <v>64</v>
      </c>
      <c r="G493" s="100"/>
      <c r="H493" s="100"/>
      <c r="I493" s="100">
        <v>1899</v>
      </c>
      <c r="J493" s="100">
        <v>12</v>
      </c>
    </row>
    <row r="494" spans="2:10" x14ac:dyDescent="0.15">
      <c r="B494" s="119">
        <v>491</v>
      </c>
      <c r="C494" s="128"/>
      <c r="D494" s="94"/>
      <c r="E494" s="94" t="s">
        <v>64</v>
      </c>
      <c r="F494" s="94" t="s">
        <v>64</v>
      </c>
      <c r="G494" s="94"/>
      <c r="H494" s="94"/>
      <c r="I494" s="94">
        <v>1899</v>
      </c>
      <c r="J494" s="94">
        <v>12</v>
      </c>
    </row>
    <row r="495" spans="2:10" x14ac:dyDescent="0.15">
      <c r="B495" s="119">
        <v>492</v>
      </c>
      <c r="C495" s="129"/>
      <c r="D495" s="100"/>
      <c r="E495" s="100" t="s">
        <v>64</v>
      </c>
      <c r="F495" s="100" t="s">
        <v>64</v>
      </c>
      <c r="G495" s="100"/>
      <c r="H495" s="100"/>
      <c r="I495" s="100">
        <v>1899</v>
      </c>
      <c r="J495" s="100">
        <v>12</v>
      </c>
    </row>
    <row r="496" spans="2:10" x14ac:dyDescent="0.15">
      <c r="B496" s="119">
        <v>493</v>
      </c>
      <c r="C496" s="128"/>
      <c r="D496" s="94"/>
      <c r="E496" s="94" t="s">
        <v>64</v>
      </c>
      <c r="F496" s="94" t="s">
        <v>64</v>
      </c>
      <c r="G496" s="94"/>
      <c r="H496" s="94"/>
      <c r="I496" s="94">
        <v>1899</v>
      </c>
      <c r="J496" s="94">
        <v>12</v>
      </c>
    </row>
    <row r="497" spans="2:10" x14ac:dyDescent="0.15">
      <c r="B497" s="119">
        <v>494</v>
      </c>
      <c r="C497" s="129"/>
      <c r="D497" s="100"/>
      <c r="E497" s="100" t="s">
        <v>64</v>
      </c>
      <c r="F497" s="100" t="s">
        <v>64</v>
      </c>
      <c r="G497" s="100"/>
      <c r="H497" s="100"/>
      <c r="I497" s="100">
        <v>1899</v>
      </c>
      <c r="J497" s="100">
        <v>12</v>
      </c>
    </row>
    <row r="498" spans="2:10" x14ac:dyDescent="0.15">
      <c r="B498" s="119">
        <v>495</v>
      </c>
      <c r="C498" s="128"/>
      <c r="D498" s="94"/>
      <c r="E498" s="94" t="s">
        <v>64</v>
      </c>
      <c r="F498" s="94" t="s">
        <v>64</v>
      </c>
      <c r="G498" s="94"/>
      <c r="H498" s="94"/>
      <c r="I498" s="94">
        <v>1899</v>
      </c>
      <c r="J498" s="94">
        <v>12</v>
      </c>
    </row>
    <row r="499" spans="2:10" x14ac:dyDescent="0.15">
      <c r="B499" s="119">
        <v>496</v>
      </c>
      <c r="C499" s="129"/>
      <c r="D499" s="100"/>
      <c r="E499" s="100" t="s">
        <v>64</v>
      </c>
      <c r="F499" s="100" t="s">
        <v>64</v>
      </c>
      <c r="G499" s="100"/>
      <c r="H499" s="100"/>
      <c r="I499" s="100">
        <v>1899</v>
      </c>
      <c r="J499" s="100">
        <v>12</v>
      </c>
    </row>
    <row r="500" spans="2:10" x14ac:dyDescent="0.15">
      <c r="B500" s="119">
        <v>497</v>
      </c>
      <c r="C500" s="128"/>
      <c r="D500" s="94"/>
      <c r="E500" s="94" t="s">
        <v>64</v>
      </c>
      <c r="F500" s="94" t="s">
        <v>64</v>
      </c>
      <c r="G500" s="94"/>
      <c r="H500" s="94"/>
      <c r="I500" s="94">
        <v>1899</v>
      </c>
      <c r="J500" s="94">
        <v>12</v>
      </c>
    </row>
    <row r="501" spans="2:10" x14ac:dyDescent="0.15">
      <c r="B501" s="119">
        <v>498</v>
      </c>
      <c r="C501" s="129"/>
      <c r="D501" s="100"/>
      <c r="E501" s="100" t="s">
        <v>64</v>
      </c>
      <c r="F501" s="100" t="s">
        <v>64</v>
      </c>
      <c r="G501" s="100"/>
      <c r="H501" s="100"/>
      <c r="I501" s="100">
        <v>1899</v>
      </c>
      <c r="J501" s="100">
        <v>12</v>
      </c>
    </row>
    <row r="502" spans="2:10" x14ac:dyDescent="0.15">
      <c r="B502" s="119">
        <v>499</v>
      </c>
      <c r="C502" s="128"/>
      <c r="D502" s="94"/>
      <c r="E502" s="94" t="s">
        <v>64</v>
      </c>
      <c r="F502" s="94" t="s">
        <v>64</v>
      </c>
      <c r="G502" s="94"/>
      <c r="H502" s="94"/>
      <c r="I502" s="94">
        <v>1899</v>
      </c>
      <c r="J502" s="94">
        <v>12</v>
      </c>
    </row>
    <row r="503" spans="2:10" x14ac:dyDescent="0.15">
      <c r="B503" s="119">
        <v>500</v>
      </c>
      <c r="C503" s="129"/>
      <c r="D503" s="100"/>
      <c r="E503" s="100" t="s">
        <v>64</v>
      </c>
      <c r="F503" s="100" t="s">
        <v>64</v>
      </c>
      <c r="G503" s="100"/>
      <c r="H503" s="100"/>
      <c r="I503" s="100">
        <v>1899</v>
      </c>
      <c r="J503" s="100">
        <v>12</v>
      </c>
    </row>
    <row r="504" spans="2:10" x14ac:dyDescent="0.15">
      <c r="B504" s="119">
        <v>501</v>
      </c>
      <c r="C504" s="128"/>
      <c r="D504" s="94"/>
      <c r="E504" s="94" t="s">
        <v>64</v>
      </c>
      <c r="F504" s="94" t="s">
        <v>64</v>
      </c>
      <c r="G504" s="94"/>
      <c r="H504" s="94"/>
      <c r="I504" s="94">
        <v>1899</v>
      </c>
      <c r="J504" s="94">
        <v>12</v>
      </c>
    </row>
    <row r="505" spans="2:10" x14ac:dyDescent="0.15">
      <c r="B505" s="119">
        <v>502</v>
      </c>
      <c r="C505" s="129"/>
      <c r="D505" s="100"/>
      <c r="E505" s="100" t="s">
        <v>64</v>
      </c>
      <c r="F505" s="100" t="s">
        <v>64</v>
      </c>
      <c r="G505" s="100"/>
      <c r="H505" s="100"/>
      <c r="I505" s="100">
        <v>1899</v>
      </c>
      <c r="J505" s="100">
        <v>12</v>
      </c>
    </row>
    <row r="506" spans="2:10" x14ac:dyDescent="0.15">
      <c r="B506" s="119">
        <v>503</v>
      </c>
      <c r="C506" s="128"/>
      <c r="D506" s="94"/>
      <c r="E506" s="94" t="s">
        <v>64</v>
      </c>
      <c r="F506" s="94" t="s">
        <v>64</v>
      </c>
      <c r="G506" s="94"/>
      <c r="H506" s="94"/>
      <c r="I506" s="94">
        <v>1899</v>
      </c>
      <c r="J506" s="94">
        <v>12</v>
      </c>
    </row>
    <row r="507" spans="2:10" x14ac:dyDescent="0.15">
      <c r="B507" s="119">
        <v>504</v>
      </c>
      <c r="C507" s="129"/>
      <c r="D507" s="100"/>
      <c r="E507" s="100" t="s">
        <v>64</v>
      </c>
      <c r="F507" s="100" t="s">
        <v>64</v>
      </c>
      <c r="G507" s="100"/>
      <c r="H507" s="100"/>
      <c r="I507" s="100">
        <v>1899</v>
      </c>
      <c r="J507" s="100">
        <v>12</v>
      </c>
    </row>
    <row r="508" spans="2:10" x14ac:dyDescent="0.15">
      <c r="B508" s="119">
        <v>505</v>
      </c>
      <c r="C508" s="128"/>
      <c r="D508" s="94"/>
      <c r="E508" s="94" t="s">
        <v>64</v>
      </c>
      <c r="F508" s="94" t="s">
        <v>64</v>
      </c>
      <c r="G508" s="94"/>
      <c r="H508" s="94"/>
      <c r="I508" s="94">
        <v>1899</v>
      </c>
      <c r="J508" s="94">
        <v>12</v>
      </c>
    </row>
    <row r="509" spans="2:10" x14ac:dyDescent="0.15">
      <c r="B509" s="119">
        <v>506</v>
      </c>
      <c r="C509" s="129"/>
      <c r="D509" s="100"/>
      <c r="E509" s="100" t="s">
        <v>64</v>
      </c>
      <c r="F509" s="100" t="s">
        <v>64</v>
      </c>
      <c r="G509" s="100"/>
      <c r="H509" s="100"/>
      <c r="I509" s="100">
        <v>1899</v>
      </c>
      <c r="J509" s="100">
        <v>12</v>
      </c>
    </row>
    <row r="510" spans="2:10" x14ac:dyDescent="0.15">
      <c r="B510" s="119">
        <v>507</v>
      </c>
      <c r="C510" s="128"/>
      <c r="D510" s="94"/>
      <c r="E510" s="94" t="s">
        <v>64</v>
      </c>
      <c r="F510" s="94" t="s">
        <v>64</v>
      </c>
      <c r="G510" s="94"/>
      <c r="H510" s="94"/>
      <c r="I510" s="94">
        <v>1899</v>
      </c>
      <c r="J510" s="94">
        <v>12</v>
      </c>
    </row>
    <row r="511" spans="2:10" x14ac:dyDescent="0.15">
      <c r="B511" s="119">
        <v>508</v>
      </c>
      <c r="C511" s="129"/>
      <c r="D511" s="100"/>
      <c r="E511" s="100" t="s">
        <v>64</v>
      </c>
      <c r="F511" s="100" t="s">
        <v>64</v>
      </c>
      <c r="G511" s="100"/>
      <c r="H511" s="100"/>
      <c r="I511" s="100">
        <v>1899</v>
      </c>
      <c r="J511" s="100">
        <v>12</v>
      </c>
    </row>
    <row r="512" spans="2:10" x14ac:dyDescent="0.15">
      <c r="B512" s="119">
        <v>509</v>
      </c>
      <c r="C512" s="128"/>
      <c r="D512" s="94"/>
      <c r="E512" s="94" t="s">
        <v>64</v>
      </c>
      <c r="F512" s="94" t="s">
        <v>64</v>
      </c>
      <c r="G512" s="94"/>
      <c r="H512" s="94"/>
      <c r="I512" s="94">
        <v>1899</v>
      </c>
      <c r="J512" s="94">
        <v>12</v>
      </c>
    </row>
    <row r="513" spans="2:10" x14ac:dyDescent="0.15">
      <c r="B513" s="119">
        <v>510</v>
      </c>
      <c r="C513" s="129"/>
      <c r="D513" s="100"/>
      <c r="E513" s="100" t="s">
        <v>64</v>
      </c>
      <c r="F513" s="100" t="s">
        <v>64</v>
      </c>
      <c r="G513" s="100"/>
      <c r="H513" s="100"/>
      <c r="I513" s="100">
        <v>1899</v>
      </c>
      <c r="J513" s="100">
        <v>12</v>
      </c>
    </row>
    <row r="514" spans="2:10" x14ac:dyDescent="0.15">
      <c r="B514" s="119">
        <v>511</v>
      </c>
      <c r="C514" s="128"/>
      <c r="D514" s="94"/>
      <c r="E514" s="94" t="s">
        <v>64</v>
      </c>
      <c r="F514" s="94" t="s">
        <v>64</v>
      </c>
      <c r="G514" s="94"/>
      <c r="H514" s="94"/>
      <c r="I514" s="94">
        <v>1899</v>
      </c>
      <c r="J514" s="94">
        <v>12</v>
      </c>
    </row>
    <row r="515" spans="2:10" x14ac:dyDescent="0.15">
      <c r="B515" s="119">
        <v>512</v>
      </c>
      <c r="C515" s="129"/>
      <c r="D515" s="100"/>
      <c r="E515" s="100" t="s">
        <v>64</v>
      </c>
      <c r="F515" s="100" t="s">
        <v>64</v>
      </c>
      <c r="G515" s="100"/>
      <c r="H515" s="100"/>
      <c r="I515" s="100">
        <v>1899</v>
      </c>
      <c r="J515" s="100">
        <v>12</v>
      </c>
    </row>
    <row r="516" spans="2:10" x14ac:dyDescent="0.15">
      <c r="B516" s="119">
        <v>513</v>
      </c>
      <c r="C516" s="128"/>
      <c r="D516" s="94"/>
      <c r="E516" s="94" t="s">
        <v>64</v>
      </c>
      <c r="F516" s="94" t="s">
        <v>64</v>
      </c>
      <c r="G516" s="94"/>
      <c r="H516" s="94"/>
      <c r="I516" s="94">
        <v>1899</v>
      </c>
      <c r="J516" s="94">
        <v>12</v>
      </c>
    </row>
    <row r="517" spans="2:10" x14ac:dyDescent="0.15">
      <c r="B517" s="119">
        <v>514</v>
      </c>
      <c r="C517" s="129"/>
      <c r="D517" s="100"/>
      <c r="E517" s="100" t="s">
        <v>64</v>
      </c>
      <c r="F517" s="100" t="s">
        <v>64</v>
      </c>
      <c r="G517" s="100"/>
      <c r="H517" s="100"/>
      <c r="I517" s="100">
        <v>1899</v>
      </c>
      <c r="J517" s="100">
        <v>12</v>
      </c>
    </row>
    <row r="518" spans="2:10" x14ac:dyDescent="0.15">
      <c r="B518" s="119">
        <v>515</v>
      </c>
      <c r="C518" s="128"/>
      <c r="D518" s="94"/>
      <c r="E518" s="94" t="s">
        <v>64</v>
      </c>
      <c r="F518" s="94" t="s">
        <v>64</v>
      </c>
      <c r="G518" s="94"/>
      <c r="H518" s="94"/>
      <c r="I518" s="94">
        <v>1899</v>
      </c>
      <c r="J518" s="94">
        <v>12</v>
      </c>
    </row>
    <row r="519" spans="2:10" x14ac:dyDescent="0.15">
      <c r="B519" s="119">
        <v>516</v>
      </c>
      <c r="C519" s="129"/>
      <c r="D519" s="100"/>
      <c r="E519" s="100" t="s">
        <v>64</v>
      </c>
      <c r="F519" s="100" t="s">
        <v>64</v>
      </c>
      <c r="G519" s="100"/>
      <c r="H519" s="100"/>
      <c r="I519" s="100">
        <v>1899</v>
      </c>
      <c r="J519" s="100">
        <v>12</v>
      </c>
    </row>
    <row r="520" spans="2:10" x14ac:dyDescent="0.15">
      <c r="B520" s="119">
        <v>517</v>
      </c>
      <c r="C520" s="128"/>
      <c r="D520" s="94"/>
      <c r="E520" s="94" t="s">
        <v>64</v>
      </c>
      <c r="F520" s="94" t="s">
        <v>64</v>
      </c>
      <c r="G520" s="94"/>
      <c r="H520" s="94"/>
      <c r="I520" s="94">
        <v>1899</v>
      </c>
      <c r="J520" s="94">
        <v>12</v>
      </c>
    </row>
    <row r="521" spans="2:10" x14ac:dyDescent="0.15">
      <c r="B521" s="119">
        <v>518</v>
      </c>
      <c r="C521" s="129"/>
      <c r="D521" s="100"/>
      <c r="E521" s="100" t="s">
        <v>64</v>
      </c>
      <c r="F521" s="100" t="s">
        <v>64</v>
      </c>
      <c r="G521" s="100"/>
      <c r="H521" s="100"/>
      <c r="I521" s="100">
        <v>1899</v>
      </c>
      <c r="J521" s="100">
        <v>12</v>
      </c>
    </row>
    <row r="522" spans="2:10" x14ac:dyDescent="0.15">
      <c r="B522" s="119">
        <v>519</v>
      </c>
      <c r="C522" s="128"/>
      <c r="D522" s="94"/>
      <c r="E522" s="94" t="s">
        <v>64</v>
      </c>
      <c r="F522" s="94" t="s">
        <v>64</v>
      </c>
      <c r="G522" s="94"/>
      <c r="H522" s="94"/>
      <c r="I522" s="94">
        <v>1899</v>
      </c>
      <c r="J522" s="94">
        <v>12</v>
      </c>
    </row>
    <row r="523" spans="2:10" x14ac:dyDescent="0.15">
      <c r="B523" s="119">
        <v>520</v>
      </c>
      <c r="C523" s="129"/>
      <c r="D523" s="100"/>
      <c r="E523" s="100" t="s">
        <v>64</v>
      </c>
      <c r="F523" s="100" t="s">
        <v>64</v>
      </c>
      <c r="G523" s="100"/>
      <c r="H523" s="100"/>
      <c r="I523" s="100">
        <v>1899</v>
      </c>
      <c r="J523" s="100">
        <v>12</v>
      </c>
    </row>
    <row r="524" spans="2:10" x14ac:dyDescent="0.15">
      <c r="B524" s="119">
        <v>521</v>
      </c>
      <c r="C524" s="128"/>
      <c r="D524" s="94"/>
      <c r="E524" s="94" t="s">
        <v>64</v>
      </c>
      <c r="F524" s="94" t="s">
        <v>64</v>
      </c>
      <c r="G524" s="94"/>
      <c r="H524" s="94"/>
      <c r="I524" s="94">
        <v>1899</v>
      </c>
      <c r="J524" s="94">
        <v>12</v>
      </c>
    </row>
    <row r="525" spans="2:10" x14ac:dyDescent="0.15">
      <c r="B525" s="119">
        <v>522</v>
      </c>
      <c r="C525" s="129"/>
      <c r="D525" s="100"/>
      <c r="E525" s="100" t="s">
        <v>64</v>
      </c>
      <c r="F525" s="100" t="s">
        <v>64</v>
      </c>
      <c r="G525" s="100"/>
      <c r="H525" s="100"/>
      <c r="I525" s="100">
        <v>1899</v>
      </c>
      <c r="J525" s="100">
        <v>12</v>
      </c>
    </row>
    <row r="526" spans="2:10" x14ac:dyDescent="0.15">
      <c r="B526" s="119">
        <v>523</v>
      </c>
      <c r="C526" s="128"/>
      <c r="D526" s="94"/>
      <c r="E526" s="94" t="s">
        <v>64</v>
      </c>
      <c r="F526" s="94" t="s">
        <v>64</v>
      </c>
      <c r="G526" s="94"/>
      <c r="H526" s="94"/>
      <c r="I526" s="94">
        <v>1899</v>
      </c>
      <c r="J526" s="94">
        <v>12</v>
      </c>
    </row>
    <row r="527" spans="2:10" x14ac:dyDescent="0.15">
      <c r="B527" s="119">
        <v>524</v>
      </c>
      <c r="C527" s="129"/>
      <c r="D527" s="100"/>
      <c r="E527" s="100" t="s">
        <v>64</v>
      </c>
      <c r="F527" s="100" t="s">
        <v>64</v>
      </c>
      <c r="G527" s="100"/>
      <c r="H527" s="100"/>
      <c r="I527" s="100">
        <v>1899</v>
      </c>
      <c r="J527" s="100">
        <v>12</v>
      </c>
    </row>
    <row r="528" spans="2:10" x14ac:dyDescent="0.15">
      <c r="B528" s="119">
        <v>525</v>
      </c>
      <c r="C528" s="128"/>
      <c r="D528" s="94"/>
      <c r="E528" s="94" t="s">
        <v>64</v>
      </c>
      <c r="F528" s="94" t="s">
        <v>64</v>
      </c>
      <c r="G528" s="94"/>
      <c r="H528" s="94"/>
      <c r="I528" s="94">
        <v>1899</v>
      </c>
      <c r="J528" s="94">
        <v>12</v>
      </c>
    </row>
    <row r="529" spans="2:10" x14ac:dyDescent="0.15">
      <c r="B529" s="119">
        <v>526</v>
      </c>
      <c r="C529" s="129"/>
      <c r="D529" s="100"/>
      <c r="E529" s="100" t="s">
        <v>64</v>
      </c>
      <c r="F529" s="100" t="s">
        <v>64</v>
      </c>
      <c r="G529" s="100"/>
      <c r="H529" s="100"/>
      <c r="I529" s="100">
        <v>1899</v>
      </c>
      <c r="J529" s="100">
        <v>12</v>
      </c>
    </row>
    <row r="530" spans="2:10" x14ac:dyDescent="0.15">
      <c r="B530" s="119">
        <v>527</v>
      </c>
      <c r="C530" s="128"/>
      <c r="D530" s="94"/>
      <c r="E530" s="94" t="s">
        <v>64</v>
      </c>
      <c r="F530" s="94" t="s">
        <v>64</v>
      </c>
      <c r="G530" s="94"/>
      <c r="H530" s="94"/>
      <c r="I530" s="94">
        <v>1899</v>
      </c>
      <c r="J530" s="94">
        <v>12</v>
      </c>
    </row>
    <row r="531" spans="2:10" x14ac:dyDescent="0.15">
      <c r="B531" s="119">
        <v>528</v>
      </c>
      <c r="C531" s="129"/>
      <c r="D531" s="100"/>
      <c r="E531" s="100" t="s">
        <v>64</v>
      </c>
      <c r="F531" s="100" t="s">
        <v>64</v>
      </c>
      <c r="G531" s="100"/>
      <c r="H531" s="100"/>
      <c r="I531" s="100">
        <v>1899</v>
      </c>
      <c r="J531" s="100">
        <v>12</v>
      </c>
    </row>
    <row r="532" spans="2:10" x14ac:dyDescent="0.15">
      <c r="B532" s="119">
        <v>529</v>
      </c>
      <c r="C532" s="128"/>
      <c r="D532" s="94"/>
      <c r="E532" s="94" t="s">
        <v>64</v>
      </c>
      <c r="F532" s="94" t="s">
        <v>64</v>
      </c>
      <c r="G532" s="94"/>
      <c r="H532" s="94"/>
      <c r="I532" s="94">
        <v>1899</v>
      </c>
      <c r="J532" s="94">
        <v>12</v>
      </c>
    </row>
    <row r="533" spans="2:10" x14ac:dyDescent="0.15">
      <c r="B533" s="119">
        <v>530</v>
      </c>
      <c r="C533" s="129"/>
      <c r="D533" s="100"/>
      <c r="E533" s="100" t="s">
        <v>64</v>
      </c>
      <c r="F533" s="100" t="s">
        <v>64</v>
      </c>
      <c r="G533" s="100"/>
      <c r="H533" s="100"/>
      <c r="I533" s="100">
        <v>1899</v>
      </c>
      <c r="J533" s="100">
        <v>12</v>
      </c>
    </row>
    <row r="534" spans="2:10" x14ac:dyDescent="0.15">
      <c r="B534" s="119">
        <v>531</v>
      </c>
      <c r="C534" s="128"/>
      <c r="D534" s="94"/>
      <c r="E534" s="94" t="s">
        <v>64</v>
      </c>
      <c r="F534" s="94" t="s">
        <v>64</v>
      </c>
      <c r="G534" s="94"/>
      <c r="H534" s="94"/>
      <c r="I534" s="94">
        <v>1899</v>
      </c>
      <c r="J534" s="94">
        <v>12</v>
      </c>
    </row>
    <row r="535" spans="2:10" x14ac:dyDescent="0.15">
      <c r="B535" s="119">
        <v>532</v>
      </c>
      <c r="C535" s="129"/>
      <c r="D535" s="100"/>
      <c r="E535" s="100" t="s">
        <v>64</v>
      </c>
      <c r="F535" s="100" t="s">
        <v>64</v>
      </c>
      <c r="G535" s="100"/>
      <c r="H535" s="100"/>
      <c r="I535" s="100">
        <v>1899</v>
      </c>
      <c r="J535" s="100">
        <v>12</v>
      </c>
    </row>
    <row r="536" spans="2:10" x14ac:dyDescent="0.15">
      <c r="B536" s="119">
        <v>533</v>
      </c>
      <c r="C536" s="128"/>
      <c r="D536" s="94"/>
      <c r="E536" s="94" t="s">
        <v>64</v>
      </c>
      <c r="F536" s="94" t="s">
        <v>64</v>
      </c>
      <c r="G536" s="94"/>
      <c r="H536" s="94"/>
      <c r="I536" s="94">
        <v>1899</v>
      </c>
      <c r="J536" s="94">
        <v>12</v>
      </c>
    </row>
    <row r="537" spans="2:10" x14ac:dyDescent="0.15">
      <c r="B537" s="119">
        <v>534</v>
      </c>
      <c r="C537" s="129"/>
      <c r="D537" s="100"/>
      <c r="E537" s="100" t="s">
        <v>64</v>
      </c>
      <c r="F537" s="100" t="s">
        <v>64</v>
      </c>
      <c r="G537" s="100"/>
      <c r="H537" s="100"/>
      <c r="I537" s="100">
        <v>1899</v>
      </c>
      <c r="J537" s="100">
        <v>12</v>
      </c>
    </row>
    <row r="538" spans="2:10" x14ac:dyDescent="0.15">
      <c r="B538" s="119">
        <v>535</v>
      </c>
      <c r="C538" s="128"/>
      <c r="D538" s="94"/>
      <c r="E538" s="94" t="s">
        <v>64</v>
      </c>
      <c r="F538" s="94" t="s">
        <v>64</v>
      </c>
      <c r="G538" s="94"/>
      <c r="H538" s="94"/>
      <c r="I538" s="94">
        <v>1899</v>
      </c>
      <c r="J538" s="94">
        <v>12</v>
      </c>
    </row>
    <row r="539" spans="2:10" x14ac:dyDescent="0.15">
      <c r="B539" s="119">
        <v>536</v>
      </c>
      <c r="C539" s="129"/>
      <c r="D539" s="100"/>
      <c r="E539" s="100" t="s">
        <v>64</v>
      </c>
      <c r="F539" s="100" t="s">
        <v>64</v>
      </c>
      <c r="G539" s="100"/>
      <c r="H539" s="100"/>
      <c r="I539" s="100">
        <v>1899</v>
      </c>
      <c r="J539" s="100">
        <v>12</v>
      </c>
    </row>
    <row r="540" spans="2:10" x14ac:dyDescent="0.15">
      <c r="B540" s="119">
        <v>537</v>
      </c>
      <c r="C540" s="128"/>
      <c r="D540" s="94"/>
      <c r="E540" s="94" t="s">
        <v>64</v>
      </c>
      <c r="F540" s="94" t="s">
        <v>64</v>
      </c>
      <c r="G540" s="94"/>
      <c r="H540" s="94"/>
      <c r="I540" s="94">
        <v>1899</v>
      </c>
      <c r="J540" s="94">
        <v>12</v>
      </c>
    </row>
    <row r="541" spans="2:10" x14ac:dyDescent="0.15">
      <c r="B541" s="119">
        <v>538</v>
      </c>
      <c r="C541" s="129"/>
      <c r="D541" s="100"/>
      <c r="E541" s="100" t="s">
        <v>64</v>
      </c>
      <c r="F541" s="100" t="s">
        <v>64</v>
      </c>
      <c r="G541" s="100"/>
      <c r="H541" s="100"/>
      <c r="I541" s="100">
        <v>1899</v>
      </c>
      <c r="J541" s="100">
        <v>12</v>
      </c>
    </row>
    <row r="542" spans="2:10" x14ac:dyDescent="0.15">
      <c r="B542" s="119">
        <v>539</v>
      </c>
      <c r="C542" s="128"/>
      <c r="D542" s="94"/>
      <c r="E542" s="94" t="s">
        <v>64</v>
      </c>
      <c r="F542" s="94" t="s">
        <v>64</v>
      </c>
      <c r="G542" s="94"/>
      <c r="H542" s="94"/>
      <c r="I542" s="94">
        <v>1899</v>
      </c>
      <c r="J542" s="94">
        <v>12</v>
      </c>
    </row>
    <row r="543" spans="2:10" x14ac:dyDescent="0.15">
      <c r="B543" s="119">
        <v>540</v>
      </c>
      <c r="C543" s="129"/>
      <c r="D543" s="100"/>
      <c r="E543" s="100" t="s">
        <v>64</v>
      </c>
      <c r="F543" s="100" t="s">
        <v>64</v>
      </c>
      <c r="G543" s="100"/>
      <c r="H543" s="100"/>
      <c r="I543" s="100">
        <v>1899</v>
      </c>
      <c r="J543" s="100">
        <v>12</v>
      </c>
    </row>
    <row r="544" spans="2:10" x14ac:dyDescent="0.15">
      <c r="B544" s="119">
        <v>541</v>
      </c>
      <c r="C544" s="128"/>
      <c r="D544" s="94"/>
      <c r="E544" s="94" t="s">
        <v>64</v>
      </c>
      <c r="F544" s="94" t="s">
        <v>64</v>
      </c>
      <c r="G544" s="94"/>
      <c r="H544" s="94"/>
      <c r="I544" s="94">
        <v>1899</v>
      </c>
      <c r="J544" s="94">
        <v>12</v>
      </c>
    </row>
    <row r="545" spans="2:10" x14ac:dyDescent="0.15">
      <c r="B545" s="119">
        <v>542</v>
      </c>
      <c r="C545" s="129"/>
      <c r="D545" s="100"/>
      <c r="E545" s="100" t="s">
        <v>64</v>
      </c>
      <c r="F545" s="100" t="s">
        <v>64</v>
      </c>
      <c r="G545" s="100"/>
      <c r="H545" s="100"/>
      <c r="I545" s="100">
        <v>1899</v>
      </c>
      <c r="J545" s="100">
        <v>12</v>
      </c>
    </row>
    <row r="546" spans="2:10" x14ac:dyDescent="0.15">
      <c r="B546" s="119">
        <v>543</v>
      </c>
      <c r="C546" s="128"/>
      <c r="D546" s="94"/>
      <c r="E546" s="94" t="s">
        <v>64</v>
      </c>
      <c r="F546" s="94" t="s">
        <v>64</v>
      </c>
      <c r="G546" s="94"/>
      <c r="H546" s="94"/>
      <c r="I546" s="94">
        <v>1899</v>
      </c>
      <c r="J546" s="94">
        <v>12</v>
      </c>
    </row>
    <row r="547" spans="2:10" x14ac:dyDescent="0.15">
      <c r="B547" s="119">
        <v>544</v>
      </c>
      <c r="C547" s="129"/>
      <c r="D547" s="100"/>
      <c r="E547" s="100" t="s">
        <v>64</v>
      </c>
      <c r="F547" s="100" t="s">
        <v>64</v>
      </c>
      <c r="G547" s="100"/>
      <c r="H547" s="100"/>
      <c r="I547" s="100">
        <v>1899</v>
      </c>
      <c r="J547" s="100">
        <v>12</v>
      </c>
    </row>
    <row r="548" spans="2:10" x14ac:dyDescent="0.15">
      <c r="B548" s="119">
        <v>545</v>
      </c>
      <c r="C548" s="128"/>
      <c r="D548" s="94"/>
      <c r="E548" s="94" t="s">
        <v>64</v>
      </c>
      <c r="F548" s="94" t="s">
        <v>64</v>
      </c>
      <c r="G548" s="94"/>
      <c r="H548" s="94"/>
      <c r="I548" s="94">
        <v>1899</v>
      </c>
      <c r="J548" s="94">
        <v>12</v>
      </c>
    </row>
    <row r="549" spans="2:10" x14ac:dyDescent="0.15">
      <c r="B549" s="119">
        <v>546</v>
      </c>
      <c r="C549" s="129"/>
      <c r="D549" s="100"/>
      <c r="E549" s="100" t="s">
        <v>64</v>
      </c>
      <c r="F549" s="100" t="s">
        <v>64</v>
      </c>
      <c r="G549" s="100"/>
      <c r="H549" s="100"/>
      <c r="I549" s="100">
        <v>1899</v>
      </c>
      <c r="J549" s="100">
        <v>12</v>
      </c>
    </row>
    <row r="550" spans="2:10" x14ac:dyDescent="0.15">
      <c r="B550" s="119">
        <v>547</v>
      </c>
      <c r="C550" s="128"/>
      <c r="D550" s="94"/>
      <c r="E550" s="94" t="s">
        <v>64</v>
      </c>
      <c r="F550" s="94" t="s">
        <v>64</v>
      </c>
      <c r="G550" s="94"/>
      <c r="H550" s="94"/>
      <c r="I550" s="94">
        <v>1899</v>
      </c>
      <c r="J550" s="94">
        <v>12</v>
      </c>
    </row>
    <row r="551" spans="2:10" x14ac:dyDescent="0.15">
      <c r="B551" s="119">
        <v>548</v>
      </c>
      <c r="C551" s="129"/>
      <c r="D551" s="100"/>
      <c r="E551" s="100" t="s">
        <v>64</v>
      </c>
      <c r="F551" s="100" t="s">
        <v>64</v>
      </c>
      <c r="G551" s="100"/>
      <c r="H551" s="100"/>
      <c r="I551" s="100">
        <v>1899</v>
      </c>
      <c r="J551" s="100">
        <v>12</v>
      </c>
    </row>
    <row r="552" spans="2:10" x14ac:dyDescent="0.15">
      <c r="B552" s="119">
        <v>549</v>
      </c>
      <c r="C552" s="128"/>
      <c r="D552" s="94"/>
      <c r="E552" s="94" t="s">
        <v>64</v>
      </c>
      <c r="F552" s="94" t="s">
        <v>64</v>
      </c>
      <c r="G552" s="94"/>
      <c r="H552" s="94"/>
      <c r="I552" s="94">
        <v>1899</v>
      </c>
      <c r="J552" s="94">
        <v>12</v>
      </c>
    </row>
    <row r="553" spans="2:10" x14ac:dyDescent="0.15">
      <c r="B553" s="119">
        <v>550</v>
      </c>
      <c r="C553" s="129"/>
      <c r="D553" s="100"/>
      <c r="E553" s="100" t="s">
        <v>64</v>
      </c>
      <c r="F553" s="100" t="s">
        <v>64</v>
      </c>
      <c r="G553" s="100"/>
      <c r="H553" s="100"/>
      <c r="I553" s="100">
        <v>1899</v>
      </c>
      <c r="J553" s="100">
        <v>12</v>
      </c>
    </row>
    <row r="554" spans="2:10" x14ac:dyDescent="0.15">
      <c r="B554" s="119">
        <v>551</v>
      </c>
      <c r="C554" s="128"/>
      <c r="D554" s="94"/>
      <c r="E554" s="94" t="s">
        <v>64</v>
      </c>
      <c r="F554" s="94" t="s">
        <v>64</v>
      </c>
      <c r="G554" s="94"/>
      <c r="H554" s="94"/>
      <c r="I554" s="94">
        <v>1899</v>
      </c>
      <c r="J554" s="94">
        <v>12</v>
      </c>
    </row>
    <row r="555" spans="2:10" x14ac:dyDescent="0.15">
      <c r="B555" s="119">
        <v>552</v>
      </c>
      <c r="C555" s="129"/>
      <c r="D555" s="100"/>
      <c r="E555" s="100" t="s">
        <v>64</v>
      </c>
      <c r="F555" s="100" t="s">
        <v>64</v>
      </c>
      <c r="G555" s="100"/>
      <c r="H555" s="100"/>
      <c r="I555" s="100">
        <v>1899</v>
      </c>
      <c r="J555" s="100">
        <v>12</v>
      </c>
    </row>
    <row r="556" spans="2:10" x14ac:dyDescent="0.15">
      <c r="B556" s="119">
        <v>553</v>
      </c>
      <c r="C556" s="128"/>
      <c r="D556" s="94"/>
      <c r="E556" s="94" t="s">
        <v>64</v>
      </c>
      <c r="F556" s="94" t="s">
        <v>64</v>
      </c>
      <c r="G556" s="94"/>
      <c r="H556" s="94"/>
      <c r="I556" s="94">
        <v>1899</v>
      </c>
      <c r="J556" s="94">
        <v>12</v>
      </c>
    </row>
    <row r="557" spans="2:10" x14ac:dyDescent="0.15">
      <c r="B557" s="119">
        <v>554</v>
      </c>
      <c r="C557" s="129"/>
      <c r="D557" s="100"/>
      <c r="E557" s="100" t="s">
        <v>64</v>
      </c>
      <c r="F557" s="100" t="s">
        <v>64</v>
      </c>
      <c r="G557" s="100"/>
      <c r="H557" s="100"/>
      <c r="I557" s="100">
        <v>1899</v>
      </c>
      <c r="J557" s="100">
        <v>12</v>
      </c>
    </row>
    <row r="558" spans="2:10" x14ac:dyDescent="0.15">
      <c r="B558" s="119">
        <v>555</v>
      </c>
      <c r="C558" s="128"/>
      <c r="D558" s="94"/>
      <c r="E558" s="94" t="s">
        <v>64</v>
      </c>
      <c r="F558" s="94" t="s">
        <v>64</v>
      </c>
      <c r="G558" s="94"/>
      <c r="H558" s="94"/>
      <c r="I558" s="94">
        <v>1899</v>
      </c>
      <c r="J558" s="94">
        <v>12</v>
      </c>
    </row>
    <row r="559" spans="2:10" x14ac:dyDescent="0.15">
      <c r="B559" s="119">
        <v>556</v>
      </c>
      <c r="C559" s="129"/>
      <c r="D559" s="100"/>
      <c r="E559" s="100" t="s">
        <v>64</v>
      </c>
      <c r="F559" s="100" t="s">
        <v>64</v>
      </c>
      <c r="G559" s="100"/>
      <c r="H559" s="100"/>
      <c r="I559" s="100">
        <v>1899</v>
      </c>
      <c r="J559" s="100">
        <v>12</v>
      </c>
    </row>
    <row r="560" spans="2:10" x14ac:dyDescent="0.15">
      <c r="B560" s="119">
        <v>557</v>
      </c>
      <c r="C560" s="128"/>
      <c r="D560" s="94"/>
      <c r="E560" s="94" t="s">
        <v>64</v>
      </c>
      <c r="F560" s="94" t="s">
        <v>64</v>
      </c>
      <c r="G560" s="94"/>
      <c r="H560" s="94"/>
      <c r="I560" s="94">
        <v>1899</v>
      </c>
      <c r="J560" s="94">
        <v>12</v>
      </c>
    </row>
    <row r="561" spans="2:10" x14ac:dyDescent="0.15">
      <c r="B561" s="119">
        <v>558</v>
      </c>
      <c r="C561" s="129"/>
      <c r="D561" s="100"/>
      <c r="E561" s="100" t="s">
        <v>64</v>
      </c>
      <c r="F561" s="100" t="s">
        <v>64</v>
      </c>
      <c r="G561" s="100"/>
      <c r="H561" s="100"/>
      <c r="I561" s="100">
        <v>1899</v>
      </c>
      <c r="J561" s="100">
        <v>12</v>
      </c>
    </row>
    <row r="562" spans="2:10" x14ac:dyDescent="0.15">
      <c r="B562" s="119">
        <v>559</v>
      </c>
      <c r="C562" s="128"/>
      <c r="D562" s="94"/>
      <c r="E562" s="94" t="s">
        <v>64</v>
      </c>
      <c r="F562" s="94" t="s">
        <v>64</v>
      </c>
      <c r="G562" s="94"/>
      <c r="H562" s="94"/>
      <c r="I562" s="94">
        <v>1899</v>
      </c>
      <c r="J562" s="94">
        <v>12</v>
      </c>
    </row>
    <row r="563" spans="2:10" x14ac:dyDescent="0.15">
      <c r="B563" s="119">
        <v>560</v>
      </c>
      <c r="C563" s="129"/>
      <c r="D563" s="100"/>
      <c r="E563" s="100" t="s">
        <v>64</v>
      </c>
      <c r="F563" s="100" t="s">
        <v>64</v>
      </c>
      <c r="G563" s="100"/>
      <c r="H563" s="100"/>
      <c r="I563" s="100">
        <v>1899</v>
      </c>
      <c r="J563" s="100">
        <v>12</v>
      </c>
    </row>
    <row r="564" spans="2:10" x14ac:dyDescent="0.15">
      <c r="B564" s="119">
        <v>561</v>
      </c>
      <c r="C564" s="128"/>
      <c r="D564" s="94"/>
      <c r="E564" s="94" t="s">
        <v>64</v>
      </c>
      <c r="F564" s="94" t="s">
        <v>64</v>
      </c>
      <c r="G564" s="94"/>
      <c r="H564" s="94"/>
      <c r="I564" s="94">
        <v>1899</v>
      </c>
      <c r="J564" s="94">
        <v>12</v>
      </c>
    </row>
    <row r="565" spans="2:10" x14ac:dyDescent="0.15">
      <c r="B565" s="119">
        <v>562</v>
      </c>
      <c r="C565" s="129"/>
      <c r="D565" s="100"/>
      <c r="E565" s="100" t="s">
        <v>64</v>
      </c>
      <c r="F565" s="100" t="s">
        <v>64</v>
      </c>
      <c r="G565" s="100"/>
      <c r="H565" s="100"/>
      <c r="I565" s="100">
        <v>1899</v>
      </c>
      <c r="J565" s="100">
        <v>12</v>
      </c>
    </row>
    <row r="566" spans="2:10" x14ac:dyDescent="0.15">
      <c r="B566" s="119">
        <v>563</v>
      </c>
      <c r="C566" s="128"/>
      <c r="D566" s="94"/>
      <c r="E566" s="94" t="s">
        <v>64</v>
      </c>
      <c r="F566" s="94" t="s">
        <v>64</v>
      </c>
      <c r="G566" s="94"/>
      <c r="H566" s="94"/>
      <c r="I566" s="94">
        <v>1899</v>
      </c>
      <c r="J566" s="94">
        <v>12</v>
      </c>
    </row>
    <row r="567" spans="2:10" x14ac:dyDescent="0.15">
      <c r="B567" s="119">
        <v>564</v>
      </c>
      <c r="C567" s="129"/>
      <c r="D567" s="100"/>
      <c r="E567" s="100" t="s">
        <v>64</v>
      </c>
      <c r="F567" s="100" t="s">
        <v>64</v>
      </c>
      <c r="G567" s="100"/>
      <c r="H567" s="100"/>
      <c r="I567" s="100">
        <v>1899</v>
      </c>
      <c r="J567" s="100">
        <v>12</v>
      </c>
    </row>
    <row r="568" spans="2:10" x14ac:dyDescent="0.15">
      <c r="B568" s="119">
        <v>565</v>
      </c>
      <c r="C568" s="128"/>
      <c r="D568" s="94"/>
      <c r="E568" s="94" t="s">
        <v>64</v>
      </c>
      <c r="F568" s="94" t="s">
        <v>64</v>
      </c>
      <c r="G568" s="94"/>
      <c r="H568" s="94"/>
      <c r="I568" s="94">
        <v>1899</v>
      </c>
      <c r="J568" s="94">
        <v>12</v>
      </c>
    </row>
    <row r="569" spans="2:10" x14ac:dyDescent="0.15">
      <c r="B569" s="119">
        <v>566</v>
      </c>
      <c r="C569" s="129"/>
      <c r="D569" s="100"/>
      <c r="E569" s="100" t="s">
        <v>64</v>
      </c>
      <c r="F569" s="100" t="s">
        <v>64</v>
      </c>
      <c r="G569" s="100"/>
      <c r="H569" s="100"/>
      <c r="I569" s="100">
        <v>1899</v>
      </c>
      <c r="J569" s="100">
        <v>12</v>
      </c>
    </row>
    <row r="570" spans="2:10" x14ac:dyDescent="0.15">
      <c r="B570" s="119">
        <v>567</v>
      </c>
      <c r="C570" s="128"/>
      <c r="D570" s="94"/>
      <c r="E570" s="94" t="s">
        <v>64</v>
      </c>
      <c r="F570" s="94" t="s">
        <v>64</v>
      </c>
      <c r="G570" s="94"/>
      <c r="H570" s="94"/>
      <c r="I570" s="94">
        <v>1899</v>
      </c>
      <c r="J570" s="94">
        <v>12</v>
      </c>
    </row>
    <row r="571" spans="2:10" x14ac:dyDescent="0.15">
      <c r="B571" s="119">
        <v>568</v>
      </c>
      <c r="C571" s="129"/>
      <c r="D571" s="100"/>
      <c r="E571" s="100" t="s">
        <v>64</v>
      </c>
      <c r="F571" s="100" t="s">
        <v>64</v>
      </c>
      <c r="G571" s="100"/>
      <c r="H571" s="100"/>
      <c r="I571" s="100">
        <v>1899</v>
      </c>
      <c r="J571" s="100">
        <v>12</v>
      </c>
    </row>
    <row r="572" spans="2:10" x14ac:dyDescent="0.15">
      <c r="B572" s="119">
        <v>569</v>
      </c>
      <c r="C572" s="128"/>
      <c r="D572" s="94"/>
      <c r="E572" s="94" t="s">
        <v>64</v>
      </c>
      <c r="F572" s="94" t="s">
        <v>64</v>
      </c>
      <c r="G572" s="94"/>
      <c r="H572" s="94"/>
      <c r="I572" s="94">
        <v>1899</v>
      </c>
      <c r="J572" s="94">
        <v>12</v>
      </c>
    </row>
    <row r="573" spans="2:10" x14ac:dyDescent="0.15">
      <c r="B573" s="119">
        <v>570</v>
      </c>
      <c r="C573" s="129"/>
      <c r="D573" s="100"/>
      <c r="E573" s="100" t="s">
        <v>64</v>
      </c>
      <c r="F573" s="100" t="s">
        <v>64</v>
      </c>
      <c r="G573" s="100"/>
      <c r="H573" s="100"/>
      <c r="I573" s="100">
        <v>1899</v>
      </c>
      <c r="J573" s="100">
        <v>12</v>
      </c>
    </row>
    <row r="574" spans="2:10" x14ac:dyDescent="0.15">
      <c r="B574" s="119">
        <v>571</v>
      </c>
      <c r="C574" s="128"/>
      <c r="D574" s="94"/>
      <c r="E574" s="94" t="s">
        <v>64</v>
      </c>
      <c r="F574" s="94" t="s">
        <v>64</v>
      </c>
      <c r="G574" s="94"/>
      <c r="H574" s="94"/>
      <c r="I574" s="94">
        <v>1899</v>
      </c>
      <c r="J574" s="94">
        <v>12</v>
      </c>
    </row>
    <row r="575" spans="2:10" x14ac:dyDescent="0.15">
      <c r="B575" s="119">
        <v>572</v>
      </c>
      <c r="C575" s="129"/>
      <c r="D575" s="100"/>
      <c r="E575" s="100" t="s">
        <v>64</v>
      </c>
      <c r="F575" s="100" t="s">
        <v>64</v>
      </c>
      <c r="G575" s="100"/>
      <c r="H575" s="100"/>
      <c r="I575" s="100">
        <v>1899</v>
      </c>
      <c r="J575" s="100">
        <v>12</v>
      </c>
    </row>
    <row r="576" spans="2:10" x14ac:dyDescent="0.15">
      <c r="B576" s="119">
        <v>573</v>
      </c>
      <c r="C576" s="128"/>
      <c r="D576" s="94"/>
      <c r="E576" s="94" t="s">
        <v>64</v>
      </c>
      <c r="F576" s="94" t="s">
        <v>64</v>
      </c>
      <c r="G576" s="94"/>
      <c r="H576" s="94"/>
      <c r="I576" s="94">
        <v>1899</v>
      </c>
      <c r="J576" s="94">
        <v>12</v>
      </c>
    </row>
    <row r="577" spans="2:10" x14ac:dyDescent="0.15">
      <c r="B577" s="119">
        <v>574</v>
      </c>
      <c r="C577" s="129"/>
      <c r="D577" s="100"/>
      <c r="E577" s="100" t="s">
        <v>64</v>
      </c>
      <c r="F577" s="100" t="s">
        <v>64</v>
      </c>
      <c r="G577" s="100"/>
      <c r="H577" s="100"/>
      <c r="I577" s="100">
        <v>1899</v>
      </c>
      <c r="J577" s="100">
        <v>12</v>
      </c>
    </row>
    <row r="578" spans="2:10" x14ac:dyDescent="0.15">
      <c r="B578" s="119">
        <v>575</v>
      </c>
      <c r="C578" s="128"/>
      <c r="D578" s="94"/>
      <c r="E578" s="94" t="s">
        <v>64</v>
      </c>
      <c r="F578" s="94" t="s">
        <v>64</v>
      </c>
      <c r="G578" s="94"/>
      <c r="H578" s="94"/>
      <c r="I578" s="94">
        <v>1899</v>
      </c>
      <c r="J578" s="94">
        <v>12</v>
      </c>
    </row>
    <row r="579" spans="2:10" x14ac:dyDescent="0.15">
      <c r="B579" s="119">
        <v>576</v>
      </c>
      <c r="C579" s="129"/>
      <c r="D579" s="100"/>
      <c r="E579" s="100" t="s">
        <v>64</v>
      </c>
      <c r="F579" s="100" t="s">
        <v>64</v>
      </c>
      <c r="G579" s="100"/>
      <c r="H579" s="100"/>
      <c r="I579" s="100">
        <v>1899</v>
      </c>
      <c r="J579" s="100">
        <v>12</v>
      </c>
    </row>
    <row r="580" spans="2:10" x14ac:dyDescent="0.15">
      <c r="B580" s="119">
        <v>577</v>
      </c>
      <c r="C580" s="128"/>
      <c r="D580" s="94"/>
      <c r="E580" s="94" t="s">
        <v>64</v>
      </c>
      <c r="F580" s="94" t="s">
        <v>64</v>
      </c>
      <c r="G580" s="94"/>
      <c r="H580" s="94"/>
      <c r="I580" s="94">
        <v>1899</v>
      </c>
      <c r="J580" s="94">
        <v>12</v>
      </c>
    </row>
    <row r="581" spans="2:10" x14ac:dyDescent="0.15">
      <c r="B581" s="119">
        <v>578</v>
      </c>
      <c r="C581" s="129"/>
      <c r="D581" s="100"/>
      <c r="E581" s="100" t="s">
        <v>64</v>
      </c>
      <c r="F581" s="100" t="s">
        <v>64</v>
      </c>
      <c r="G581" s="100"/>
      <c r="H581" s="100"/>
      <c r="I581" s="100">
        <v>1899</v>
      </c>
      <c r="J581" s="100">
        <v>12</v>
      </c>
    </row>
    <row r="582" spans="2:10" x14ac:dyDescent="0.15">
      <c r="B582" s="119">
        <v>579</v>
      </c>
      <c r="C582" s="128"/>
      <c r="D582" s="94"/>
      <c r="E582" s="94" t="s">
        <v>64</v>
      </c>
      <c r="F582" s="94" t="s">
        <v>64</v>
      </c>
      <c r="G582" s="94"/>
      <c r="H582" s="94"/>
      <c r="I582" s="94">
        <v>1899</v>
      </c>
      <c r="J582" s="94">
        <v>12</v>
      </c>
    </row>
    <row r="583" spans="2:10" x14ac:dyDescent="0.15">
      <c r="B583" s="119">
        <v>580</v>
      </c>
      <c r="C583" s="129"/>
      <c r="D583" s="100"/>
      <c r="E583" s="100" t="s">
        <v>64</v>
      </c>
      <c r="F583" s="100" t="s">
        <v>64</v>
      </c>
      <c r="G583" s="100"/>
      <c r="H583" s="100"/>
      <c r="I583" s="100">
        <v>1899</v>
      </c>
      <c r="J583" s="100">
        <v>12</v>
      </c>
    </row>
    <row r="584" spans="2:10" x14ac:dyDescent="0.15">
      <c r="B584" s="119">
        <v>581</v>
      </c>
      <c r="C584" s="128"/>
      <c r="D584" s="94"/>
      <c r="E584" s="94" t="s">
        <v>64</v>
      </c>
      <c r="F584" s="94" t="s">
        <v>64</v>
      </c>
      <c r="G584" s="94"/>
      <c r="H584" s="94"/>
      <c r="I584" s="94">
        <v>1899</v>
      </c>
      <c r="J584" s="94">
        <v>12</v>
      </c>
    </row>
    <row r="585" spans="2:10" x14ac:dyDescent="0.15">
      <c r="B585" s="119">
        <v>582</v>
      </c>
      <c r="C585" s="129"/>
      <c r="D585" s="100"/>
      <c r="E585" s="100" t="s">
        <v>64</v>
      </c>
      <c r="F585" s="100" t="s">
        <v>64</v>
      </c>
      <c r="G585" s="100"/>
      <c r="H585" s="100"/>
      <c r="I585" s="100">
        <v>1899</v>
      </c>
      <c r="J585" s="100">
        <v>12</v>
      </c>
    </row>
    <row r="586" spans="2:10" x14ac:dyDescent="0.15">
      <c r="B586" s="119">
        <v>583</v>
      </c>
      <c r="C586" s="128"/>
      <c r="D586" s="94"/>
      <c r="E586" s="94" t="s">
        <v>64</v>
      </c>
      <c r="F586" s="94" t="s">
        <v>64</v>
      </c>
      <c r="G586" s="94"/>
      <c r="H586" s="94"/>
      <c r="I586" s="94">
        <v>1899</v>
      </c>
      <c r="J586" s="94">
        <v>12</v>
      </c>
    </row>
    <row r="587" spans="2:10" x14ac:dyDescent="0.15">
      <c r="B587" s="119">
        <v>584</v>
      </c>
      <c r="C587" s="129"/>
      <c r="D587" s="100"/>
      <c r="E587" s="100" t="s">
        <v>64</v>
      </c>
      <c r="F587" s="100" t="s">
        <v>64</v>
      </c>
      <c r="G587" s="100"/>
      <c r="H587" s="100"/>
      <c r="I587" s="100">
        <v>1899</v>
      </c>
      <c r="J587" s="100">
        <v>12</v>
      </c>
    </row>
    <row r="588" spans="2:10" x14ac:dyDescent="0.15">
      <c r="B588" s="119">
        <v>585</v>
      </c>
      <c r="C588" s="128"/>
      <c r="D588" s="94"/>
      <c r="E588" s="94" t="s">
        <v>64</v>
      </c>
      <c r="F588" s="94" t="s">
        <v>64</v>
      </c>
      <c r="G588" s="94"/>
      <c r="H588" s="94"/>
      <c r="I588" s="94">
        <v>1899</v>
      </c>
      <c r="J588" s="94">
        <v>12</v>
      </c>
    </row>
    <row r="589" spans="2:10" x14ac:dyDescent="0.15">
      <c r="B589" s="119">
        <v>586</v>
      </c>
      <c r="C589" s="129"/>
      <c r="D589" s="100"/>
      <c r="E589" s="100" t="s">
        <v>64</v>
      </c>
      <c r="F589" s="100" t="s">
        <v>64</v>
      </c>
      <c r="G589" s="100"/>
      <c r="H589" s="100"/>
      <c r="I589" s="100">
        <v>1899</v>
      </c>
      <c r="J589" s="100">
        <v>12</v>
      </c>
    </row>
    <row r="590" spans="2:10" x14ac:dyDescent="0.15">
      <c r="B590" s="119">
        <v>587</v>
      </c>
      <c r="C590" s="128"/>
      <c r="D590" s="94"/>
      <c r="E590" s="94" t="s">
        <v>64</v>
      </c>
      <c r="F590" s="94" t="s">
        <v>64</v>
      </c>
      <c r="G590" s="94"/>
      <c r="H590" s="94"/>
      <c r="I590" s="94">
        <v>1899</v>
      </c>
      <c r="J590" s="94">
        <v>12</v>
      </c>
    </row>
    <row r="591" spans="2:10" x14ac:dyDescent="0.15">
      <c r="B591" s="119">
        <v>588</v>
      </c>
      <c r="C591" s="129"/>
      <c r="D591" s="100"/>
      <c r="E591" s="100" t="s">
        <v>64</v>
      </c>
      <c r="F591" s="100" t="s">
        <v>64</v>
      </c>
      <c r="G591" s="100"/>
      <c r="H591" s="100"/>
      <c r="I591" s="100">
        <v>1899</v>
      </c>
      <c r="J591" s="100">
        <v>12</v>
      </c>
    </row>
    <row r="592" spans="2:10" x14ac:dyDescent="0.15">
      <c r="B592" s="119">
        <v>589</v>
      </c>
      <c r="C592" s="128"/>
      <c r="D592" s="94"/>
      <c r="E592" s="94" t="s">
        <v>64</v>
      </c>
      <c r="F592" s="94" t="s">
        <v>64</v>
      </c>
      <c r="G592" s="94"/>
      <c r="H592" s="94"/>
      <c r="I592" s="94">
        <v>1899</v>
      </c>
      <c r="J592" s="94">
        <v>12</v>
      </c>
    </row>
    <row r="593" spans="2:10" x14ac:dyDescent="0.15">
      <c r="B593" s="119">
        <v>590</v>
      </c>
      <c r="C593" s="129"/>
      <c r="D593" s="100"/>
      <c r="E593" s="100" t="s">
        <v>64</v>
      </c>
      <c r="F593" s="100" t="s">
        <v>64</v>
      </c>
      <c r="G593" s="100"/>
      <c r="H593" s="100"/>
      <c r="I593" s="100">
        <v>1899</v>
      </c>
      <c r="J593" s="100">
        <v>12</v>
      </c>
    </row>
    <row r="594" spans="2:10" x14ac:dyDescent="0.15">
      <c r="B594" s="119">
        <v>591</v>
      </c>
      <c r="C594" s="128"/>
      <c r="D594" s="94"/>
      <c r="E594" s="94" t="s">
        <v>64</v>
      </c>
      <c r="F594" s="94" t="s">
        <v>64</v>
      </c>
      <c r="G594" s="94"/>
      <c r="H594" s="94"/>
      <c r="I594" s="94">
        <v>1899</v>
      </c>
      <c r="J594" s="94">
        <v>12</v>
      </c>
    </row>
    <row r="595" spans="2:10" x14ac:dyDescent="0.15">
      <c r="B595" s="119">
        <v>592</v>
      </c>
      <c r="C595" s="129"/>
      <c r="D595" s="100"/>
      <c r="E595" s="100" t="s">
        <v>64</v>
      </c>
      <c r="F595" s="100" t="s">
        <v>64</v>
      </c>
      <c r="G595" s="100"/>
      <c r="H595" s="100"/>
      <c r="I595" s="100">
        <v>1899</v>
      </c>
      <c r="J595" s="100">
        <v>12</v>
      </c>
    </row>
    <row r="596" spans="2:10" x14ac:dyDescent="0.15">
      <c r="B596" s="119">
        <v>593</v>
      </c>
      <c r="C596" s="128"/>
      <c r="D596" s="94"/>
      <c r="E596" s="94" t="s">
        <v>64</v>
      </c>
      <c r="F596" s="94" t="s">
        <v>64</v>
      </c>
      <c r="G596" s="94"/>
      <c r="H596" s="94"/>
      <c r="I596" s="94">
        <v>1899</v>
      </c>
      <c r="J596" s="94">
        <v>12</v>
      </c>
    </row>
    <row r="597" spans="2:10" x14ac:dyDescent="0.15">
      <c r="B597" s="119">
        <v>594</v>
      </c>
      <c r="C597" s="129"/>
      <c r="D597" s="100"/>
      <c r="E597" s="100" t="s">
        <v>64</v>
      </c>
      <c r="F597" s="100" t="s">
        <v>64</v>
      </c>
      <c r="G597" s="100"/>
      <c r="H597" s="100"/>
      <c r="I597" s="100">
        <v>1899</v>
      </c>
      <c r="J597" s="100">
        <v>12</v>
      </c>
    </row>
    <row r="598" spans="2:10" x14ac:dyDescent="0.15">
      <c r="B598" s="119">
        <v>595</v>
      </c>
      <c r="C598" s="128"/>
      <c r="D598" s="94"/>
      <c r="E598" s="94" t="s">
        <v>64</v>
      </c>
      <c r="F598" s="94" t="s">
        <v>64</v>
      </c>
      <c r="G598" s="94"/>
      <c r="H598" s="94"/>
      <c r="I598" s="94">
        <v>1899</v>
      </c>
      <c r="J598" s="94">
        <v>12</v>
      </c>
    </row>
    <row r="599" spans="2:10" x14ac:dyDescent="0.15">
      <c r="B599" s="119">
        <v>596</v>
      </c>
      <c r="C599" s="129"/>
      <c r="D599" s="100"/>
      <c r="E599" s="100" t="s">
        <v>64</v>
      </c>
      <c r="F599" s="100" t="s">
        <v>64</v>
      </c>
      <c r="G599" s="100"/>
      <c r="H599" s="100"/>
      <c r="I599" s="100">
        <v>1899</v>
      </c>
      <c r="J599" s="100">
        <v>12</v>
      </c>
    </row>
    <row r="600" spans="2:10" x14ac:dyDescent="0.15">
      <c r="B600" s="119">
        <v>597</v>
      </c>
      <c r="C600" s="128"/>
      <c r="D600" s="94"/>
      <c r="E600" s="94" t="s">
        <v>64</v>
      </c>
      <c r="F600" s="94" t="s">
        <v>64</v>
      </c>
      <c r="G600" s="94"/>
      <c r="H600" s="94"/>
      <c r="I600" s="94">
        <v>1899</v>
      </c>
      <c r="J600" s="94">
        <v>12</v>
      </c>
    </row>
    <row r="601" spans="2:10" x14ac:dyDescent="0.15">
      <c r="B601" s="119">
        <v>598</v>
      </c>
      <c r="C601" s="129"/>
      <c r="D601" s="100"/>
      <c r="E601" s="100" t="s">
        <v>64</v>
      </c>
      <c r="F601" s="100" t="s">
        <v>64</v>
      </c>
      <c r="G601" s="100"/>
      <c r="H601" s="100"/>
      <c r="I601" s="100">
        <v>1899</v>
      </c>
      <c r="J601" s="100">
        <v>12</v>
      </c>
    </row>
    <row r="602" spans="2:10" x14ac:dyDescent="0.15">
      <c r="B602" s="119">
        <v>599</v>
      </c>
      <c r="C602" s="128"/>
      <c r="D602" s="94"/>
      <c r="E602" s="94" t="s">
        <v>64</v>
      </c>
      <c r="F602" s="94" t="s">
        <v>64</v>
      </c>
      <c r="G602" s="94"/>
      <c r="H602" s="94"/>
      <c r="I602" s="94">
        <v>1899</v>
      </c>
      <c r="J602" s="94">
        <v>12</v>
      </c>
    </row>
    <row r="603" spans="2:10" x14ac:dyDescent="0.15">
      <c r="B603" s="119">
        <v>600</v>
      </c>
      <c r="C603" s="129"/>
      <c r="D603" s="100"/>
      <c r="E603" s="100" t="s">
        <v>64</v>
      </c>
      <c r="F603" s="100" t="s">
        <v>64</v>
      </c>
      <c r="G603" s="100"/>
      <c r="H603" s="100"/>
      <c r="I603" s="100">
        <v>1899</v>
      </c>
      <c r="J603" s="100">
        <v>12</v>
      </c>
    </row>
    <row r="604" spans="2:10" x14ac:dyDescent="0.15">
      <c r="B604" s="119">
        <v>601</v>
      </c>
      <c r="C604" s="128"/>
      <c r="D604" s="94"/>
      <c r="E604" s="94" t="s">
        <v>64</v>
      </c>
      <c r="F604" s="94" t="s">
        <v>64</v>
      </c>
      <c r="G604" s="94"/>
      <c r="H604" s="94"/>
      <c r="I604" s="94">
        <v>1899</v>
      </c>
      <c r="J604" s="94">
        <v>12</v>
      </c>
    </row>
    <row r="605" spans="2:10" x14ac:dyDescent="0.15">
      <c r="B605" s="119">
        <v>602</v>
      </c>
      <c r="C605" s="129"/>
      <c r="D605" s="100"/>
      <c r="E605" s="100" t="s">
        <v>64</v>
      </c>
      <c r="F605" s="100" t="s">
        <v>64</v>
      </c>
      <c r="G605" s="100"/>
      <c r="H605" s="100"/>
      <c r="I605" s="100">
        <v>1899</v>
      </c>
      <c r="J605" s="100">
        <v>12</v>
      </c>
    </row>
    <row r="606" spans="2:10" x14ac:dyDescent="0.15">
      <c r="B606" s="119">
        <v>603</v>
      </c>
      <c r="C606" s="128"/>
      <c r="D606" s="94"/>
      <c r="E606" s="94" t="s">
        <v>64</v>
      </c>
      <c r="F606" s="94" t="s">
        <v>64</v>
      </c>
      <c r="G606" s="94"/>
      <c r="H606" s="94"/>
      <c r="I606" s="94">
        <v>1899</v>
      </c>
      <c r="J606" s="94">
        <v>12</v>
      </c>
    </row>
    <row r="607" spans="2:10" x14ac:dyDescent="0.15">
      <c r="B607" s="119">
        <v>604</v>
      </c>
      <c r="C607" s="129"/>
      <c r="D607" s="100"/>
      <c r="E607" s="100" t="s">
        <v>64</v>
      </c>
      <c r="F607" s="100" t="s">
        <v>64</v>
      </c>
      <c r="G607" s="100"/>
      <c r="H607" s="100"/>
      <c r="I607" s="100">
        <v>1899</v>
      </c>
      <c r="J607" s="100">
        <v>12</v>
      </c>
    </row>
    <row r="608" spans="2:10" x14ac:dyDescent="0.15">
      <c r="B608" s="119">
        <v>605</v>
      </c>
      <c r="C608" s="128"/>
      <c r="D608" s="94"/>
      <c r="E608" s="94" t="s">
        <v>64</v>
      </c>
      <c r="F608" s="94" t="s">
        <v>64</v>
      </c>
      <c r="G608" s="94"/>
      <c r="H608" s="94"/>
      <c r="I608" s="94">
        <v>1899</v>
      </c>
      <c r="J608" s="94">
        <v>12</v>
      </c>
    </row>
    <row r="609" spans="2:10" x14ac:dyDescent="0.15">
      <c r="B609" s="119">
        <v>606</v>
      </c>
      <c r="C609" s="129"/>
      <c r="D609" s="100"/>
      <c r="E609" s="100" t="s">
        <v>64</v>
      </c>
      <c r="F609" s="100" t="s">
        <v>64</v>
      </c>
      <c r="G609" s="100"/>
      <c r="H609" s="100"/>
      <c r="I609" s="100">
        <v>1899</v>
      </c>
      <c r="J609" s="100">
        <v>12</v>
      </c>
    </row>
    <row r="610" spans="2:10" x14ac:dyDescent="0.15">
      <c r="B610" s="119">
        <v>607</v>
      </c>
      <c r="C610" s="128"/>
      <c r="D610" s="94"/>
      <c r="E610" s="94" t="s">
        <v>64</v>
      </c>
      <c r="F610" s="94" t="s">
        <v>64</v>
      </c>
      <c r="G610" s="94"/>
      <c r="H610" s="94"/>
      <c r="I610" s="94">
        <v>1899</v>
      </c>
      <c r="J610" s="94">
        <v>12</v>
      </c>
    </row>
    <row r="611" spans="2:10" x14ac:dyDescent="0.15">
      <c r="B611" s="119">
        <v>608</v>
      </c>
      <c r="C611" s="129"/>
      <c r="D611" s="100"/>
      <c r="E611" s="100" t="s">
        <v>64</v>
      </c>
      <c r="F611" s="100" t="s">
        <v>64</v>
      </c>
      <c r="G611" s="100"/>
      <c r="H611" s="100"/>
      <c r="I611" s="100">
        <v>1899</v>
      </c>
      <c r="J611" s="100">
        <v>12</v>
      </c>
    </row>
    <row r="612" spans="2:10" x14ac:dyDescent="0.15">
      <c r="B612" s="119">
        <v>609</v>
      </c>
      <c r="C612" s="128"/>
      <c r="D612" s="94"/>
      <c r="E612" s="94" t="s">
        <v>64</v>
      </c>
      <c r="F612" s="94" t="s">
        <v>64</v>
      </c>
      <c r="G612" s="94"/>
      <c r="H612" s="94"/>
      <c r="I612" s="94">
        <v>1899</v>
      </c>
      <c r="J612" s="94">
        <v>12</v>
      </c>
    </row>
    <row r="613" spans="2:10" x14ac:dyDescent="0.15">
      <c r="B613" s="119">
        <v>610</v>
      </c>
      <c r="C613" s="129"/>
      <c r="D613" s="100"/>
      <c r="E613" s="100" t="s">
        <v>64</v>
      </c>
      <c r="F613" s="100" t="s">
        <v>64</v>
      </c>
      <c r="G613" s="100"/>
      <c r="H613" s="100"/>
      <c r="I613" s="100">
        <v>1899</v>
      </c>
      <c r="J613" s="100">
        <v>12</v>
      </c>
    </row>
    <row r="614" spans="2:10" x14ac:dyDescent="0.15">
      <c r="B614" s="119">
        <v>611</v>
      </c>
      <c r="C614" s="128"/>
      <c r="D614" s="94"/>
      <c r="E614" s="94" t="s">
        <v>64</v>
      </c>
      <c r="F614" s="94" t="s">
        <v>64</v>
      </c>
      <c r="G614" s="94"/>
      <c r="H614" s="94"/>
      <c r="I614" s="94">
        <v>1899</v>
      </c>
      <c r="J614" s="94">
        <v>12</v>
      </c>
    </row>
    <row r="615" spans="2:10" x14ac:dyDescent="0.15">
      <c r="B615" s="119">
        <v>612</v>
      </c>
      <c r="C615" s="129"/>
      <c r="D615" s="100"/>
      <c r="E615" s="100" t="s">
        <v>64</v>
      </c>
      <c r="F615" s="100" t="s">
        <v>64</v>
      </c>
      <c r="G615" s="100"/>
      <c r="H615" s="100"/>
      <c r="I615" s="100">
        <v>1899</v>
      </c>
      <c r="J615" s="100">
        <v>12</v>
      </c>
    </row>
    <row r="616" spans="2:10" x14ac:dyDescent="0.15">
      <c r="B616" s="119">
        <v>613</v>
      </c>
      <c r="C616" s="128"/>
      <c r="D616" s="94"/>
      <c r="E616" s="94" t="s">
        <v>64</v>
      </c>
      <c r="F616" s="94" t="s">
        <v>64</v>
      </c>
      <c r="G616" s="94"/>
      <c r="H616" s="94"/>
      <c r="I616" s="94">
        <v>1899</v>
      </c>
      <c r="J616" s="94">
        <v>12</v>
      </c>
    </row>
    <row r="617" spans="2:10" x14ac:dyDescent="0.15">
      <c r="B617" s="119">
        <v>614</v>
      </c>
      <c r="C617" s="129"/>
      <c r="D617" s="100"/>
      <c r="E617" s="100" t="s">
        <v>64</v>
      </c>
      <c r="F617" s="100" t="s">
        <v>64</v>
      </c>
      <c r="G617" s="100"/>
      <c r="H617" s="100"/>
      <c r="I617" s="100">
        <v>1899</v>
      </c>
      <c r="J617" s="100">
        <v>12</v>
      </c>
    </row>
    <row r="618" spans="2:10" x14ac:dyDescent="0.15">
      <c r="B618" s="119">
        <v>615</v>
      </c>
      <c r="C618" s="128"/>
      <c r="D618" s="94"/>
      <c r="E618" s="94" t="s">
        <v>64</v>
      </c>
      <c r="F618" s="94" t="s">
        <v>64</v>
      </c>
      <c r="G618" s="94"/>
      <c r="H618" s="94"/>
      <c r="I618" s="94">
        <v>1899</v>
      </c>
      <c r="J618" s="94">
        <v>12</v>
      </c>
    </row>
    <row r="619" spans="2:10" x14ac:dyDescent="0.15">
      <c r="B619" s="119">
        <v>616</v>
      </c>
      <c r="C619" s="129"/>
      <c r="D619" s="100"/>
      <c r="E619" s="100" t="s">
        <v>64</v>
      </c>
      <c r="F619" s="100" t="s">
        <v>64</v>
      </c>
      <c r="G619" s="100"/>
      <c r="H619" s="100"/>
      <c r="I619" s="100">
        <v>1899</v>
      </c>
      <c r="J619" s="100">
        <v>12</v>
      </c>
    </row>
    <row r="620" spans="2:10" x14ac:dyDescent="0.15">
      <c r="B620" s="119">
        <v>617</v>
      </c>
      <c r="C620" s="128"/>
      <c r="D620" s="94"/>
      <c r="E620" s="94" t="s">
        <v>64</v>
      </c>
      <c r="F620" s="94" t="s">
        <v>64</v>
      </c>
      <c r="G620" s="94"/>
      <c r="H620" s="94"/>
      <c r="I620" s="94">
        <v>1899</v>
      </c>
      <c r="J620" s="94">
        <v>12</v>
      </c>
    </row>
    <row r="621" spans="2:10" x14ac:dyDescent="0.15">
      <c r="B621" s="119">
        <v>618</v>
      </c>
      <c r="C621" s="129"/>
      <c r="D621" s="100"/>
      <c r="E621" s="100" t="s">
        <v>64</v>
      </c>
      <c r="F621" s="100" t="s">
        <v>64</v>
      </c>
      <c r="G621" s="100"/>
      <c r="H621" s="100"/>
      <c r="I621" s="100">
        <v>1899</v>
      </c>
      <c r="J621" s="100">
        <v>12</v>
      </c>
    </row>
    <row r="622" spans="2:10" x14ac:dyDescent="0.15">
      <c r="B622" s="119">
        <v>619</v>
      </c>
      <c r="C622" s="128"/>
      <c r="D622" s="94"/>
      <c r="E622" s="94" t="s">
        <v>64</v>
      </c>
      <c r="F622" s="94" t="s">
        <v>64</v>
      </c>
      <c r="G622" s="94"/>
      <c r="H622" s="94"/>
      <c r="I622" s="94">
        <v>1899</v>
      </c>
      <c r="J622" s="94">
        <v>12</v>
      </c>
    </row>
    <row r="623" spans="2:10" x14ac:dyDescent="0.15">
      <c r="B623" s="119">
        <v>620</v>
      </c>
      <c r="C623" s="129"/>
      <c r="D623" s="100"/>
      <c r="E623" s="100" t="s">
        <v>64</v>
      </c>
      <c r="F623" s="100" t="s">
        <v>64</v>
      </c>
      <c r="G623" s="100"/>
      <c r="H623" s="100"/>
      <c r="I623" s="100">
        <v>1899</v>
      </c>
      <c r="J623" s="100">
        <v>12</v>
      </c>
    </row>
    <row r="624" spans="2:10" x14ac:dyDescent="0.15">
      <c r="B624" s="119">
        <v>621</v>
      </c>
      <c r="C624" s="128"/>
      <c r="D624" s="94"/>
      <c r="E624" s="94" t="s">
        <v>64</v>
      </c>
      <c r="F624" s="94" t="s">
        <v>64</v>
      </c>
      <c r="G624" s="94"/>
      <c r="H624" s="94"/>
      <c r="I624" s="94">
        <v>1899</v>
      </c>
      <c r="J624" s="94">
        <v>12</v>
      </c>
    </row>
    <row r="625" spans="2:10" x14ac:dyDescent="0.15">
      <c r="B625" s="119">
        <v>622</v>
      </c>
      <c r="C625" s="129"/>
      <c r="D625" s="100"/>
      <c r="E625" s="100" t="s">
        <v>64</v>
      </c>
      <c r="F625" s="100" t="s">
        <v>64</v>
      </c>
      <c r="G625" s="100"/>
      <c r="H625" s="100"/>
      <c r="I625" s="100">
        <v>1899</v>
      </c>
      <c r="J625" s="100">
        <v>12</v>
      </c>
    </row>
    <row r="626" spans="2:10" x14ac:dyDescent="0.15">
      <c r="B626" s="119">
        <v>623</v>
      </c>
      <c r="C626" s="128"/>
      <c r="D626" s="94"/>
      <c r="E626" s="94" t="s">
        <v>64</v>
      </c>
      <c r="F626" s="94" t="s">
        <v>64</v>
      </c>
      <c r="G626" s="94"/>
      <c r="H626" s="94"/>
      <c r="I626" s="94">
        <v>1899</v>
      </c>
      <c r="J626" s="94">
        <v>12</v>
      </c>
    </row>
    <row r="627" spans="2:10" x14ac:dyDescent="0.15">
      <c r="B627" s="119">
        <v>624</v>
      </c>
      <c r="C627" s="129"/>
      <c r="D627" s="100"/>
      <c r="E627" s="100" t="s">
        <v>64</v>
      </c>
      <c r="F627" s="100" t="s">
        <v>64</v>
      </c>
      <c r="G627" s="100"/>
      <c r="H627" s="100"/>
      <c r="I627" s="100">
        <v>1899</v>
      </c>
      <c r="J627" s="100">
        <v>12</v>
      </c>
    </row>
    <row r="628" spans="2:10" x14ac:dyDescent="0.15">
      <c r="B628" s="119">
        <v>625</v>
      </c>
      <c r="C628" s="128"/>
      <c r="D628" s="94"/>
      <c r="E628" s="94" t="s">
        <v>64</v>
      </c>
      <c r="F628" s="94" t="s">
        <v>64</v>
      </c>
      <c r="G628" s="94"/>
      <c r="H628" s="94"/>
      <c r="I628" s="94">
        <v>1899</v>
      </c>
      <c r="J628" s="94">
        <v>12</v>
      </c>
    </row>
    <row r="629" spans="2:10" x14ac:dyDescent="0.15">
      <c r="B629" s="119">
        <v>626</v>
      </c>
      <c r="C629" s="129"/>
      <c r="D629" s="100"/>
      <c r="E629" s="100" t="s">
        <v>64</v>
      </c>
      <c r="F629" s="100" t="s">
        <v>64</v>
      </c>
      <c r="G629" s="100"/>
      <c r="H629" s="100"/>
      <c r="I629" s="100">
        <v>1899</v>
      </c>
      <c r="J629" s="100">
        <v>12</v>
      </c>
    </row>
    <row r="630" spans="2:10" x14ac:dyDescent="0.15">
      <c r="B630" s="119">
        <v>627</v>
      </c>
      <c r="C630" s="128"/>
      <c r="D630" s="94"/>
      <c r="E630" s="94" t="s">
        <v>64</v>
      </c>
      <c r="F630" s="94" t="s">
        <v>64</v>
      </c>
      <c r="G630" s="94"/>
      <c r="H630" s="94"/>
      <c r="I630" s="94">
        <v>1899</v>
      </c>
      <c r="J630" s="94">
        <v>12</v>
      </c>
    </row>
    <row r="631" spans="2:10" x14ac:dyDescent="0.15">
      <c r="B631" s="119">
        <v>628</v>
      </c>
      <c r="C631" s="129"/>
      <c r="D631" s="100"/>
      <c r="E631" s="100" t="s">
        <v>64</v>
      </c>
      <c r="F631" s="100" t="s">
        <v>64</v>
      </c>
      <c r="G631" s="100"/>
      <c r="H631" s="100"/>
      <c r="I631" s="100">
        <v>1899</v>
      </c>
      <c r="J631" s="100">
        <v>12</v>
      </c>
    </row>
    <row r="632" spans="2:10" x14ac:dyDescent="0.15">
      <c r="B632" s="119">
        <v>629</v>
      </c>
      <c r="C632" s="128"/>
      <c r="D632" s="94"/>
      <c r="E632" s="94" t="s">
        <v>64</v>
      </c>
      <c r="F632" s="94" t="s">
        <v>64</v>
      </c>
      <c r="G632" s="94"/>
      <c r="H632" s="94"/>
      <c r="I632" s="94">
        <v>1899</v>
      </c>
      <c r="J632" s="94">
        <v>12</v>
      </c>
    </row>
    <row r="633" spans="2:10" x14ac:dyDescent="0.15">
      <c r="B633" s="119">
        <v>630</v>
      </c>
      <c r="C633" s="129"/>
      <c r="D633" s="100"/>
      <c r="E633" s="100" t="s">
        <v>64</v>
      </c>
      <c r="F633" s="100" t="s">
        <v>64</v>
      </c>
      <c r="G633" s="100"/>
      <c r="H633" s="100"/>
      <c r="I633" s="100">
        <v>1899</v>
      </c>
      <c r="J633" s="100">
        <v>12</v>
      </c>
    </row>
    <row r="634" spans="2:10" x14ac:dyDescent="0.15">
      <c r="B634" s="119">
        <v>631</v>
      </c>
      <c r="C634" s="128"/>
      <c r="D634" s="94"/>
      <c r="E634" s="94" t="s">
        <v>64</v>
      </c>
      <c r="F634" s="94" t="s">
        <v>64</v>
      </c>
      <c r="G634" s="94"/>
      <c r="H634" s="94"/>
      <c r="I634" s="94">
        <v>1899</v>
      </c>
      <c r="J634" s="94">
        <v>12</v>
      </c>
    </row>
    <row r="635" spans="2:10" x14ac:dyDescent="0.15">
      <c r="B635" s="119">
        <v>632</v>
      </c>
      <c r="C635" s="129"/>
      <c r="D635" s="100"/>
      <c r="E635" s="100" t="s">
        <v>64</v>
      </c>
      <c r="F635" s="100" t="s">
        <v>64</v>
      </c>
      <c r="G635" s="100"/>
      <c r="H635" s="100"/>
      <c r="I635" s="100">
        <v>1899</v>
      </c>
      <c r="J635" s="100">
        <v>12</v>
      </c>
    </row>
    <row r="636" spans="2:10" x14ac:dyDescent="0.15">
      <c r="B636" s="119">
        <v>633</v>
      </c>
      <c r="C636" s="128"/>
      <c r="D636" s="94"/>
      <c r="E636" s="94" t="s">
        <v>64</v>
      </c>
      <c r="F636" s="94" t="s">
        <v>64</v>
      </c>
      <c r="G636" s="94"/>
      <c r="H636" s="94"/>
      <c r="I636" s="94">
        <v>1899</v>
      </c>
      <c r="J636" s="94">
        <v>12</v>
      </c>
    </row>
    <row r="637" spans="2:10" x14ac:dyDescent="0.15">
      <c r="B637" s="119">
        <v>634</v>
      </c>
      <c r="C637" s="129"/>
      <c r="D637" s="100"/>
      <c r="E637" s="100" t="s">
        <v>64</v>
      </c>
      <c r="F637" s="100" t="s">
        <v>64</v>
      </c>
      <c r="G637" s="100"/>
      <c r="H637" s="100"/>
      <c r="I637" s="100">
        <v>1899</v>
      </c>
      <c r="J637" s="100">
        <v>12</v>
      </c>
    </row>
    <row r="638" spans="2:10" x14ac:dyDescent="0.15">
      <c r="B638" s="119">
        <v>635</v>
      </c>
      <c r="C638" s="128"/>
      <c r="D638" s="94"/>
      <c r="E638" s="94" t="s">
        <v>64</v>
      </c>
      <c r="F638" s="94" t="s">
        <v>64</v>
      </c>
      <c r="G638" s="94"/>
      <c r="H638" s="94"/>
      <c r="I638" s="94">
        <v>1899</v>
      </c>
      <c r="J638" s="94">
        <v>12</v>
      </c>
    </row>
    <row r="639" spans="2:10" x14ac:dyDescent="0.15">
      <c r="B639" s="119">
        <v>636</v>
      </c>
      <c r="C639" s="129"/>
      <c r="D639" s="100"/>
      <c r="E639" s="100" t="s">
        <v>64</v>
      </c>
      <c r="F639" s="100" t="s">
        <v>64</v>
      </c>
      <c r="G639" s="100"/>
      <c r="H639" s="100"/>
      <c r="I639" s="100">
        <v>1899</v>
      </c>
      <c r="J639" s="100">
        <v>12</v>
      </c>
    </row>
    <row r="640" spans="2:10" x14ac:dyDescent="0.15">
      <c r="B640" s="119">
        <v>637</v>
      </c>
      <c r="C640" s="128"/>
      <c r="D640" s="94"/>
      <c r="E640" s="94" t="s">
        <v>64</v>
      </c>
      <c r="F640" s="94" t="s">
        <v>64</v>
      </c>
      <c r="G640" s="94"/>
      <c r="H640" s="94"/>
      <c r="I640" s="94">
        <v>1899</v>
      </c>
      <c r="J640" s="94">
        <v>12</v>
      </c>
    </row>
    <row r="641" spans="2:10" x14ac:dyDescent="0.15">
      <c r="B641" s="119">
        <v>638</v>
      </c>
      <c r="C641" s="129"/>
      <c r="D641" s="100"/>
      <c r="E641" s="100" t="s">
        <v>64</v>
      </c>
      <c r="F641" s="100" t="s">
        <v>64</v>
      </c>
      <c r="G641" s="100"/>
      <c r="H641" s="100"/>
      <c r="I641" s="100">
        <v>1899</v>
      </c>
      <c r="J641" s="100">
        <v>12</v>
      </c>
    </row>
    <row r="642" spans="2:10" x14ac:dyDescent="0.15">
      <c r="B642" s="119">
        <v>639</v>
      </c>
      <c r="C642" s="128"/>
      <c r="D642" s="94"/>
      <c r="E642" s="94" t="s">
        <v>64</v>
      </c>
      <c r="F642" s="94" t="s">
        <v>64</v>
      </c>
      <c r="G642" s="94"/>
      <c r="H642" s="94"/>
      <c r="I642" s="94">
        <v>1899</v>
      </c>
      <c r="J642" s="94">
        <v>12</v>
      </c>
    </row>
    <row r="643" spans="2:10" x14ac:dyDescent="0.15">
      <c r="B643" s="119">
        <v>640</v>
      </c>
      <c r="C643" s="129"/>
      <c r="D643" s="100"/>
      <c r="E643" s="100" t="s">
        <v>64</v>
      </c>
      <c r="F643" s="100" t="s">
        <v>64</v>
      </c>
      <c r="G643" s="100"/>
      <c r="H643" s="100"/>
      <c r="I643" s="100">
        <v>1899</v>
      </c>
      <c r="J643" s="100">
        <v>12</v>
      </c>
    </row>
    <row r="644" spans="2:10" x14ac:dyDescent="0.15">
      <c r="B644" s="119">
        <v>641</v>
      </c>
      <c r="C644" s="128"/>
      <c r="D644" s="94"/>
      <c r="E644" s="94" t="s">
        <v>64</v>
      </c>
      <c r="F644" s="94" t="s">
        <v>64</v>
      </c>
      <c r="G644" s="94"/>
      <c r="H644" s="94"/>
      <c r="I644" s="94">
        <v>1899</v>
      </c>
      <c r="J644" s="94">
        <v>12</v>
      </c>
    </row>
    <row r="645" spans="2:10" x14ac:dyDescent="0.15">
      <c r="B645" s="119">
        <v>642</v>
      </c>
      <c r="C645" s="129"/>
      <c r="D645" s="100"/>
      <c r="E645" s="100" t="s">
        <v>64</v>
      </c>
      <c r="F645" s="100" t="s">
        <v>64</v>
      </c>
      <c r="G645" s="100"/>
      <c r="H645" s="100"/>
      <c r="I645" s="100">
        <v>1899</v>
      </c>
      <c r="J645" s="100">
        <v>12</v>
      </c>
    </row>
    <row r="646" spans="2:10" x14ac:dyDescent="0.15">
      <c r="B646" s="119">
        <v>643</v>
      </c>
      <c r="C646" s="128"/>
      <c r="D646" s="94"/>
      <c r="E646" s="94" t="s">
        <v>64</v>
      </c>
      <c r="F646" s="94" t="s">
        <v>64</v>
      </c>
      <c r="G646" s="94"/>
      <c r="H646" s="94"/>
      <c r="I646" s="94">
        <v>1899</v>
      </c>
      <c r="J646" s="94">
        <v>12</v>
      </c>
    </row>
    <row r="647" spans="2:10" x14ac:dyDescent="0.15">
      <c r="B647" s="119">
        <v>644</v>
      </c>
      <c r="C647" s="129"/>
      <c r="D647" s="100"/>
      <c r="E647" s="100" t="s">
        <v>64</v>
      </c>
      <c r="F647" s="100" t="s">
        <v>64</v>
      </c>
      <c r="G647" s="100"/>
      <c r="H647" s="100"/>
      <c r="I647" s="100">
        <v>1899</v>
      </c>
      <c r="J647" s="100">
        <v>12</v>
      </c>
    </row>
    <row r="648" spans="2:10" x14ac:dyDescent="0.15">
      <c r="B648" s="119">
        <v>645</v>
      </c>
      <c r="C648" s="128"/>
      <c r="D648" s="94"/>
      <c r="E648" s="94" t="s">
        <v>64</v>
      </c>
      <c r="F648" s="94" t="s">
        <v>64</v>
      </c>
      <c r="G648" s="94"/>
      <c r="H648" s="94"/>
      <c r="I648" s="94">
        <v>1899</v>
      </c>
      <c r="J648" s="94">
        <v>12</v>
      </c>
    </row>
    <row r="649" spans="2:10" x14ac:dyDescent="0.15">
      <c r="B649" s="119">
        <v>646</v>
      </c>
      <c r="C649" s="129"/>
      <c r="D649" s="100"/>
      <c r="E649" s="100" t="s">
        <v>64</v>
      </c>
      <c r="F649" s="100" t="s">
        <v>64</v>
      </c>
      <c r="G649" s="100"/>
      <c r="H649" s="100"/>
      <c r="I649" s="100">
        <v>1899</v>
      </c>
      <c r="J649" s="100">
        <v>12</v>
      </c>
    </row>
    <row r="650" spans="2:10" x14ac:dyDescent="0.15">
      <c r="B650" s="119">
        <v>647</v>
      </c>
      <c r="C650" s="128"/>
      <c r="D650" s="94"/>
      <c r="E650" s="94" t="s">
        <v>64</v>
      </c>
      <c r="F650" s="94" t="s">
        <v>64</v>
      </c>
      <c r="G650" s="94"/>
      <c r="H650" s="94"/>
      <c r="I650" s="94">
        <v>1899</v>
      </c>
      <c r="J650" s="94">
        <v>12</v>
      </c>
    </row>
    <row r="651" spans="2:10" x14ac:dyDescent="0.15">
      <c r="B651" s="119">
        <v>648</v>
      </c>
      <c r="C651" s="129"/>
      <c r="D651" s="100"/>
      <c r="E651" s="100" t="s">
        <v>64</v>
      </c>
      <c r="F651" s="100" t="s">
        <v>64</v>
      </c>
      <c r="G651" s="100"/>
      <c r="H651" s="100"/>
      <c r="I651" s="100">
        <v>1899</v>
      </c>
      <c r="J651" s="100">
        <v>12</v>
      </c>
    </row>
    <row r="652" spans="2:10" x14ac:dyDescent="0.15">
      <c r="B652" s="119">
        <v>649</v>
      </c>
      <c r="C652" s="128"/>
      <c r="D652" s="94"/>
      <c r="E652" s="94" t="s">
        <v>64</v>
      </c>
      <c r="F652" s="94" t="s">
        <v>64</v>
      </c>
      <c r="G652" s="94"/>
      <c r="H652" s="94"/>
      <c r="I652" s="94">
        <v>1899</v>
      </c>
      <c r="J652" s="94">
        <v>12</v>
      </c>
    </row>
    <row r="653" spans="2:10" x14ac:dyDescent="0.15">
      <c r="B653" s="119">
        <v>650</v>
      </c>
      <c r="C653" s="129"/>
      <c r="D653" s="100"/>
      <c r="E653" s="100" t="s">
        <v>64</v>
      </c>
      <c r="F653" s="100" t="s">
        <v>64</v>
      </c>
      <c r="G653" s="100"/>
      <c r="H653" s="100"/>
      <c r="I653" s="100">
        <v>1899</v>
      </c>
      <c r="J653" s="100">
        <v>12</v>
      </c>
    </row>
    <row r="654" spans="2:10" x14ac:dyDescent="0.15">
      <c r="B654" s="119">
        <v>651</v>
      </c>
      <c r="C654" s="128"/>
      <c r="D654" s="94"/>
      <c r="E654" s="94" t="s">
        <v>64</v>
      </c>
      <c r="F654" s="94" t="s">
        <v>64</v>
      </c>
      <c r="G654" s="94"/>
      <c r="H654" s="94"/>
      <c r="I654" s="94">
        <v>1899</v>
      </c>
      <c r="J654" s="94">
        <v>12</v>
      </c>
    </row>
    <row r="655" spans="2:10" x14ac:dyDescent="0.15">
      <c r="B655" s="119">
        <v>652</v>
      </c>
      <c r="C655" s="129"/>
      <c r="D655" s="100"/>
      <c r="E655" s="100" t="s">
        <v>64</v>
      </c>
      <c r="F655" s="100" t="s">
        <v>64</v>
      </c>
      <c r="G655" s="100"/>
      <c r="H655" s="100"/>
      <c r="I655" s="100">
        <v>1899</v>
      </c>
      <c r="J655" s="100">
        <v>12</v>
      </c>
    </row>
    <row r="656" spans="2:10" x14ac:dyDescent="0.15">
      <c r="B656" s="119">
        <v>653</v>
      </c>
      <c r="C656" s="128"/>
      <c r="D656" s="94"/>
      <c r="E656" s="94" t="s">
        <v>64</v>
      </c>
      <c r="F656" s="94" t="s">
        <v>64</v>
      </c>
      <c r="G656" s="94"/>
      <c r="H656" s="94"/>
      <c r="I656" s="94">
        <v>1899</v>
      </c>
      <c r="J656" s="94">
        <v>12</v>
      </c>
    </row>
    <row r="657" spans="2:10" x14ac:dyDescent="0.15">
      <c r="B657" s="119">
        <v>654</v>
      </c>
      <c r="C657" s="129"/>
      <c r="D657" s="100"/>
      <c r="E657" s="100" t="s">
        <v>64</v>
      </c>
      <c r="F657" s="100" t="s">
        <v>64</v>
      </c>
      <c r="G657" s="100"/>
      <c r="H657" s="100"/>
      <c r="I657" s="100">
        <v>1899</v>
      </c>
      <c r="J657" s="100">
        <v>12</v>
      </c>
    </row>
    <row r="658" spans="2:10" x14ac:dyDescent="0.15">
      <c r="B658" s="119">
        <v>655</v>
      </c>
      <c r="C658" s="128"/>
      <c r="D658" s="94"/>
      <c r="E658" s="94" t="s">
        <v>64</v>
      </c>
      <c r="F658" s="94" t="s">
        <v>64</v>
      </c>
      <c r="G658" s="94"/>
      <c r="H658" s="94"/>
      <c r="I658" s="94">
        <v>1899</v>
      </c>
      <c r="J658" s="94">
        <v>12</v>
      </c>
    </row>
    <row r="659" spans="2:10" x14ac:dyDescent="0.15">
      <c r="B659" s="119">
        <v>656</v>
      </c>
      <c r="C659" s="129"/>
      <c r="D659" s="100"/>
      <c r="E659" s="100" t="s">
        <v>64</v>
      </c>
      <c r="F659" s="100" t="s">
        <v>64</v>
      </c>
      <c r="G659" s="100"/>
      <c r="H659" s="100"/>
      <c r="I659" s="100">
        <v>1899</v>
      </c>
      <c r="J659" s="100">
        <v>12</v>
      </c>
    </row>
    <row r="660" spans="2:10" x14ac:dyDescent="0.15">
      <c r="B660" s="119">
        <v>657</v>
      </c>
      <c r="C660" s="128"/>
      <c r="D660" s="94"/>
      <c r="E660" s="94" t="s">
        <v>64</v>
      </c>
      <c r="F660" s="94" t="s">
        <v>64</v>
      </c>
      <c r="G660" s="94"/>
      <c r="H660" s="94"/>
      <c r="I660" s="94">
        <v>1899</v>
      </c>
      <c r="J660" s="94">
        <v>12</v>
      </c>
    </row>
    <row r="661" spans="2:10" x14ac:dyDescent="0.15">
      <c r="B661" s="119">
        <v>658</v>
      </c>
      <c r="C661" s="129"/>
      <c r="D661" s="100"/>
      <c r="E661" s="100" t="s">
        <v>64</v>
      </c>
      <c r="F661" s="100" t="s">
        <v>64</v>
      </c>
      <c r="G661" s="100"/>
      <c r="H661" s="100"/>
      <c r="I661" s="100">
        <v>1899</v>
      </c>
      <c r="J661" s="100">
        <v>12</v>
      </c>
    </row>
    <row r="662" spans="2:10" x14ac:dyDescent="0.15">
      <c r="B662" s="119">
        <v>659</v>
      </c>
      <c r="C662" s="128"/>
      <c r="D662" s="94"/>
      <c r="E662" s="94" t="s">
        <v>64</v>
      </c>
      <c r="F662" s="94" t="s">
        <v>64</v>
      </c>
      <c r="G662" s="94"/>
      <c r="H662" s="94"/>
      <c r="I662" s="94">
        <v>1899</v>
      </c>
      <c r="J662" s="94">
        <v>12</v>
      </c>
    </row>
    <row r="663" spans="2:10" x14ac:dyDescent="0.15">
      <c r="B663" s="119">
        <v>660</v>
      </c>
      <c r="C663" s="129"/>
      <c r="D663" s="100"/>
      <c r="E663" s="100" t="s">
        <v>64</v>
      </c>
      <c r="F663" s="100" t="s">
        <v>64</v>
      </c>
      <c r="G663" s="100"/>
      <c r="H663" s="100"/>
      <c r="I663" s="100">
        <v>1899</v>
      </c>
      <c r="J663" s="100">
        <v>12</v>
      </c>
    </row>
    <row r="664" spans="2:10" x14ac:dyDescent="0.15">
      <c r="B664" s="119">
        <v>661</v>
      </c>
      <c r="C664" s="128"/>
      <c r="D664" s="94"/>
      <c r="E664" s="94" t="s">
        <v>64</v>
      </c>
      <c r="F664" s="94" t="s">
        <v>64</v>
      </c>
      <c r="G664" s="94"/>
      <c r="H664" s="94"/>
      <c r="I664" s="94">
        <v>1899</v>
      </c>
      <c r="J664" s="94">
        <v>12</v>
      </c>
    </row>
    <row r="665" spans="2:10" x14ac:dyDescent="0.15">
      <c r="B665" s="119">
        <v>662</v>
      </c>
      <c r="C665" s="129"/>
      <c r="D665" s="100"/>
      <c r="E665" s="100" t="s">
        <v>64</v>
      </c>
      <c r="F665" s="100" t="s">
        <v>64</v>
      </c>
      <c r="G665" s="100"/>
      <c r="H665" s="100"/>
      <c r="I665" s="100">
        <v>1899</v>
      </c>
      <c r="J665" s="100">
        <v>12</v>
      </c>
    </row>
    <row r="666" spans="2:10" x14ac:dyDescent="0.15">
      <c r="B666" s="119">
        <v>663</v>
      </c>
      <c r="C666" s="128"/>
      <c r="D666" s="94"/>
      <c r="E666" s="94" t="s">
        <v>64</v>
      </c>
      <c r="F666" s="94" t="s">
        <v>64</v>
      </c>
      <c r="G666" s="94"/>
      <c r="H666" s="94"/>
      <c r="I666" s="94">
        <v>1899</v>
      </c>
      <c r="J666" s="94">
        <v>12</v>
      </c>
    </row>
    <row r="667" spans="2:10" x14ac:dyDescent="0.15">
      <c r="B667" s="119">
        <v>664</v>
      </c>
      <c r="C667" s="129"/>
      <c r="D667" s="100"/>
      <c r="E667" s="100" t="s">
        <v>64</v>
      </c>
      <c r="F667" s="100" t="s">
        <v>64</v>
      </c>
      <c r="G667" s="100"/>
      <c r="H667" s="100"/>
      <c r="I667" s="100">
        <v>1899</v>
      </c>
      <c r="J667" s="100">
        <v>12</v>
      </c>
    </row>
    <row r="668" spans="2:10" x14ac:dyDescent="0.15">
      <c r="B668" s="119">
        <v>665</v>
      </c>
      <c r="C668" s="128"/>
      <c r="D668" s="94"/>
      <c r="E668" s="94" t="s">
        <v>64</v>
      </c>
      <c r="F668" s="94" t="s">
        <v>64</v>
      </c>
      <c r="G668" s="94"/>
      <c r="H668" s="94"/>
      <c r="I668" s="94">
        <v>1899</v>
      </c>
      <c r="J668" s="94">
        <v>12</v>
      </c>
    </row>
    <row r="669" spans="2:10" x14ac:dyDescent="0.15">
      <c r="B669" s="119">
        <v>666</v>
      </c>
      <c r="C669" s="129"/>
      <c r="D669" s="100"/>
      <c r="E669" s="100" t="s">
        <v>64</v>
      </c>
      <c r="F669" s="100" t="s">
        <v>64</v>
      </c>
      <c r="G669" s="100"/>
      <c r="H669" s="100"/>
      <c r="I669" s="100">
        <v>1899</v>
      </c>
      <c r="J669" s="100">
        <v>12</v>
      </c>
    </row>
    <row r="670" spans="2:10" x14ac:dyDescent="0.15">
      <c r="B670" s="119">
        <v>667</v>
      </c>
      <c r="C670" s="128"/>
      <c r="D670" s="94"/>
      <c r="E670" s="94" t="s">
        <v>64</v>
      </c>
      <c r="F670" s="94" t="s">
        <v>64</v>
      </c>
      <c r="G670" s="94"/>
      <c r="H670" s="94"/>
      <c r="I670" s="94">
        <v>1899</v>
      </c>
      <c r="J670" s="94">
        <v>12</v>
      </c>
    </row>
    <row r="671" spans="2:10" x14ac:dyDescent="0.15">
      <c r="B671" s="119">
        <v>668</v>
      </c>
      <c r="C671" s="129"/>
      <c r="D671" s="100"/>
      <c r="E671" s="100" t="s">
        <v>64</v>
      </c>
      <c r="F671" s="100" t="s">
        <v>64</v>
      </c>
      <c r="G671" s="100"/>
      <c r="H671" s="100"/>
      <c r="I671" s="100">
        <v>1899</v>
      </c>
      <c r="J671" s="100">
        <v>12</v>
      </c>
    </row>
    <row r="672" spans="2:10" x14ac:dyDescent="0.15">
      <c r="B672" s="119">
        <v>669</v>
      </c>
      <c r="C672" s="128"/>
      <c r="D672" s="94"/>
      <c r="E672" s="94" t="s">
        <v>64</v>
      </c>
      <c r="F672" s="94" t="s">
        <v>64</v>
      </c>
      <c r="G672" s="94"/>
      <c r="H672" s="94"/>
      <c r="I672" s="94">
        <v>1899</v>
      </c>
      <c r="J672" s="94">
        <v>12</v>
      </c>
    </row>
    <row r="673" spans="2:10" x14ac:dyDescent="0.15">
      <c r="B673" s="119">
        <v>670</v>
      </c>
      <c r="C673" s="129"/>
      <c r="D673" s="100"/>
      <c r="E673" s="100" t="s">
        <v>64</v>
      </c>
      <c r="F673" s="100" t="s">
        <v>64</v>
      </c>
      <c r="G673" s="100"/>
      <c r="H673" s="100"/>
      <c r="I673" s="100">
        <v>1899</v>
      </c>
      <c r="J673" s="100">
        <v>12</v>
      </c>
    </row>
    <row r="674" spans="2:10" x14ac:dyDescent="0.15">
      <c r="B674" s="119">
        <v>671</v>
      </c>
      <c r="C674" s="128"/>
      <c r="D674" s="94"/>
      <c r="E674" s="94" t="s">
        <v>64</v>
      </c>
      <c r="F674" s="94" t="s">
        <v>64</v>
      </c>
      <c r="G674" s="94"/>
      <c r="H674" s="94"/>
      <c r="I674" s="94">
        <v>1899</v>
      </c>
      <c r="J674" s="94">
        <v>12</v>
      </c>
    </row>
    <row r="675" spans="2:10" x14ac:dyDescent="0.15">
      <c r="B675" s="119">
        <v>672</v>
      </c>
      <c r="C675" s="129"/>
      <c r="D675" s="100"/>
      <c r="E675" s="100" t="s">
        <v>64</v>
      </c>
      <c r="F675" s="100" t="s">
        <v>64</v>
      </c>
      <c r="G675" s="100"/>
      <c r="H675" s="100"/>
      <c r="I675" s="100">
        <v>1899</v>
      </c>
      <c r="J675" s="100">
        <v>12</v>
      </c>
    </row>
    <row r="676" spans="2:10" x14ac:dyDescent="0.15">
      <c r="B676" s="119">
        <v>673</v>
      </c>
      <c r="C676" s="128"/>
      <c r="D676" s="94"/>
      <c r="E676" s="94" t="s">
        <v>64</v>
      </c>
      <c r="F676" s="94" t="s">
        <v>64</v>
      </c>
      <c r="G676" s="94"/>
      <c r="H676" s="94"/>
      <c r="I676" s="94">
        <v>1899</v>
      </c>
      <c r="J676" s="94">
        <v>12</v>
      </c>
    </row>
    <row r="677" spans="2:10" x14ac:dyDescent="0.15">
      <c r="B677" s="119">
        <v>674</v>
      </c>
      <c r="C677" s="129"/>
      <c r="D677" s="100"/>
      <c r="E677" s="100" t="s">
        <v>64</v>
      </c>
      <c r="F677" s="100" t="s">
        <v>64</v>
      </c>
      <c r="G677" s="100"/>
      <c r="H677" s="100"/>
      <c r="I677" s="100">
        <v>1899</v>
      </c>
      <c r="J677" s="100">
        <v>12</v>
      </c>
    </row>
    <row r="678" spans="2:10" x14ac:dyDescent="0.15">
      <c r="B678" s="119">
        <v>675</v>
      </c>
      <c r="C678" s="128"/>
      <c r="D678" s="94"/>
      <c r="E678" s="94" t="s">
        <v>64</v>
      </c>
      <c r="F678" s="94" t="s">
        <v>64</v>
      </c>
      <c r="G678" s="94"/>
      <c r="H678" s="94"/>
      <c r="I678" s="94">
        <v>1899</v>
      </c>
      <c r="J678" s="94">
        <v>12</v>
      </c>
    </row>
    <row r="679" spans="2:10" x14ac:dyDescent="0.15">
      <c r="B679" s="119">
        <v>676</v>
      </c>
      <c r="C679" s="129"/>
      <c r="D679" s="100"/>
      <c r="E679" s="100" t="s">
        <v>64</v>
      </c>
      <c r="F679" s="100" t="s">
        <v>64</v>
      </c>
      <c r="G679" s="100"/>
      <c r="H679" s="100"/>
      <c r="I679" s="100">
        <v>1899</v>
      </c>
      <c r="J679" s="100">
        <v>12</v>
      </c>
    </row>
    <row r="680" spans="2:10" x14ac:dyDescent="0.15">
      <c r="B680" s="119">
        <v>677</v>
      </c>
      <c r="C680" s="128"/>
      <c r="D680" s="94"/>
      <c r="E680" s="94" t="s">
        <v>64</v>
      </c>
      <c r="F680" s="94" t="s">
        <v>64</v>
      </c>
      <c r="G680" s="94"/>
      <c r="H680" s="94"/>
      <c r="I680" s="94">
        <v>1899</v>
      </c>
      <c r="J680" s="94">
        <v>12</v>
      </c>
    </row>
    <row r="681" spans="2:10" x14ac:dyDescent="0.15">
      <c r="B681" s="119">
        <v>678</v>
      </c>
      <c r="C681" s="129"/>
      <c r="D681" s="100"/>
      <c r="E681" s="100" t="s">
        <v>64</v>
      </c>
      <c r="F681" s="100" t="s">
        <v>64</v>
      </c>
      <c r="G681" s="100"/>
      <c r="H681" s="100"/>
      <c r="I681" s="100">
        <v>1899</v>
      </c>
      <c r="J681" s="100">
        <v>12</v>
      </c>
    </row>
    <row r="682" spans="2:10" x14ac:dyDescent="0.15">
      <c r="B682" s="119">
        <v>679</v>
      </c>
      <c r="C682" s="128"/>
      <c r="D682" s="94"/>
      <c r="E682" s="94" t="s">
        <v>64</v>
      </c>
      <c r="F682" s="94" t="s">
        <v>64</v>
      </c>
      <c r="G682" s="94"/>
      <c r="H682" s="94"/>
      <c r="I682" s="94">
        <v>1899</v>
      </c>
      <c r="J682" s="94">
        <v>12</v>
      </c>
    </row>
    <row r="683" spans="2:10" x14ac:dyDescent="0.15">
      <c r="B683" s="119">
        <v>680</v>
      </c>
      <c r="C683" s="129"/>
      <c r="D683" s="100"/>
      <c r="E683" s="100" t="s">
        <v>64</v>
      </c>
      <c r="F683" s="100" t="s">
        <v>64</v>
      </c>
      <c r="G683" s="100"/>
      <c r="H683" s="100"/>
      <c r="I683" s="100">
        <v>1899</v>
      </c>
      <c r="J683" s="100">
        <v>12</v>
      </c>
    </row>
    <row r="684" spans="2:10" x14ac:dyDescent="0.15">
      <c r="B684" s="119">
        <v>681</v>
      </c>
      <c r="C684" s="128"/>
      <c r="D684" s="94"/>
      <c r="E684" s="94" t="s">
        <v>64</v>
      </c>
      <c r="F684" s="94" t="s">
        <v>64</v>
      </c>
      <c r="G684" s="94"/>
      <c r="H684" s="94"/>
      <c r="I684" s="94">
        <v>1899</v>
      </c>
      <c r="J684" s="94">
        <v>12</v>
      </c>
    </row>
    <row r="685" spans="2:10" x14ac:dyDescent="0.15">
      <c r="B685" s="119">
        <v>682</v>
      </c>
      <c r="C685" s="129"/>
      <c r="D685" s="100"/>
      <c r="E685" s="100" t="s">
        <v>64</v>
      </c>
      <c r="F685" s="100" t="s">
        <v>64</v>
      </c>
      <c r="G685" s="100"/>
      <c r="H685" s="100"/>
      <c r="I685" s="100">
        <v>1899</v>
      </c>
      <c r="J685" s="100">
        <v>12</v>
      </c>
    </row>
    <row r="686" spans="2:10" x14ac:dyDescent="0.15">
      <c r="B686" s="119">
        <v>683</v>
      </c>
      <c r="C686" s="128"/>
      <c r="D686" s="94"/>
      <c r="E686" s="94" t="s">
        <v>64</v>
      </c>
      <c r="F686" s="94" t="s">
        <v>64</v>
      </c>
      <c r="G686" s="94"/>
      <c r="H686" s="94"/>
      <c r="I686" s="94">
        <v>1899</v>
      </c>
      <c r="J686" s="94">
        <v>12</v>
      </c>
    </row>
    <row r="687" spans="2:10" x14ac:dyDescent="0.15">
      <c r="B687" s="119">
        <v>684</v>
      </c>
      <c r="C687" s="129"/>
      <c r="D687" s="100"/>
      <c r="E687" s="100" t="s">
        <v>64</v>
      </c>
      <c r="F687" s="100" t="s">
        <v>64</v>
      </c>
      <c r="G687" s="100"/>
      <c r="H687" s="100"/>
      <c r="I687" s="100">
        <v>1899</v>
      </c>
      <c r="J687" s="100">
        <v>12</v>
      </c>
    </row>
    <row r="688" spans="2:10" x14ac:dyDescent="0.15">
      <c r="B688" s="119">
        <v>685</v>
      </c>
      <c r="C688" s="128"/>
      <c r="D688" s="94"/>
      <c r="E688" s="94" t="s">
        <v>64</v>
      </c>
      <c r="F688" s="94" t="s">
        <v>64</v>
      </c>
      <c r="G688" s="94"/>
      <c r="H688" s="94"/>
      <c r="I688" s="94">
        <v>1899</v>
      </c>
      <c r="J688" s="94">
        <v>12</v>
      </c>
    </row>
    <row r="689" spans="2:10" x14ac:dyDescent="0.15">
      <c r="B689" s="119">
        <v>686</v>
      </c>
      <c r="C689" s="129"/>
      <c r="D689" s="100"/>
      <c r="E689" s="100" t="s">
        <v>64</v>
      </c>
      <c r="F689" s="100" t="s">
        <v>64</v>
      </c>
      <c r="G689" s="100"/>
      <c r="H689" s="100"/>
      <c r="I689" s="100">
        <v>1899</v>
      </c>
      <c r="J689" s="100">
        <v>12</v>
      </c>
    </row>
    <row r="690" spans="2:10" x14ac:dyDescent="0.15">
      <c r="B690" s="119">
        <v>687</v>
      </c>
      <c r="C690" s="128"/>
      <c r="D690" s="94"/>
      <c r="E690" s="94" t="s">
        <v>64</v>
      </c>
      <c r="F690" s="94" t="s">
        <v>64</v>
      </c>
      <c r="G690" s="94"/>
      <c r="H690" s="94"/>
      <c r="I690" s="94">
        <v>1899</v>
      </c>
      <c r="J690" s="94">
        <v>12</v>
      </c>
    </row>
    <row r="691" spans="2:10" x14ac:dyDescent="0.15">
      <c r="B691" s="119">
        <v>688</v>
      </c>
      <c r="C691" s="129"/>
      <c r="D691" s="100"/>
      <c r="E691" s="100" t="s">
        <v>64</v>
      </c>
      <c r="F691" s="100" t="s">
        <v>64</v>
      </c>
      <c r="G691" s="100"/>
      <c r="H691" s="100"/>
      <c r="I691" s="100">
        <v>1899</v>
      </c>
      <c r="J691" s="100">
        <v>12</v>
      </c>
    </row>
    <row r="692" spans="2:10" x14ac:dyDescent="0.15">
      <c r="B692" s="119">
        <v>689</v>
      </c>
      <c r="C692" s="128"/>
      <c r="D692" s="94"/>
      <c r="E692" s="94" t="s">
        <v>64</v>
      </c>
      <c r="F692" s="94" t="s">
        <v>64</v>
      </c>
      <c r="G692" s="94"/>
      <c r="H692" s="94"/>
      <c r="I692" s="94">
        <v>1899</v>
      </c>
      <c r="J692" s="94">
        <v>12</v>
      </c>
    </row>
    <row r="693" spans="2:10" x14ac:dyDescent="0.15">
      <c r="B693" s="119">
        <v>690</v>
      </c>
      <c r="C693" s="129"/>
      <c r="D693" s="100"/>
      <c r="E693" s="100" t="s">
        <v>64</v>
      </c>
      <c r="F693" s="100" t="s">
        <v>64</v>
      </c>
      <c r="G693" s="100"/>
      <c r="H693" s="100"/>
      <c r="I693" s="100">
        <v>1899</v>
      </c>
      <c r="J693" s="100">
        <v>12</v>
      </c>
    </row>
    <row r="694" spans="2:10" x14ac:dyDescent="0.15">
      <c r="B694" s="119">
        <v>691</v>
      </c>
      <c r="C694" s="128"/>
      <c r="D694" s="94"/>
      <c r="E694" s="94" t="s">
        <v>64</v>
      </c>
      <c r="F694" s="94" t="s">
        <v>64</v>
      </c>
      <c r="G694" s="94"/>
      <c r="H694" s="94"/>
      <c r="I694" s="94">
        <v>1899</v>
      </c>
      <c r="J694" s="94">
        <v>12</v>
      </c>
    </row>
    <row r="695" spans="2:10" x14ac:dyDescent="0.15">
      <c r="B695" s="119">
        <v>692</v>
      </c>
      <c r="C695" s="129"/>
      <c r="D695" s="100"/>
      <c r="E695" s="100" t="s">
        <v>64</v>
      </c>
      <c r="F695" s="100" t="s">
        <v>64</v>
      </c>
      <c r="G695" s="100"/>
      <c r="H695" s="100"/>
      <c r="I695" s="100">
        <v>1899</v>
      </c>
      <c r="J695" s="100">
        <v>12</v>
      </c>
    </row>
    <row r="696" spans="2:10" x14ac:dyDescent="0.15">
      <c r="B696" s="119">
        <v>693</v>
      </c>
      <c r="C696" s="128"/>
      <c r="D696" s="94"/>
      <c r="E696" s="94" t="s">
        <v>64</v>
      </c>
      <c r="F696" s="94" t="s">
        <v>64</v>
      </c>
      <c r="G696" s="94"/>
      <c r="H696" s="94"/>
      <c r="I696" s="94">
        <v>1899</v>
      </c>
      <c r="J696" s="94">
        <v>12</v>
      </c>
    </row>
    <row r="697" spans="2:10" x14ac:dyDescent="0.15">
      <c r="B697" s="119">
        <v>694</v>
      </c>
      <c r="C697" s="129"/>
      <c r="D697" s="100"/>
      <c r="E697" s="100" t="s">
        <v>64</v>
      </c>
      <c r="F697" s="100" t="s">
        <v>64</v>
      </c>
      <c r="G697" s="100"/>
      <c r="H697" s="100"/>
      <c r="I697" s="100">
        <v>1899</v>
      </c>
      <c r="J697" s="100">
        <v>12</v>
      </c>
    </row>
    <row r="698" spans="2:10" x14ac:dyDescent="0.15">
      <c r="B698" s="119">
        <v>695</v>
      </c>
      <c r="C698" s="128"/>
      <c r="D698" s="94"/>
      <c r="E698" s="94" t="s">
        <v>64</v>
      </c>
      <c r="F698" s="94" t="s">
        <v>64</v>
      </c>
      <c r="G698" s="94"/>
      <c r="H698" s="94"/>
      <c r="I698" s="94">
        <v>1899</v>
      </c>
      <c r="J698" s="94">
        <v>12</v>
      </c>
    </row>
    <row r="699" spans="2:10" x14ac:dyDescent="0.15">
      <c r="B699" s="119">
        <v>696</v>
      </c>
      <c r="C699" s="129"/>
      <c r="D699" s="100"/>
      <c r="E699" s="100" t="s">
        <v>64</v>
      </c>
      <c r="F699" s="100" t="s">
        <v>64</v>
      </c>
      <c r="G699" s="100"/>
      <c r="H699" s="100"/>
      <c r="I699" s="100">
        <v>1899</v>
      </c>
      <c r="J699" s="100">
        <v>12</v>
      </c>
    </row>
    <row r="700" spans="2:10" x14ac:dyDescent="0.15">
      <c r="B700" s="119">
        <v>697</v>
      </c>
      <c r="C700" s="128"/>
      <c r="D700" s="94"/>
      <c r="E700" s="94" t="s">
        <v>64</v>
      </c>
      <c r="F700" s="94" t="s">
        <v>64</v>
      </c>
      <c r="G700" s="94"/>
      <c r="H700" s="94"/>
      <c r="I700" s="94">
        <v>1899</v>
      </c>
      <c r="J700" s="94">
        <v>12</v>
      </c>
    </row>
    <row r="701" spans="2:10" x14ac:dyDescent="0.15">
      <c r="B701" s="119">
        <v>698</v>
      </c>
      <c r="C701" s="129"/>
      <c r="D701" s="100"/>
      <c r="E701" s="100" t="s">
        <v>64</v>
      </c>
      <c r="F701" s="100" t="s">
        <v>64</v>
      </c>
      <c r="G701" s="100"/>
      <c r="H701" s="100"/>
      <c r="I701" s="100">
        <v>1899</v>
      </c>
      <c r="J701" s="100">
        <v>12</v>
      </c>
    </row>
    <row r="702" spans="2:10" x14ac:dyDescent="0.15">
      <c r="B702" s="119">
        <v>699</v>
      </c>
      <c r="C702" s="128"/>
      <c r="D702" s="94"/>
      <c r="E702" s="94" t="s">
        <v>64</v>
      </c>
      <c r="F702" s="94" t="s">
        <v>64</v>
      </c>
      <c r="G702" s="94"/>
      <c r="H702" s="94"/>
      <c r="I702" s="94">
        <v>1899</v>
      </c>
      <c r="J702" s="94">
        <v>12</v>
      </c>
    </row>
    <row r="703" spans="2:10" x14ac:dyDescent="0.15">
      <c r="B703" s="119">
        <v>700</v>
      </c>
      <c r="C703" s="129"/>
      <c r="D703" s="100"/>
      <c r="E703" s="100" t="s">
        <v>64</v>
      </c>
      <c r="F703" s="100" t="s">
        <v>64</v>
      </c>
      <c r="G703" s="100"/>
      <c r="H703" s="100"/>
      <c r="I703" s="100">
        <v>1899</v>
      </c>
      <c r="J703" s="100">
        <v>12</v>
      </c>
    </row>
    <row r="704" spans="2:10" x14ac:dyDescent="0.15">
      <c r="B704" s="119">
        <v>701</v>
      </c>
      <c r="C704" s="128"/>
      <c r="D704" s="94"/>
      <c r="E704" s="94" t="s">
        <v>64</v>
      </c>
      <c r="F704" s="94" t="s">
        <v>64</v>
      </c>
      <c r="G704" s="94"/>
      <c r="H704" s="94"/>
      <c r="I704" s="94">
        <v>1899</v>
      </c>
      <c r="J704" s="94">
        <v>12</v>
      </c>
    </row>
    <row r="705" spans="2:10" x14ac:dyDescent="0.15">
      <c r="B705" s="119">
        <v>702</v>
      </c>
      <c r="C705" s="129"/>
      <c r="D705" s="100"/>
      <c r="E705" s="100" t="s">
        <v>64</v>
      </c>
      <c r="F705" s="100" t="s">
        <v>64</v>
      </c>
      <c r="G705" s="100"/>
      <c r="H705" s="100"/>
      <c r="I705" s="100">
        <v>1899</v>
      </c>
      <c r="J705" s="100">
        <v>12</v>
      </c>
    </row>
    <row r="706" spans="2:10" x14ac:dyDescent="0.15">
      <c r="B706" s="119">
        <v>703</v>
      </c>
      <c r="C706" s="128"/>
      <c r="D706" s="94"/>
      <c r="E706" s="94" t="s">
        <v>64</v>
      </c>
      <c r="F706" s="94" t="s">
        <v>64</v>
      </c>
      <c r="G706" s="94"/>
      <c r="H706" s="94"/>
      <c r="I706" s="94">
        <v>1899</v>
      </c>
      <c r="J706" s="94">
        <v>12</v>
      </c>
    </row>
    <row r="707" spans="2:10" x14ac:dyDescent="0.15">
      <c r="B707" s="119">
        <v>704</v>
      </c>
      <c r="C707" s="129"/>
      <c r="D707" s="100"/>
      <c r="E707" s="100" t="s">
        <v>64</v>
      </c>
      <c r="F707" s="100" t="s">
        <v>64</v>
      </c>
      <c r="G707" s="100"/>
      <c r="H707" s="100"/>
      <c r="I707" s="100">
        <v>1899</v>
      </c>
      <c r="J707" s="100">
        <v>12</v>
      </c>
    </row>
    <row r="708" spans="2:10" x14ac:dyDescent="0.15">
      <c r="B708" s="119">
        <v>705</v>
      </c>
      <c r="C708" s="128"/>
      <c r="D708" s="94"/>
      <c r="E708" s="94" t="s">
        <v>64</v>
      </c>
      <c r="F708" s="94" t="s">
        <v>64</v>
      </c>
      <c r="G708" s="94"/>
      <c r="H708" s="94"/>
      <c r="I708" s="94">
        <v>1899</v>
      </c>
      <c r="J708" s="94">
        <v>12</v>
      </c>
    </row>
    <row r="709" spans="2:10" x14ac:dyDescent="0.15">
      <c r="B709" s="119">
        <v>706</v>
      </c>
      <c r="C709" s="129"/>
      <c r="D709" s="100"/>
      <c r="E709" s="100" t="s">
        <v>64</v>
      </c>
      <c r="F709" s="100" t="s">
        <v>64</v>
      </c>
      <c r="G709" s="100"/>
      <c r="H709" s="100"/>
      <c r="I709" s="100">
        <v>1899</v>
      </c>
      <c r="J709" s="100">
        <v>12</v>
      </c>
    </row>
    <row r="710" spans="2:10" x14ac:dyDescent="0.15">
      <c r="B710" s="119">
        <v>707</v>
      </c>
      <c r="C710" s="128"/>
      <c r="D710" s="94"/>
      <c r="E710" s="94" t="s">
        <v>64</v>
      </c>
      <c r="F710" s="94" t="s">
        <v>64</v>
      </c>
      <c r="G710" s="94"/>
      <c r="H710" s="94"/>
      <c r="I710" s="94">
        <v>1899</v>
      </c>
      <c r="J710" s="94">
        <v>12</v>
      </c>
    </row>
    <row r="711" spans="2:10" x14ac:dyDescent="0.15">
      <c r="B711" s="119">
        <v>708</v>
      </c>
      <c r="C711" s="129"/>
      <c r="D711" s="100"/>
      <c r="E711" s="100" t="s">
        <v>64</v>
      </c>
      <c r="F711" s="100" t="s">
        <v>64</v>
      </c>
      <c r="G711" s="100"/>
      <c r="H711" s="100"/>
      <c r="I711" s="100">
        <v>1899</v>
      </c>
      <c r="J711" s="100">
        <v>12</v>
      </c>
    </row>
    <row r="712" spans="2:10" x14ac:dyDescent="0.15">
      <c r="B712" s="119">
        <v>709</v>
      </c>
      <c r="C712" s="128"/>
      <c r="D712" s="94"/>
      <c r="E712" s="94" t="s">
        <v>64</v>
      </c>
      <c r="F712" s="94" t="s">
        <v>64</v>
      </c>
      <c r="G712" s="94"/>
      <c r="H712" s="94"/>
      <c r="I712" s="94">
        <v>1899</v>
      </c>
      <c r="J712" s="94">
        <v>12</v>
      </c>
    </row>
    <row r="713" spans="2:10" x14ac:dyDescent="0.15">
      <c r="B713" s="119">
        <v>710</v>
      </c>
      <c r="C713" s="129"/>
      <c r="D713" s="100"/>
      <c r="E713" s="100" t="s">
        <v>64</v>
      </c>
      <c r="F713" s="100" t="s">
        <v>64</v>
      </c>
      <c r="G713" s="100"/>
      <c r="H713" s="100"/>
      <c r="I713" s="100">
        <v>1899</v>
      </c>
      <c r="J713" s="100">
        <v>12</v>
      </c>
    </row>
    <row r="714" spans="2:10" x14ac:dyDescent="0.15">
      <c r="B714" s="119">
        <v>711</v>
      </c>
      <c r="C714" s="128"/>
      <c r="D714" s="94"/>
      <c r="E714" s="94" t="s">
        <v>64</v>
      </c>
      <c r="F714" s="94" t="s">
        <v>64</v>
      </c>
      <c r="G714" s="94"/>
      <c r="H714" s="94"/>
      <c r="I714" s="94">
        <v>1899</v>
      </c>
      <c r="J714" s="94">
        <v>12</v>
      </c>
    </row>
    <row r="715" spans="2:10" x14ac:dyDescent="0.15">
      <c r="B715" s="119">
        <v>712</v>
      </c>
      <c r="C715" s="129"/>
      <c r="D715" s="100"/>
      <c r="E715" s="100" t="s">
        <v>64</v>
      </c>
      <c r="F715" s="100" t="s">
        <v>64</v>
      </c>
      <c r="G715" s="100"/>
      <c r="H715" s="100"/>
      <c r="I715" s="100">
        <v>1899</v>
      </c>
      <c r="J715" s="100">
        <v>12</v>
      </c>
    </row>
    <row r="716" spans="2:10" x14ac:dyDescent="0.15">
      <c r="B716" s="119">
        <v>713</v>
      </c>
      <c r="C716" s="128"/>
      <c r="D716" s="94"/>
      <c r="E716" s="94" t="s">
        <v>64</v>
      </c>
      <c r="F716" s="94" t="s">
        <v>64</v>
      </c>
      <c r="G716" s="94"/>
      <c r="H716" s="94"/>
      <c r="I716" s="94">
        <v>1899</v>
      </c>
      <c r="J716" s="94">
        <v>12</v>
      </c>
    </row>
    <row r="717" spans="2:10" x14ac:dyDescent="0.15">
      <c r="B717" s="119">
        <v>714</v>
      </c>
      <c r="C717" s="129"/>
      <c r="D717" s="100"/>
      <c r="E717" s="100" t="s">
        <v>64</v>
      </c>
      <c r="F717" s="100" t="s">
        <v>64</v>
      </c>
      <c r="G717" s="100"/>
      <c r="H717" s="100"/>
      <c r="I717" s="100">
        <v>1899</v>
      </c>
      <c r="J717" s="100">
        <v>12</v>
      </c>
    </row>
    <row r="718" spans="2:10" x14ac:dyDescent="0.15">
      <c r="B718" s="119">
        <v>715</v>
      </c>
      <c r="C718" s="128"/>
      <c r="D718" s="94"/>
      <c r="E718" s="94" t="s">
        <v>64</v>
      </c>
      <c r="F718" s="94" t="s">
        <v>64</v>
      </c>
      <c r="G718" s="94"/>
      <c r="H718" s="94"/>
      <c r="I718" s="94">
        <v>1899</v>
      </c>
      <c r="J718" s="94">
        <v>12</v>
      </c>
    </row>
    <row r="719" spans="2:10" x14ac:dyDescent="0.15">
      <c r="B719" s="119">
        <v>716</v>
      </c>
      <c r="C719" s="129"/>
      <c r="D719" s="100"/>
      <c r="E719" s="100" t="s">
        <v>64</v>
      </c>
      <c r="F719" s="100" t="s">
        <v>64</v>
      </c>
      <c r="G719" s="100"/>
      <c r="H719" s="100"/>
      <c r="I719" s="100">
        <v>1899</v>
      </c>
      <c r="J719" s="100">
        <v>12</v>
      </c>
    </row>
    <row r="720" spans="2:10" x14ac:dyDescent="0.15">
      <c r="B720" s="119">
        <v>717</v>
      </c>
      <c r="C720" s="128"/>
      <c r="D720" s="94"/>
      <c r="E720" s="94" t="s">
        <v>64</v>
      </c>
      <c r="F720" s="94" t="s">
        <v>64</v>
      </c>
      <c r="G720" s="94"/>
      <c r="H720" s="94"/>
      <c r="I720" s="94">
        <v>1899</v>
      </c>
      <c r="J720" s="94">
        <v>12</v>
      </c>
    </row>
    <row r="721" spans="2:10" x14ac:dyDescent="0.15">
      <c r="B721" s="119">
        <v>718</v>
      </c>
      <c r="C721" s="129"/>
      <c r="D721" s="100"/>
      <c r="E721" s="100" t="s">
        <v>64</v>
      </c>
      <c r="F721" s="100" t="s">
        <v>64</v>
      </c>
      <c r="G721" s="100"/>
      <c r="H721" s="100"/>
      <c r="I721" s="100">
        <v>1899</v>
      </c>
      <c r="J721" s="100">
        <v>12</v>
      </c>
    </row>
    <row r="722" spans="2:10" x14ac:dyDescent="0.15">
      <c r="B722" s="119">
        <v>719</v>
      </c>
      <c r="C722" s="128"/>
      <c r="D722" s="94"/>
      <c r="E722" s="94" t="s">
        <v>64</v>
      </c>
      <c r="F722" s="94" t="s">
        <v>64</v>
      </c>
      <c r="G722" s="94"/>
      <c r="H722" s="94"/>
      <c r="I722" s="94">
        <v>1899</v>
      </c>
      <c r="J722" s="94">
        <v>12</v>
      </c>
    </row>
    <row r="723" spans="2:10" x14ac:dyDescent="0.15">
      <c r="B723" s="119">
        <v>720</v>
      </c>
      <c r="C723" s="129"/>
      <c r="D723" s="100"/>
      <c r="E723" s="100" t="s">
        <v>64</v>
      </c>
      <c r="F723" s="100" t="s">
        <v>64</v>
      </c>
      <c r="G723" s="100"/>
      <c r="H723" s="100"/>
      <c r="I723" s="100">
        <v>1899</v>
      </c>
      <c r="J723" s="100">
        <v>12</v>
      </c>
    </row>
    <row r="724" spans="2:10" x14ac:dyDescent="0.15">
      <c r="B724" s="119">
        <v>721</v>
      </c>
      <c r="C724" s="128"/>
      <c r="D724" s="94"/>
      <c r="E724" s="94" t="s">
        <v>64</v>
      </c>
      <c r="F724" s="94" t="s">
        <v>64</v>
      </c>
      <c r="G724" s="94"/>
      <c r="H724" s="94"/>
      <c r="I724" s="94">
        <v>1899</v>
      </c>
      <c r="J724" s="94">
        <v>12</v>
      </c>
    </row>
    <row r="725" spans="2:10" x14ac:dyDescent="0.15">
      <c r="B725" s="119">
        <v>722</v>
      </c>
      <c r="C725" s="129"/>
      <c r="D725" s="100"/>
      <c r="E725" s="100" t="s">
        <v>64</v>
      </c>
      <c r="F725" s="100" t="s">
        <v>64</v>
      </c>
      <c r="G725" s="100"/>
      <c r="H725" s="100"/>
      <c r="I725" s="100">
        <v>1899</v>
      </c>
      <c r="J725" s="100">
        <v>12</v>
      </c>
    </row>
    <row r="726" spans="2:10" x14ac:dyDescent="0.15">
      <c r="B726" s="119">
        <v>723</v>
      </c>
      <c r="C726" s="128"/>
      <c r="D726" s="94"/>
      <c r="E726" s="94" t="s">
        <v>64</v>
      </c>
      <c r="F726" s="94" t="s">
        <v>64</v>
      </c>
      <c r="G726" s="94"/>
      <c r="H726" s="94"/>
      <c r="I726" s="94">
        <v>1899</v>
      </c>
      <c r="J726" s="94">
        <v>12</v>
      </c>
    </row>
    <row r="727" spans="2:10" x14ac:dyDescent="0.15">
      <c r="B727" s="119">
        <v>724</v>
      </c>
      <c r="C727" s="129"/>
      <c r="D727" s="100"/>
      <c r="E727" s="100" t="s">
        <v>64</v>
      </c>
      <c r="F727" s="100" t="s">
        <v>64</v>
      </c>
      <c r="G727" s="100"/>
      <c r="H727" s="100"/>
      <c r="I727" s="100">
        <v>1899</v>
      </c>
      <c r="J727" s="100">
        <v>12</v>
      </c>
    </row>
    <row r="728" spans="2:10" x14ac:dyDescent="0.15">
      <c r="B728" s="119">
        <v>725</v>
      </c>
      <c r="C728" s="128"/>
      <c r="D728" s="94"/>
      <c r="E728" s="94" t="s">
        <v>64</v>
      </c>
      <c r="F728" s="94" t="s">
        <v>64</v>
      </c>
      <c r="G728" s="94"/>
      <c r="H728" s="94"/>
      <c r="I728" s="94">
        <v>1899</v>
      </c>
      <c r="J728" s="94">
        <v>12</v>
      </c>
    </row>
    <row r="729" spans="2:10" x14ac:dyDescent="0.15">
      <c r="B729" s="119">
        <v>726</v>
      </c>
      <c r="C729" s="129"/>
      <c r="D729" s="100"/>
      <c r="E729" s="100" t="s">
        <v>64</v>
      </c>
      <c r="F729" s="100" t="s">
        <v>64</v>
      </c>
      <c r="G729" s="100"/>
      <c r="H729" s="100"/>
      <c r="I729" s="100">
        <v>1899</v>
      </c>
      <c r="J729" s="100">
        <v>12</v>
      </c>
    </row>
    <row r="730" spans="2:10" x14ac:dyDescent="0.15">
      <c r="B730" s="119">
        <v>727</v>
      </c>
      <c r="C730" s="128"/>
      <c r="D730" s="94"/>
      <c r="E730" s="94" t="s">
        <v>64</v>
      </c>
      <c r="F730" s="94" t="s">
        <v>64</v>
      </c>
      <c r="G730" s="94"/>
      <c r="H730" s="94"/>
      <c r="I730" s="94">
        <v>1899</v>
      </c>
      <c r="J730" s="94">
        <v>12</v>
      </c>
    </row>
    <row r="731" spans="2:10" x14ac:dyDescent="0.15">
      <c r="B731" s="119">
        <v>728</v>
      </c>
      <c r="C731" s="129"/>
      <c r="D731" s="100"/>
      <c r="E731" s="100" t="s">
        <v>64</v>
      </c>
      <c r="F731" s="100" t="s">
        <v>64</v>
      </c>
      <c r="G731" s="100"/>
      <c r="H731" s="100"/>
      <c r="I731" s="100">
        <v>1899</v>
      </c>
      <c r="J731" s="100">
        <v>12</v>
      </c>
    </row>
    <row r="732" spans="2:10" x14ac:dyDescent="0.15">
      <c r="B732" s="119">
        <v>729</v>
      </c>
      <c r="C732" s="128"/>
      <c r="D732" s="94"/>
      <c r="E732" s="94" t="s">
        <v>64</v>
      </c>
      <c r="F732" s="94" t="s">
        <v>64</v>
      </c>
      <c r="G732" s="94"/>
      <c r="H732" s="94"/>
      <c r="I732" s="94">
        <v>1899</v>
      </c>
      <c r="J732" s="94">
        <v>12</v>
      </c>
    </row>
    <row r="733" spans="2:10" x14ac:dyDescent="0.15">
      <c r="B733" s="119">
        <v>730</v>
      </c>
      <c r="C733" s="129"/>
      <c r="D733" s="100"/>
      <c r="E733" s="100" t="s">
        <v>64</v>
      </c>
      <c r="F733" s="100" t="s">
        <v>64</v>
      </c>
      <c r="G733" s="100"/>
      <c r="H733" s="100"/>
      <c r="I733" s="100">
        <v>1899</v>
      </c>
      <c r="J733" s="100">
        <v>12</v>
      </c>
    </row>
    <row r="734" spans="2:10" x14ac:dyDescent="0.15">
      <c r="B734" s="119">
        <v>731</v>
      </c>
      <c r="C734" s="128"/>
      <c r="D734" s="94"/>
      <c r="E734" s="94" t="s">
        <v>64</v>
      </c>
      <c r="F734" s="94" t="s">
        <v>64</v>
      </c>
      <c r="G734" s="94"/>
      <c r="H734" s="94"/>
      <c r="I734" s="94">
        <v>1899</v>
      </c>
      <c r="J734" s="94">
        <v>12</v>
      </c>
    </row>
    <row r="735" spans="2:10" x14ac:dyDescent="0.15">
      <c r="B735" s="119">
        <v>732</v>
      </c>
      <c r="C735" s="129"/>
      <c r="D735" s="100"/>
      <c r="E735" s="100" t="s">
        <v>64</v>
      </c>
      <c r="F735" s="100" t="s">
        <v>64</v>
      </c>
      <c r="G735" s="100"/>
      <c r="H735" s="100"/>
      <c r="I735" s="100">
        <v>1899</v>
      </c>
      <c r="J735" s="100">
        <v>12</v>
      </c>
    </row>
    <row r="736" spans="2:10" x14ac:dyDescent="0.15">
      <c r="B736" s="119">
        <v>733</v>
      </c>
      <c r="C736" s="128"/>
      <c r="D736" s="94"/>
      <c r="E736" s="94" t="s">
        <v>64</v>
      </c>
      <c r="F736" s="94" t="s">
        <v>64</v>
      </c>
      <c r="G736" s="94"/>
      <c r="H736" s="94"/>
      <c r="I736" s="94">
        <v>1899</v>
      </c>
      <c r="J736" s="94">
        <v>12</v>
      </c>
    </row>
    <row r="737" spans="2:10" x14ac:dyDescent="0.15">
      <c r="B737" s="119">
        <v>734</v>
      </c>
      <c r="C737" s="129"/>
      <c r="D737" s="100"/>
      <c r="E737" s="100" t="s">
        <v>64</v>
      </c>
      <c r="F737" s="100" t="s">
        <v>64</v>
      </c>
      <c r="G737" s="100"/>
      <c r="H737" s="100"/>
      <c r="I737" s="100">
        <v>1899</v>
      </c>
      <c r="J737" s="100">
        <v>12</v>
      </c>
    </row>
    <row r="738" spans="2:10" x14ac:dyDescent="0.15">
      <c r="B738" s="119">
        <v>735</v>
      </c>
      <c r="C738" s="128"/>
      <c r="D738" s="94"/>
      <c r="E738" s="94" t="s">
        <v>64</v>
      </c>
      <c r="F738" s="94" t="s">
        <v>64</v>
      </c>
      <c r="G738" s="94"/>
      <c r="H738" s="94"/>
      <c r="I738" s="94">
        <v>1899</v>
      </c>
      <c r="J738" s="94">
        <v>12</v>
      </c>
    </row>
    <row r="739" spans="2:10" x14ac:dyDescent="0.15">
      <c r="B739" s="119">
        <v>736</v>
      </c>
      <c r="C739" s="129"/>
      <c r="D739" s="100"/>
      <c r="E739" s="100" t="s">
        <v>64</v>
      </c>
      <c r="F739" s="100" t="s">
        <v>64</v>
      </c>
      <c r="G739" s="100"/>
      <c r="H739" s="100"/>
      <c r="I739" s="100">
        <v>1899</v>
      </c>
      <c r="J739" s="100">
        <v>12</v>
      </c>
    </row>
    <row r="740" spans="2:10" x14ac:dyDescent="0.15">
      <c r="B740" s="119">
        <v>737</v>
      </c>
      <c r="C740" s="128"/>
      <c r="D740" s="94"/>
      <c r="E740" s="94" t="s">
        <v>64</v>
      </c>
      <c r="F740" s="94" t="s">
        <v>64</v>
      </c>
      <c r="G740" s="94"/>
      <c r="H740" s="94"/>
      <c r="I740" s="94">
        <v>1899</v>
      </c>
      <c r="J740" s="94">
        <v>12</v>
      </c>
    </row>
    <row r="741" spans="2:10" x14ac:dyDescent="0.15">
      <c r="B741" s="119">
        <v>738</v>
      </c>
      <c r="C741" s="129"/>
      <c r="D741" s="100"/>
      <c r="E741" s="100" t="s">
        <v>64</v>
      </c>
      <c r="F741" s="100" t="s">
        <v>64</v>
      </c>
      <c r="G741" s="100"/>
      <c r="H741" s="100"/>
      <c r="I741" s="100">
        <v>1899</v>
      </c>
      <c r="J741" s="100">
        <v>12</v>
      </c>
    </row>
    <row r="742" spans="2:10" x14ac:dyDescent="0.15">
      <c r="B742" s="119">
        <v>739</v>
      </c>
      <c r="C742" s="128"/>
      <c r="D742" s="94"/>
      <c r="E742" s="94" t="s">
        <v>64</v>
      </c>
      <c r="F742" s="94" t="s">
        <v>64</v>
      </c>
      <c r="G742" s="94"/>
      <c r="H742" s="94"/>
      <c r="I742" s="94">
        <v>1899</v>
      </c>
      <c r="J742" s="94">
        <v>12</v>
      </c>
    </row>
    <row r="743" spans="2:10" x14ac:dyDescent="0.15">
      <c r="B743" s="119">
        <v>740</v>
      </c>
      <c r="C743" s="129"/>
      <c r="D743" s="100"/>
      <c r="E743" s="100" t="s">
        <v>64</v>
      </c>
      <c r="F743" s="100" t="s">
        <v>64</v>
      </c>
      <c r="G743" s="100"/>
      <c r="H743" s="100"/>
      <c r="I743" s="100">
        <v>1899</v>
      </c>
      <c r="J743" s="100">
        <v>12</v>
      </c>
    </row>
    <row r="744" spans="2:10" x14ac:dyDescent="0.15">
      <c r="B744" s="119">
        <v>741</v>
      </c>
      <c r="C744" s="128"/>
      <c r="D744" s="94"/>
      <c r="E744" s="94" t="s">
        <v>64</v>
      </c>
      <c r="F744" s="94" t="s">
        <v>64</v>
      </c>
      <c r="G744" s="94"/>
      <c r="H744" s="94"/>
      <c r="I744" s="94">
        <v>1899</v>
      </c>
      <c r="J744" s="94">
        <v>12</v>
      </c>
    </row>
    <row r="745" spans="2:10" x14ac:dyDescent="0.15">
      <c r="B745" s="119">
        <v>742</v>
      </c>
      <c r="C745" s="129"/>
      <c r="D745" s="100"/>
      <c r="E745" s="100" t="s">
        <v>64</v>
      </c>
      <c r="F745" s="100" t="s">
        <v>64</v>
      </c>
      <c r="G745" s="100"/>
      <c r="H745" s="100"/>
      <c r="I745" s="100">
        <v>1899</v>
      </c>
      <c r="J745" s="100">
        <v>12</v>
      </c>
    </row>
    <row r="746" spans="2:10" x14ac:dyDescent="0.15">
      <c r="B746" s="119">
        <v>743</v>
      </c>
      <c r="C746" s="128"/>
      <c r="D746" s="94"/>
      <c r="E746" s="94" t="s">
        <v>64</v>
      </c>
      <c r="F746" s="94" t="s">
        <v>64</v>
      </c>
      <c r="G746" s="94"/>
      <c r="H746" s="94"/>
      <c r="I746" s="94">
        <v>1899</v>
      </c>
      <c r="J746" s="94">
        <v>12</v>
      </c>
    </row>
    <row r="747" spans="2:10" x14ac:dyDescent="0.15">
      <c r="B747" s="119">
        <v>744</v>
      </c>
      <c r="C747" s="129"/>
      <c r="D747" s="100"/>
      <c r="E747" s="100" t="s">
        <v>64</v>
      </c>
      <c r="F747" s="100" t="s">
        <v>64</v>
      </c>
      <c r="G747" s="100"/>
      <c r="H747" s="100"/>
      <c r="I747" s="100">
        <v>1899</v>
      </c>
      <c r="J747" s="100">
        <v>12</v>
      </c>
    </row>
    <row r="748" spans="2:10" x14ac:dyDescent="0.15">
      <c r="B748" s="119">
        <v>745</v>
      </c>
      <c r="C748" s="128"/>
      <c r="D748" s="94"/>
      <c r="E748" s="94" t="s">
        <v>64</v>
      </c>
      <c r="F748" s="94" t="s">
        <v>64</v>
      </c>
      <c r="G748" s="94"/>
      <c r="H748" s="94"/>
      <c r="I748" s="94">
        <v>1899</v>
      </c>
      <c r="J748" s="94">
        <v>12</v>
      </c>
    </row>
    <row r="749" spans="2:10" x14ac:dyDescent="0.15">
      <c r="B749" s="119">
        <v>746</v>
      </c>
      <c r="C749" s="129"/>
      <c r="D749" s="100"/>
      <c r="E749" s="100" t="s">
        <v>64</v>
      </c>
      <c r="F749" s="100" t="s">
        <v>64</v>
      </c>
      <c r="G749" s="100"/>
      <c r="H749" s="100"/>
      <c r="I749" s="100">
        <v>1899</v>
      </c>
      <c r="J749" s="100">
        <v>12</v>
      </c>
    </row>
    <row r="750" spans="2:10" x14ac:dyDescent="0.15">
      <c r="B750" s="119">
        <v>747</v>
      </c>
      <c r="C750" s="128"/>
      <c r="D750" s="94"/>
      <c r="E750" s="94" t="s">
        <v>64</v>
      </c>
      <c r="F750" s="94" t="s">
        <v>64</v>
      </c>
      <c r="G750" s="94"/>
      <c r="H750" s="94"/>
      <c r="I750" s="94">
        <v>1899</v>
      </c>
      <c r="J750" s="94">
        <v>12</v>
      </c>
    </row>
    <row r="751" spans="2:10" x14ac:dyDescent="0.15">
      <c r="B751" s="119">
        <v>748</v>
      </c>
      <c r="C751" s="129"/>
      <c r="D751" s="100"/>
      <c r="E751" s="100" t="s">
        <v>64</v>
      </c>
      <c r="F751" s="100" t="s">
        <v>64</v>
      </c>
      <c r="G751" s="100"/>
      <c r="H751" s="100"/>
      <c r="I751" s="100">
        <v>1899</v>
      </c>
      <c r="J751" s="100">
        <v>12</v>
      </c>
    </row>
    <row r="752" spans="2:10" x14ac:dyDescent="0.15">
      <c r="B752" s="119">
        <v>749</v>
      </c>
      <c r="C752" s="128"/>
      <c r="D752" s="94"/>
      <c r="E752" s="94" t="s">
        <v>64</v>
      </c>
      <c r="F752" s="94" t="s">
        <v>64</v>
      </c>
      <c r="G752" s="94"/>
      <c r="H752" s="94"/>
      <c r="I752" s="94">
        <v>1899</v>
      </c>
      <c r="J752" s="94">
        <v>12</v>
      </c>
    </row>
    <row r="753" spans="2:10" x14ac:dyDescent="0.15">
      <c r="B753" s="119">
        <v>750</v>
      </c>
      <c r="C753" s="129"/>
      <c r="D753" s="100"/>
      <c r="E753" s="100" t="s">
        <v>64</v>
      </c>
      <c r="F753" s="100" t="s">
        <v>64</v>
      </c>
      <c r="G753" s="100"/>
      <c r="H753" s="100"/>
      <c r="I753" s="100">
        <v>1899</v>
      </c>
      <c r="J753" s="100">
        <v>12</v>
      </c>
    </row>
    <row r="754" spans="2:10" x14ac:dyDescent="0.15">
      <c r="B754" s="119">
        <v>751</v>
      </c>
      <c r="C754" s="128"/>
      <c r="D754" s="94"/>
      <c r="E754" s="94" t="s">
        <v>64</v>
      </c>
      <c r="F754" s="94" t="s">
        <v>64</v>
      </c>
      <c r="G754" s="94"/>
      <c r="H754" s="94"/>
      <c r="I754" s="94">
        <v>1899</v>
      </c>
      <c r="J754" s="94">
        <v>12</v>
      </c>
    </row>
    <row r="755" spans="2:10" x14ac:dyDescent="0.15">
      <c r="B755" s="119">
        <v>752</v>
      </c>
      <c r="C755" s="129"/>
      <c r="D755" s="100"/>
      <c r="E755" s="100" t="s">
        <v>64</v>
      </c>
      <c r="F755" s="100" t="s">
        <v>64</v>
      </c>
      <c r="G755" s="100"/>
      <c r="H755" s="100"/>
      <c r="I755" s="100">
        <v>1899</v>
      </c>
      <c r="J755" s="100">
        <v>12</v>
      </c>
    </row>
    <row r="756" spans="2:10" x14ac:dyDescent="0.15">
      <c r="B756" s="119">
        <v>753</v>
      </c>
      <c r="C756" s="128"/>
      <c r="D756" s="94"/>
      <c r="E756" s="94" t="s">
        <v>64</v>
      </c>
      <c r="F756" s="94" t="s">
        <v>64</v>
      </c>
      <c r="G756" s="94"/>
      <c r="H756" s="94"/>
      <c r="I756" s="94">
        <v>1899</v>
      </c>
      <c r="J756" s="94">
        <v>12</v>
      </c>
    </row>
    <row r="757" spans="2:10" x14ac:dyDescent="0.15">
      <c r="B757" s="119">
        <v>754</v>
      </c>
      <c r="C757" s="129"/>
      <c r="D757" s="100"/>
      <c r="E757" s="100" t="s">
        <v>64</v>
      </c>
      <c r="F757" s="100" t="s">
        <v>64</v>
      </c>
      <c r="G757" s="100"/>
      <c r="H757" s="100"/>
      <c r="I757" s="100">
        <v>1899</v>
      </c>
      <c r="J757" s="100">
        <v>12</v>
      </c>
    </row>
    <row r="758" spans="2:10" x14ac:dyDescent="0.15">
      <c r="B758" s="119">
        <v>755</v>
      </c>
      <c r="C758" s="128"/>
      <c r="D758" s="94"/>
      <c r="E758" s="94" t="s">
        <v>64</v>
      </c>
      <c r="F758" s="94" t="s">
        <v>64</v>
      </c>
      <c r="G758" s="94"/>
      <c r="H758" s="94"/>
      <c r="I758" s="94">
        <v>1899</v>
      </c>
      <c r="J758" s="94">
        <v>12</v>
      </c>
    </row>
    <row r="759" spans="2:10" x14ac:dyDescent="0.15">
      <c r="B759" s="119">
        <v>756</v>
      </c>
      <c r="C759" s="129"/>
      <c r="D759" s="100"/>
      <c r="E759" s="100" t="s">
        <v>64</v>
      </c>
      <c r="F759" s="100" t="s">
        <v>64</v>
      </c>
      <c r="G759" s="100"/>
      <c r="H759" s="100"/>
      <c r="I759" s="100">
        <v>1899</v>
      </c>
      <c r="J759" s="100">
        <v>12</v>
      </c>
    </row>
    <row r="760" spans="2:10" x14ac:dyDescent="0.15">
      <c r="B760" s="119">
        <v>757</v>
      </c>
      <c r="C760" s="128"/>
      <c r="D760" s="94"/>
      <c r="E760" s="94" t="s">
        <v>64</v>
      </c>
      <c r="F760" s="94" t="s">
        <v>64</v>
      </c>
      <c r="G760" s="94"/>
      <c r="H760" s="94"/>
      <c r="I760" s="94">
        <v>1899</v>
      </c>
      <c r="J760" s="94">
        <v>12</v>
      </c>
    </row>
    <row r="761" spans="2:10" x14ac:dyDescent="0.15">
      <c r="B761" s="119">
        <v>758</v>
      </c>
      <c r="C761" s="129"/>
      <c r="D761" s="100"/>
      <c r="E761" s="100" t="s">
        <v>64</v>
      </c>
      <c r="F761" s="100" t="s">
        <v>64</v>
      </c>
      <c r="G761" s="100"/>
      <c r="H761" s="100"/>
      <c r="I761" s="100">
        <v>1899</v>
      </c>
      <c r="J761" s="100">
        <v>12</v>
      </c>
    </row>
    <row r="762" spans="2:10" x14ac:dyDescent="0.15">
      <c r="B762" s="119">
        <v>759</v>
      </c>
      <c r="C762" s="128"/>
      <c r="D762" s="94"/>
      <c r="E762" s="94" t="s">
        <v>64</v>
      </c>
      <c r="F762" s="94" t="s">
        <v>64</v>
      </c>
      <c r="G762" s="94"/>
      <c r="H762" s="94"/>
      <c r="I762" s="94">
        <v>1899</v>
      </c>
      <c r="J762" s="94">
        <v>12</v>
      </c>
    </row>
    <row r="763" spans="2:10" x14ac:dyDescent="0.15">
      <c r="B763" s="119">
        <v>760</v>
      </c>
      <c r="C763" s="129"/>
      <c r="D763" s="100"/>
      <c r="E763" s="100" t="s">
        <v>64</v>
      </c>
      <c r="F763" s="100" t="s">
        <v>64</v>
      </c>
      <c r="G763" s="100"/>
      <c r="H763" s="100"/>
      <c r="I763" s="100">
        <v>1899</v>
      </c>
      <c r="J763" s="100">
        <v>12</v>
      </c>
    </row>
    <row r="764" spans="2:10" x14ac:dyDescent="0.15">
      <c r="B764" s="119">
        <v>761</v>
      </c>
      <c r="C764" s="128"/>
      <c r="D764" s="94"/>
      <c r="E764" s="94" t="s">
        <v>64</v>
      </c>
      <c r="F764" s="94" t="s">
        <v>64</v>
      </c>
      <c r="G764" s="94"/>
      <c r="H764" s="94"/>
      <c r="I764" s="94">
        <v>1899</v>
      </c>
      <c r="J764" s="94">
        <v>12</v>
      </c>
    </row>
    <row r="765" spans="2:10" x14ac:dyDescent="0.15">
      <c r="B765" s="119">
        <v>762</v>
      </c>
      <c r="C765" s="129"/>
      <c r="D765" s="100"/>
      <c r="E765" s="100" t="s">
        <v>64</v>
      </c>
      <c r="F765" s="100" t="s">
        <v>64</v>
      </c>
      <c r="G765" s="100"/>
      <c r="H765" s="100"/>
      <c r="I765" s="100">
        <v>1899</v>
      </c>
      <c r="J765" s="100">
        <v>12</v>
      </c>
    </row>
    <row r="766" spans="2:10" x14ac:dyDescent="0.15">
      <c r="B766" s="119">
        <v>763</v>
      </c>
      <c r="C766" s="128"/>
      <c r="D766" s="94"/>
      <c r="E766" s="94" t="s">
        <v>64</v>
      </c>
      <c r="F766" s="94" t="s">
        <v>64</v>
      </c>
      <c r="G766" s="94"/>
      <c r="H766" s="94"/>
      <c r="I766" s="94">
        <v>1899</v>
      </c>
      <c r="J766" s="94">
        <v>12</v>
      </c>
    </row>
    <row r="767" spans="2:10" x14ac:dyDescent="0.15">
      <c r="B767" s="119">
        <v>764</v>
      </c>
      <c r="C767" s="129"/>
      <c r="D767" s="100"/>
      <c r="E767" s="100" t="s">
        <v>64</v>
      </c>
      <c r="F767" s="100" t="s">
        <v>64</v>
      </c>
      <c r="G767" s="100"/>
      <c r="H767" s="100"/>
      <c r="I767" s="100">
        <v>1899</v>
      </c>
      <c r="J767" s="100">
        <v>12</v>
      </c>
    </row>
    <row r="768" spans="2:10" x14ac:dyDescent="0.15">
      <c r="B768" s="119">
        <v>765</v>
      </c>
      <c r="C768" s="128"/>
      <c r="D768" s="94"/>
      <c r="E768" s="94" t="s">
        <v>64</v>
      </c>
      <c r="F768" s="94" t="s">
        <v>64</v>
      </c>
      <c r="G768" s="94"/>
      <c r="H768" s="94"/>
      <c r="I768" s="94">
        <v>1899</v>
      </c>
      <c r="J768" s="94">
        <v>12</v>
      </c>
    </row>
    <row r="769" spans="2:10" x14ac:dyDescent="0.15">
      <c r="B769" s="119">
        <v>766</v>
      </c>
      <c r="C769" s="129"/>
      <c r="D769" s="100"/>
      <c r="E769" s="100" t="s">
        <v>64</v>
      </c>
      <c r="F769" s="100" t="s">
        <v>64</v>
      </c>
      <c r="G769" s="100"/>
      <c r="H769" s="100"/>
      <c r="I769" s="100">
        <v>1899</v>
      </c>
      <c r="J769" s="100">
        <v>12</v>
      </c>
    </row>
    <row r="770" spans="2:10" x14ac:dyDescent="0.15">
      <c r="B770" s="119">
        <v>767</v>
      </c>
      <c r="C770" s="128"/>
      <c r="D770" s="94"/>
      <c r="E770" s="94" t="s">
        <v>64</v>
      </c>
      <c r="F770" s="94" t="s">
        <v>64</v>
      </c>
      <c r="G770" s="94"/>
      <c r="H770" s="94"/>
      <c r="I770" s="94">
        <v>1899</v>
      </c>
      <c r="J770" s="94">
        <v>12</v>
      </c>
    </row>
    <row r="771" spans="2:10" x14ac:dyDescent="0.15">
      <c r="B771" s="119">
        <v>768</v>
      </c>
      <c r="C771" s="129"/>
      <c r="D771" s="100"/>
      <c r="E771" s="100" t="s">
        <v>64</v>
      </c>
      <c r="F771" s="100" t="s">
        <v>64</v>
      </c>
      <c r="G771" s="100"/>
      <c r="H771" s="100"/>
      <c r="I771" s="100">
        <v>1899</v>
      </c>
      <c r="J771" s="100">
        <v>12</v>
      </c>
    </row>
    <row r="772" spans="2:10" x14ac:dyDescent="0.15">
      <c r="B772" s="119">
        <v>769</v>
      </c>
      <c r="C772" s="128"/>
      <c r="D772" s="94"/>
      <c r="E772" s="94" t="s">
        <v>64</v>
      </c>
      <c r="F772" s="94" t="s">
        <v>64</v>
      </c>
      <c r="G772" s="94"/>
      <c r="H772" s="94"/>
      <c r="I772" s="94">
        <v>1899</v>
      </c>
      <c r="J772" s="94">
        <v>12</v>
      </c>
    </row>
    <row r="773" spans="2:10" x14ac:dyDescent="0.15">
      <c r="B773" s="119">
        <v>770</v>
      </c>
      <c r="C773" s="129"/>
      <c r="D773" s="100"/>
      <c r="E773" s="100" t="s">
        <v>64</v>
      </c>
      <c r="F773" s="100" t="s">
        <v>64</v>
      </c>
      <c r="G773" s="100"/>
      <c r="H773" s="100"/>
      <c r="I773" s="100">
        <v>1899</v>
      </c>
      <c r="J773" s="100">
        <v>12</v>
      </c>
    </row>
    <row r="774" spans="2:10" x14ac:dyDescent="0.15">
      <c r="B774" s="119">
        <v>771</v>
      </c>
      <c r="C774" s="128"/>
      <c r="D774" s="94"/>
      <c r="E774" s="94" t="s">
        <v>64</v>
      </c>
      <c r="F774" s="94" t="s">
        <v>64</v>
      </c>
      <c r="G774" s="94"/>
      <c r="H774" s="94"/>
      <c r="I774" s="94">
        <v>1899</v>
      </c>
      <c r="J774" s="94">
        <v>12</v>
      </c>
    </row>
    <row r="775" spans="2:10" x14ac:dyDescent="0.15">
      <c r="B775" s="119">
        <v>772</v>
      </c>
      <c r="C775" s="129"/>
      <c r="D775" s="100"/>
      <c r="E775" s="100" t="s">
        <v>64</v>
      </c>
      <c r="F775" s="100" t="s">
        <v>64</v>
      </c>
      <c r="G775" s="100"/>
      <c r="H775" s="100"/>
      <c r="I775" s="100">
        <v>1899</v>
      </c>
      <c r="J775" s="100">
        <v>12</v>
      </c>
    </row>
    <row r="776" spans="2:10" x14ac:dyDescent="0.15">
      <c r="B776" s="119">
        <v>773</v>
      </c>
      <c r="C776" s="128"/>
      <c r="D776" s="94"/>
      <c r="E776" s="94" t="s">
        <v>64</v>
      </c>
      <c r="F776" s="94" t="s">
        <v>64</v>
      </c>
      <c r="G776" s="94"/>
      <c r="H776" s="94"/>
      <c r="I776" s="94">
        <v>1899</v>
      </c>
      <c r="J776" s="94">
        <v>12</v>
      </c>
    </row>
    <row r="777" spans="2:10" x14ac:dyDescent="0.15">
      <c r="B777" s="119">
        <v>774</v>
      </c>
      <c r="C777" s="129"/>
      <c r="D777" s="100"/>
      <c r="E777" s="100" t="s">
        <v>64</v>
      </c>
      <c r="F777" s="100" t="s">
        <v>64</v>
      </c>
      <c r="G777" s="100"/>
      <c r="H777" s="100"/>
      <c r="I777" s="100">
        <v>1899</v>
      </c>
      <c r="J777" s="100">
        <v>12</v>
      </c>
    </row>
    <row r="778" spans="2:10" x14ac:dyDescent="0.15">
      <c r="B778" s="119">
        <v>775</v>
      </c>
      <c r="C778" s="128"/>
      <c r="D778" s="94"/>
      <c r="E778" s="94" t="s">
        <v>64</v>
      </c>
      <c r="F778" s="94" t="s">
        <v>64</v>
      </c>
      <c r="G778" s="94"/>
      <c r="H778" s="94"/>
      <c r="I778" s="94">
        <v>1899</v>
      </c>
      <c r="J778" s="94">
        <v>12</v>
      </c>
    </row>
    <row r="779" spans="2:10" x14ac:dyDescent="0.15">
      <c r="B779" s="119">
        <v>776</v>
      </c>
      <c r="C779" s="129"/>
      <c r="D779" s="100"/>
      <c r="E779" s="100" t="s">
        <v>64</v>
      </c>
      <c r="F779" s="100" t="s">
        <v>64</v>
      </c>
      <c r="G779" s="100"/>
      <c r="H779" s="100"/>
      <c r="I779" s="100">
        <v>1899</v>
      </c>
      <c r="J779" s="100">
        <v>12</v>
      </c>
    </row>
    <row r="780" spans="2:10" x14ac:dyDescent="0.15">
      <c r="B780" s="119">
        <v>777</v>
      </c>
      <c r="C780" s="128"/>
      <c r="D780" s="94"/>
      <c r="E780" s="94" t="s">
        <v>64</v>
      </c>
      <c r="F780" s="94" t="s">
        <v>64</v>
      </c>
      <c r="G780" s="94"/>
      <c r="H780" s="94"/>
      <c r="I780" s="94">
        <v>1899</v>
      </c>
      <c r="J780" s="94">
        <v>12</v>
      </c>
    </row>
    <row r="781" spans="2:10" x14ac:dyDescent="0.15">
      <c r="B781" s="119">
        <v>778</v>
      </c>
      <c r="C781" s="129"/>
      <c r="D781" s="100"/>
      <c r="E781" s="100" t="s">
        <v>64</v>
      </c>
      <c r="F781" s="100" t="s">
        <v>64</v>
      </c>
      <c r="G781" s="100"/>
      <c r="H781" s="100"/>
      <c r="I781" s="100">
        <v>1899</v>
      </c>
      <c r="J781" s="100">
        <v>12</v>
      </c>
    </row>
    <row r="782" spans="2:10" x14ac:dyDescent="0.15">
      <c r="B782" s="119">
        <v>779</v>
      </c>
      <c r="C782" s="128"/>
      <c r="D782" s="94"/>
      <c r="E782" s="94" t="s">
        <v>64</v>
      </c>
      <c r="F782" s="94" t="s">
        <v>64</v>
      </c>
      <c r="G782" s="94"/>
      <c r="H782" s="94"/>
      <c r="I782" s="94">
        <v>1899</v>
      </c>
      <c r="J782" s="94">
        <v>12</v>
      </c>
    </row>
    <row r="783" spans="2:10" x14ac:dyDescent="0.15">
      <c r="B783" s="119">
        <v>780</v>
      </c>
      <c r="C783" s="129"/>
      <c r="D783" s="100"/>
      <c r="E783" s="100" t="s">
        <v>64</v>
      </c>
      <c r="F783" s="100" t="s">
        <v>64</v>
      </c>
      <c r="G783" s="100"/>
      <c r="H783" s="100"/>
      <c r="I783" s="100">
        <v>1899</v>
      </c>
      <c r="J783" s="100">
        <v>12</v>
      </c>
    </row>
    <row r="784" spans="2:10" x14ac:dyDescent="0.15">
      <c r="B784" s="119">
        <v>781</v>
      </c>
      <c r="C784" s="128"/>
      <c r="D784" s="94"/>
      <c r="E784" s="94" t="s">
        <v>64</v>
      </c>
      <c r="F784" s="94" t="s">
        <v>64</v>
      </c>
      <c r="G784" s="94"/>
      <c r="H784" s="94"/>
      <c r="I784" s="94">
        <v>1899</v>
      </c>
      <c r="J784" s="94">
        <v>12</v>
      </c>
    </row>
    <row r="785" spans="2:10" x14ac:dyDescent="0.15">
      <c r="B785" s="119">
        <v>782</v>
      </c>
      <c r="C785" s="129"/>
      <c r="D785" s="100"/>
      <c r="E785" s="100" t="s">
        <v>64</v>
      </c>
      <c r="F785" s="100" t="s">
        <v>64</v>
      </c>
      <c r="G785" s="100"/>
      <c r="H785" s="100"/>
      <c r="I785" s="100">
        <v>1899</v>
      </c>
      <c r="J785" s="100">
        <v>12</v>
      </c>
    </row>
    <row r="786" spans="2:10" x14ac:dyDescent="0.15">
      <c r="B786" s="119">
        <v>783</v>
      </c>
      <c r="C786" s="128"/>
      <c r="D786" s="94"/>
      <c r="E786" s="94" t="s">
        <v>64</v>
      </c>
      <c r="F786" s="94" t="s">
        <v>64</v>
      </c>
      <c r="G786" s="94"/>
      <c r="H786" s="94"/>
      <c r="I786" s="94">
        <v>1899</v>
      </c>
      <c r="J786" s="94">
        <v>12</v>
      </c>
    </row>
    <row r="787" spans="2:10" x14ac:dyDescent="0.15">
      <c r="B787" s="119">
        <v>784</v>
      </c>
      <c r="C787" s="129"/>
      <c r="D787" s="100"/>
      <c r="E787" s="100" t="s">
        <v>64</v>
      </c>
      <c r="F787" s="100" t="s">
        <v>64</v>
      </c>
      <c r="G787" s="100"/>
      <c r="H787" s="100"/>
      <c r="I787" s="100">
        <v>1899</v>
      </c>
      <c r="J787" s="100">
        <v>12</v>
      </c>
    </row>
    <row r="788" spans="2:10" x14ac:dyDescent="0.15">
      <c r="B788" s="119">
        <v>785</v>
      </c>
      <c r="C788" s="128"/>
      <c r="D788" s="94"/>
      <c r="E788" s="94" t="s">
        <v>64</v>
      </c>
      <c r="F788" s="94" t="s">
        <v>64</v>
      </c>
      <c r="G788" s="94"/>
      <c r="H788" s="94"/>
      <c r="I788" s="94">
        <v>1899</v>
      </c>
      <c r="J788" s="94">
        <v>12</v>
      </c>
    </row>
    <row r="789" spans="2:10" x14ac:dyDescent="0.15">
      <c r="B789" s="119">
        <v>786</v>
      </c>
      <c r="C789" s="129"/>
      <c r="D789" s="100"/>
      <c r="E789" s="100" t="s">
        <v>64</v>
      </c>
      <c r="F789" s="100" t="s">
        <v>64</v>
      </c>
      <c r="G789" s="100"/>
      <c r="H789" s="100"/>
      <c r="I789" s="100">
        <v>1899</v>
      </c>
      <c r="J789" s="100">
        <v>12</v>
      </c>
    </row>
    <row r="790" spans="2:10" x14ac:dyDescent="0.15">
      <c r="B790" s="119">
        <v>787</v>
      </c>
      <c r="C790" s="128"/>
      <c r="D790" s="94"/>
      <c r="E790" s="94" t="s">
        <v>64</v>
      </c>
      <c r="F790" s="94" t="s">
        <v>64</v>
      </c>
      <c r="G790" s="94"/>
      <c r="H790" s="94"/>
      <c r="I790" s="94">
        <v>1899</v>
      </c>
      <c r="J790" s="94">
        <v>12</v>
      </c>
    </row>
    <row r="791" spans="2:10" x14ac:dyDescent="0.15">
      <c r="B791" s="119">
        <v>788</v>
      </c>
      <c r="C791" s="129"/>
      <c r="D791" s="100"/>
      <c r="E791" s="100" t="s">
        <v>64</v>
      </c>
      <c r="F791" s="100" t="s">
        <v>64</v>
      </c>
      <c r="G791" s="100"/>
      <c r="H791" s="100"/>
      <c r="I791" s="100">
        <v>1899</v>
      </c>
      <c r="J791" s="100">
        <v>12</v>
      </c>
    </row>
    <row r="792" spans="2:10" x14ac:dyDescent="0.15">
      <c r="B792" s="119">
        <v>789</v>
      </c>
      <c r="C792" s="128"/>
      <c r="D792" s="94"/>
      <c r="E792" s="94" t="s">
        <v>64</v>
      </c>
      <c r="F792" s="94" t="s">
        <v>64</v>
      </c>
      <c r="G792" s="94"/>
      <c r="H792" s="94"/>
      <c r="I792" s="94">
        <v>1899</v>
      </c>
      <c r="J792" s="94">
        <v>12</v>
      </c>
    </row>
    <row r="793" spans="2:10" x14ac:dyDescent="0.15">
      <c r="B793" s="119">
        <v>790</v>
      </c>
      <c r="C793" s="129"/>
      <c r="D793" s="100"/>
      <c r="E793" s="100" t="s">
        <v>64</v>
      </c>
      <c r="F793" s="100" t="s">
        <v>64</v>
      </c>
      <c r="G793" s="100"/>
      <c r="H793" s="100"/>
      <c r="I793" s="100">
        <v>1899</v>
      </c>
      <c r="J793" s="100">
        <v>12</v>
      </c>
    </row>
    <row r="794" spans="2:10" x14ac:dyDescent="0.15">
      <c r="B794" s="119">
        <v>791</v>
      </c>
      <c r="C794" s="128"/>
      <c r="D794" s="94"/>
      <c r="E794" s="94" t="s">
        <v>64</v>
      </c>
      <c r="F794" s="94" t="s">
        <v>64</v>
      </c>
      <c r="G794" s="94"/>
      <c r="H794" s="94"/>
      <c r="I794" s="94">
        <v>1899</v>
      </c>
      <c r="J794" s="94">
        <v>12</v>
      </c>
    </row>
    <row r="795" spans="2:10" x14ac:dyDescent="0.15">
      <c r="B795" s="119">
        <v>792</v>
      </c>
      <c r="C795" s="129"/>
      <c r="D795" s="100"/>
      <c r="E795" s="100" t="s">
        <v>64</v>
      </c>
      <c r="F795" s="100" t="s">
        <v>64</v>
      </c>
      <c r="G795" s="100"/>
      <c r="H795" s="100"/>
      <c r="I795" s="100">
        <v>1899</v>
      </c>
      <c r="J795" s="100">
        <v>12</v>
      </c>
    </row>
    <row r="796" spans="2:10" x14ac:dyDescent="0.15">
      <c r="B796" s="119">
        <v>793</v>
      </c>
      <c r="C796" s="128"/>
      <c r="D796" s="94"/>
      <c r="E796" s="94" t="s">
        <v>64</v>
      </c>
      <c r="F796" s="94" t="s">
        <v>64</v>
      </c>
      <c r="G796" s="94"/>
      <c r="H796" s="94"/>
      <c r="I796" s="94">
        <v>1899</v>
      </c>
      <c r="J796" s="94">
        <v>12</v>
      </c>
    </row>
    <row r="797" spans="2:10" x14ac:dyDescent="0.15">
      <c r="B797" s="119">
        <v>794</v>
      </c>
      <c r="C797" s="129"/>
      <c r="D797" s="100"/>
      <c r="E797" s="100" t="s">
        <v>64</v>
      </c>
      <c r="F797" s="100" t="s">
        <v>64</v>
      </c>
      <c r="G797" s="100"/>
      <c r="H797" s="100"/>
      <c r="I797" s="100">
        <v>1899</v>
      </c>
      <c r="J797" s="100">
        <v>12</v>
      </c>
    </row>
    <row r="798" spans="2:10" x14ac:dyDescent="0.15">
      <c r="B798" s="119">
        <v>795</v>
      </c>
      <c r="C798" s="128"/>
      <c r="D798" s="94"/>
      <c r="E798" s="94" t="s">
        <v>64</v>
      </c>
      <c r="F798" s="94" t="s">
        <v>64</v>
      </c>
      <c r="G798" s="94"/>
      <c r="H798" s="94"/>
      <c r="I798" s="94">
        <v>1899</v>
      </c>
      <c r="J798" s="94">
        <v>12</v>
      </c>
    </row>
    <row r="799" spans="2:10" x14ac:dyDescent="0.15">
      <c r="B799" s="119">
        <v>796</v>
      </c>
      <c r="C799" s="129"/>
      <c r="D799" s="100"/>
      <c r="E799" s="100" t="s">
        <v>64</v>
      </c>
      <c r="F799" s="100" t="s">
        <v>64</v>
      </c>
      <c r="G799" s="100"/>
      <c r="H799" s="100"/>
      <c r="I799" s="100">
        <v>1899</v>
      </c>
      <c r="J799" s="100">
        <v>12</v>
      </c>
    </row>
    <row r="800" spans="2:10" x14ac:dyDescent="0.15">
      <c r="B800" s="119">
        <v>797</v>
      </c>
      <c r="C800" s="128"/>
      <c r="D800" s="94"/>
      <c r="E800" s="94" t="s">
        <v>64</v>
      </c>
      <c r="F800" s="94" t="s">
        <v>64</v>
      </c>
      <c r="G800" s="94"/>
      <c r="H800" s="94"/>
      <c r="I800" s="94">
        <v>1899</v>
      </c>
      <c r="J800" s="94">
        <v>12</v>
      </c>
    </row>
    <row r="801" spans="2:10" x14ac:dyDescent="0.15">
      <c r="B801" s="119">
        <v>798</v>
      </c>
      <c r="C801" s="129"/>
      <c r="D801" s="100"/>
      <c r="E801" s="100" t="s">
        <v>64</v>
      </c>
      <c r="F801" s="100" t="s">
        <v>64</v>
      </c>
      <c r="G801" s="100"/>
      <c r="H801" s="100"/>
      <c r="I801" s="100">
        <v>1899</v>
      </c>
      <c r="J801" s="100">
        <v>12</v>
      </c>
    </row>
    <row r="802" spans="2:10" x14ac:dyDescent="0.15">
      <c r="B802" s="119">
        <v>799</v>
      </c>
      <c r="C802" s="128"/>
      <c r="D802" s="94"/>
      <c r="E802" s="94" t="s">
        <v>64</v>
      </c>
      <c r="F802" s="94" t="s">
        <v>64</v>
      </c>
      <c r="G802" s="94"/>
      <c r="H802" s="94"/>
      <c r="I802" s="94">
        <v>1899</v>
      </c>
      <c r="J802" s="94">
        <v>12</v>
      </c>
    </row>
    <row r="803" spans="2:10" x14ac:dyDescent="0.15">
      <c r="B803" s="119">
        <v>800</v>
      </c>
      <c r="C803" s="129"/>
      <c r="D803" s="100"/>
      <c r="E803" s="100" t="s">
        <v>64</v>
      </c>
      <c r="F803" s="100" t="s">
        <v>64</v>
      </c>
      <c r="G803" s="100"/>
      <c r="H803" s="100"/>
      <c r="I803" s="100">
        <v>1899</v>
      </c>
      <c r="J803" s="100">
        <v>12</v>
      </c>
    </row>
    <row r="804" spans="2:10" x14ac:dyDescent="0.15">
      <c r="B804" s="119">
        <v>801</v>
      </c>
      <c r="C804" s="128"/>
      <c r="D804" s="94"/>
      <c r="E804" s="94" t="s">
        <v>64</v>
      </c>
      <c r="F804" s="94" t="s">
        <v>64</v>
      </c>
      <c r="G804" s="94"/>
      <c r="H804" s="94"/>
      <c r="I804" s="94">
        <v>1899</v>
      </c>
      <c r="J804" s="94">
        <v>12</v>
      </c>
    </row>
    <row r="805" spans="2:10" x14ac:dyDescent="0.15">
      <c r="B805" s="119">
        <v>802</v>
      </c>
      <c r="C805" s="129"/>
      <c r="D805" s="100"/>
      <c r="E805" s="100" t="s">
        <v>64</v>
      </c>
      <c r="F805" s="100" t="s">
        <v>64</v>
      </c>
      <c r="G805" s="100"/>
      <c r="H805" s="100"/>
      <c r="I805" s="100">
        <v>1899</v>
      </c>
      <c r="J805" s="100">
        <v>12</v>
      </c>
    </row>
    <row r="806" spans="2:10" x14ac:dyDescent="0.15">
      <c r="B806" s="119">
        <v>803</v>
      </c>
      <c r="C806" s="128"/>
      <c r="D806" s="94"/>
      <c r="E806" s="94" t="s">
        <v>64</v>
      </c>
      <c r="F806" s="94" t="s">
        <v>64</v>
      </c>
      <c r="G806" s="94"/>
      <c r="H806" s="94"/>
      <c r="I806" s="94">
        <v>1899</v>
      </c>
      <c r="J806" s="94">
        <v>12</v>
      </c>
    </row>
    <row r="807" spans="2:10" x14ac:dyDescent="0.15">
      <c r="B807" s="119">
        <v>804</v>
      </c>
      <c r="C807" s="129"/>
      <c r="D807" s="100"/>
      <c r="E807" s="100" t="s">
        <v>64</v>
      </c>
      <c r="F807" s="100" t="s">
        <v>64</v>
      </c>
      <c r="G807" s="100"/>
      <c r="H807" s="100"/>
      <c r="I807" s="100">
        <v>1899</v>
      </c>
      <c r="J807" s="100">
        <v>12</v>
      </c>
    </row>
    <row r="808" spans="2:10" x14ac:dyDescent="0.15">
      <c r="B808" s="119">
        <v>805</v>
      </c>
      <c r="C808" s="128"/>
      <c r="D808" s="94"/>
      <c r="E808" s="94" t="s">
        <v>64</v>
      </c>
      <c r="F808" s="94" t="s">
        <v>64</v>
      </c>
      <c r="G808" s="94"/>
      <c r="H808" s="94"/>
      <c r="I808" s="94">
        <v>1899</v>
      </c>
      <c r="J808" s="94">
        <v>12</v>
      </c>
    </row>
    <row r="809" spans="2:10" x14ac:dyDescent="0.15">
      <c r="B809" s="119">
        <v>806</v>
      </c>
      <c r="C809" s="129"/>
      <c r="D809" s="100"/>
      <c r="E809" s="100" t="s">
        <v>64</v>
      </c>
      <c r="F809" s="100" t="s">
        <v>64</v>
      </c>
      <c r="G809" s="100"/>
      <c r="H809" s="100"/>
      <c r="I809" s="100">
        <v>1899</v>
      </c>
      <c r="J809" s="100">
        <v>12</v>
      </c>
    </row>
    <row r="810" spans="2:10" x14ac:dyDescent="0.15">
      <c r="B810" s="119">
        <v>807</v>
      </c>
      <c r="C810" s="128"/>
      <c r="D810" s="94"/>
      <c r="E810" s="94" t="s">
        <v>64</v>
      </c>
      <c r="F810" s="94" t="s">
        <v>64</v>
      </c>
      <c r="G810" s="94"/>
      <c r="H810" s="94"/>
      <c r="I810" s="94">
        <v>1899</v>
      </c>
      <c r="J810" s="94">
        <v>12</v>
      </c>
    </row>
    <row r="811" spans="2:10" x14ac:dyDescent="0.15">
      <c r="B811" s="119">
        <v>808</v>
      </c>
      <c r="C811" s="129"/>
      <c r="D811" s="100"/>
      <c r="E811" s="100" t="s">
        <v>64</v>
      </c>
      <c r="F811" s="100" t="s">
        <v>64</v>
      </c>
      <c r="G811" s="100"/>
      <c r="H811" s="100"/>
      <c r="I811" s="100">
        <v>1899</v>
      </c>
      <c r="J811" s="100">
        <v>12</v>
      </c>
    </row>
    <row r="812" spans="2:10" x14ac:dyDescent="0.15">
      <c r="B812" s="119">
        <v>809</v>
      </c>
      <c r="C812" s="128"/>
      <c r="D812" s="94"/>
      <c r="E812" s="94" t="s">
        <v>64</v>
      </c>
      <c r="F812" s="94" t="s">
        <v>64</v>
      </c>
      <c r="G812" s="94"/>
      <c r="H812" s="94"/>
      <c r="I812" s="94">
        <v>1899</v>
      </c>
      <c r="J812" s="94">
        <v>12</v>
      </c>
    </row>
    <row r="813" spans="2:10" x14ac:dyDescent="0.15">
      <c r="B813" s="119">
        <v>810</v>
      </c>
      <c r="C813" s="129"/>
      <c r="D813" s="100"/>
      <c r="E813" s="100" t="s">
        <v>64</v>
      </c>
      <c r="F813" s="100" t="s">
        <v>64</v>
      </c>
      <c r="G813" s="100"/>
      <c r="H813" s="100"/>
      <c r="I813" s="100">
        <v>1899</v>
      </c>
      <c r="J813" s="100">
        <v>12</v>
      </c>
    </row>
    <row r="814" spans="2:10" x14ac:dyDescent="0.15">
      <c r="B814" s="119">
        <v>811</v>
      </c>
      <c r="C814" s="128"/>
      <c r="D814" s="94"/>
      <c r="E814" s="94" t="s">
        <v>64</v>
      </c>
      <c r="F814" s="94" t="s">
        <v>64</v>
      </c>
      <c r="G814" s="94"/>
      <c r="H814" s="94"/>
      <c r="I814" s="94">
        <v>1899</v>
      </c>
      <c r="J814" s="94">
        <v>12</v>
      </c>
    </row>
    <row r="815" spans="2:10" x14ac:dyDescent="0.15">
      <c r="B815" s="119">
        <v>812</v>
      </c>
      <c r="C815" s="129"/>
      <c r="D815" s="100"/>
      <c r="E815" s="100" t="s">
        <v>64</v>
      </c>
      <c r="F815" s="100" t="s">
        <v>64</v>
      </c>
      <c r="G815" s="100"/>
      <c r="H815" s="100"/>
      <c r="I815" s="100">
        <v>1899</v>
      </c>
      <c r="J815" s="100">
        <v>12</v>
      </c>
    </row>
    <row r="816" spans="2:10" x14ac:dyDescent="0.15">
      <c r="B816" s="119">
        <v>813</v>
      </c>
      <c r="C816" s="128"/>
      <c r="D816" s="94"/>
      <c r="E816" s="94" t="s">
        <v>64</v>
      </c>
      <c r="F816" s="94" t="s">
        <v>64</v>
      </c>
      <c r="G816" s="94"/>
      <c r="H816" s="94"/>
      <c r="I816" s="94">
        <v>1899</v>
      </c>
      <c r="J816" s="94">
        <v>12</v>
      </c>
    </row>
    <row r="817" spans="2:10" x14ac:dyDescent="0.15">
      <c r="B817" s="119">
        <v>814</v>
      </c>
      <c r="C817" s="129"/>
      <c r="D817" s="100"/>
      <c r="E817" s="100" t="s">
        <v>64</v>
      </c>
      <c r="F817" s="100" t="s">
        <v>64</v>
      </c>
      <c r="G817" s="100"/>
      <c r="H817" s="100"/>
      <c r="I817" s="100">
        <v>1899</v>
      </c>
      <c r="J817" s="100">
        <v>12</v>
      </c>
    </row>
    <row r="818" spans="2:10" x14ac:dyDescent="0.15">
      <c r="B818" s="119">
        <v>815</v>
      </c>
      <c r="C818" s="128"/>
      <c r="D818" s="94"/>
      <c r="E818" s="94" t="s">
        <v>64</v>
      </c>
      <c r="F818" s="94" t="s">
        <v>64</v>
      </c>
      <c r="G818" s="94"/>
      <c r="H818" s="94"/>
      <c r="I818" s="94">
        <v>1899</v>
      </c>
      <c r="J818" s="94">
        <v>12</v>
      </c>
    </row>
    <row r="819" spans="2:10" x14ac:dyDescent="0.15">
      <c r="B819" s="119">
        <v>816</v>
      </c>
      <c r="C819" s="129"/>
      <c r="D819" s="100"/>
      <c r="E819" s="100" t="s">
        <v>64</v>
      </c>
      <c r="F819" s="100" t="s">
        <v>64</v>
      </c>
      <c r="G819" s="100"/>
      <c r="H819" s="100"/>
      <c r="I819" s="100">
        <v>1899</v>
      </c>
      <c r="J819" s="100">
        <v>12</v>
      </c>
    </row>
    <row r="820" spans="2:10" x14ac:dyDescent="0.15">
      <c r="B820" s="119">
        <v>817</v>
      </c>
      <c r="C820" s="128"/>
      <c r="D820" s="94"/>
      <c r="E820" s="94" t="s">
        <v>64</v>
      </c>
      <c r="F820" s="94" t="s">
        <v>64</v>
      </c>
      <c r="G820" s="94"/>
      <c r="H820" s="94"/>
      <c r="I820" s="94">
        <v>1899</v>
      </c>
      <c r="J820" s="94">
        <v>12</v>
      </c>
    </row>
    <row r="821" spans="2:10" x14ac:dyDescent="0.15">
      <c r="B821" s="119">
        <v>818</v>
      </c>
      <c r="C821" s="129"/>
      <c r="D821" s="100"/>
      <c r="E821" s="100" t="s">
        <v>64</v>
      </c>
      <c r="F821" s="100" t="s">
        <v>64</v>
      </c>
      <c r="G821" s="100"/>
      <c r="H821" s="100"/>
      <c r="I821" s="100">
        <v>1899</v>
      </c>
      <c r="J821" s="100">
        <v>12</v>
      </c>
    </row>
    <row r="822" spans="2:10" x14ac:dyDescent="0.15">
      <c r="B822" s="119">
        <v>819</v>
      </c>
      <c r="C822" s="128"/>
      <c r="D822" s="94"/>
      <c r="E822" s="94" t="s">
        <v>64</v>
      </c>
      <c r="F822" s="94" t="s">
        <v>64</v>
      </c>
      <c r="G822" s="94"/>
      <c r="H822" s="94"/>
      <c r="I822" s="94">
        <v>1899</v>
      </c>
      <c r="J822" s="94">
        <v>12</v>
      </c>
    </row>
    <row r="823" spans="2:10" x14ac:dyDescent="0.15">
      <c r="B823" s="119">
        <v>820</v>
      </c>
      <c r="C823" s="129"/>
      <c r="D823" s="100"/>
      <c r="E823" s="100" t="s">
        <v>64</v>
      </c>
      <c r="F823" s="100" t="s">
        <v>64</v>
      </c>
      <c r="G823" s="100"/>
      <c r="H823" s="100"/>
      <c r="I823" s="100">
        <v>1899</v>
      </c>
      <c r="J823" s="100">
        <v>12</v>
      </c>
    </row>
    <row r="824" spans="2:10" x14ac:dyDescent="0.15">
      <c r="B824" s="119">
        <v>821</v>
      </c>
      <c r="C824" s="128"/>
      <c r="D824" s="94"/>
      <c r="E824" s="94" t="s">
        <v>64</v>
      </c>
      <c r="F824" s="94" t="s">
        <v>64</v>
      </c>
      <c r="G824" s="94"/>
      <c r="H824" s="94"/>
      <c r="I824" s="94">
        <v>1899</v>
      </c>
      <c r="J824" s="94">
        <v>12</v>
      </c>
    </row>
    <row r="825" spans="2:10" x14ac:dyDescent="0.15">
      <c r="B825" s="119">
        <v>822</v>
      </c>
      <c r="C825" s="129"/>
      <c r="D825" s="100"/>
      <c r="E825" s="100" t="s">
        <v>64</v>
      </c>
      <c r="F825" s="100" t="s">
        <v>64</v>
      </c>
      <c r="G825" s="100"/>
      <c r="H825" s="100"/>
      <c r="I825" s="100">
        <v>1899</v>
      </c>
      <c r="J825" s="100">
        <v>12</v>
      </c>
    </row>
    <row r="826" spans="2:10" x14ac:dyDescent="0.15">
      <c r="B826" s="119">
        <v>823</v>
      </c>
      <c r="C826" s="128"/>
      <c r="D826" s="94"/>
      <c r="E826" s="94" t="s">
        <v>64</v>
      </c>
      <c r="F826" s="94" t="s">
        <v>64</v>
      </c>
      <c r="G826" s="94"/>
      <c r="H826" s="94"/>
      <c r="I826" s="94">
        <v>1899</v>
      </c>
      <c r="J826" s="94">
        <v>12</v>
      </c>
    </row>
    <row r="827" spans="2:10" x14ac:dyDescent="0.15">
      <c r="B827" s="119">
        <v>824</v>
      </c>
      <c r="C827" s="129"/>
      <c r="D827" s="100"/>
      <c r="E827" s="100" t="s">
        <v>64</v>
      </c>
      <c r="F827" s="100" t="s">
        <v>64</v>
      </c>
      <c r="G827" s="100"/>
      <c r="H827" s="100"/>
      <c r="I827" s="100">
        <v>1899</v>
      </c>
      <c r="J827" s="100">
        <v>12</v>
      </c>
    </row>
    <row r="828" spans="2:10" x14ac:dyDescent="0.15">
      <c r="B828" s="119">
        <v>825</v>
      </c>
      <c r="C828" s="128"/>
      <c r="D828" s="94"/>
      <c r="E828" s="94" t="s">
        <v>64</v>
      </c>
      <c r="F828" s="94" t="s">
        <v>64</v>
      </c>
      <c r="G828" s="94"/>
      <c r="H828" s="94"/>
      <c r="I828" s="94">
        <v>1899</v>
      </c>
      <c r="J828" s="94">
        <v>12</v>
      </c>
    </row>
    <row r="829" spans="2:10" x14ac:dyDescent="0.15">
      <c r="B829" s="119">
        <v>826</v>
      </c>
      <c r="C829" s="129"/>
      <c r="D829" s="100"/>
      <c r="E829" s="100" t="s">
        <v>64</v>
      </c>
      <c r="F829" s="100" t="s">
        <v>64</v>
      </c>
      <c r="G829" s="100"/>
      <c r="H829" s="100"/>
      <c r="I829" s="100">
        <v>1899</v>
      </c>
      <c r="J829" s="100">
        <v>12</v>
      </c>
    </row>
    <row r="830" spans="2:10" x14ac:dyDescent="0.15">
      <c r="B830" s="119">
        <v>827</v>
      </c>
      <c r="C830" s="128"/>
      <c r="D830" s="94"/>
      <c r="E830" s="94" t="s">
        <v>64</v>
      </c>
      <c r="F830" s="94" t="s">
        <v>64</v>
      </c>
      <c r="G830" s="94"/>
      <c r="H830" s="94"/>
      <c r="I830" s="94">
        <v>1899</v>
      </c>
      <c r="J830" s="94">
        <v>12</v>
      </c>
    </row>
    <row r="831" spans="2:10" x14ac:dyDescent="0.15">
      <c r="B831" s="119">
        <v>828</v>
      </c>
      <c r="C831" s="129"/>
      <c r="D831" s="100"/>
      <c r="E831" s="100" t="s">
        <v>64</v>
      </c>
      <c r="F831" s="100" t="s">
        <v>64</v>
      </c>
      <c r="G831" s="100"/>
      <c r="H831" s="100"/>
      <c r="I831" s="100">
        <v>1899</v>
      </c>
      <c r="J831" s="100">
        <v>12</v>
      </c>
    </row>
    <row r="832" spans="2:10" x14ac:dyDescent="0.15">
      <c r="B832" s="119">
        <v>829</v>
      </c>
      <c r="C832" s="128"/>
      <c r="D832" s="94"/>
      <c r="E832" s="94" t="s">
        <v>64</v>
      </c>
      <c r="F832" s="94" t="s">
        <v>64</v>
      </c>
      <c r="G832" s="94"/>
      <c r="H832" s="94"/>
      <c r="I832" s="94">
        <v>1899</v>
      </c>
      <c r="J832" s="94">
        <v>12</v>
      </c>
    </row>
    <row r="833" spans="2:10" x14ac:dyDescent="0.15">
      <c r="B833" s="119">
        <v>830</v>
      </c>
      <c r="C833" s="129"/>
      <c r="D833" s="100"/>
      <c r="E833" s="100" t="s">
        <v>64</v>
      </c>
      <c r="F833" s="100" t="s">
        <v>64</v>
      </c>
      <c r="G833" s="100"/>
      <c r="H833" s="100"/>
      <c r="I833" s="100">
        <v>1899</v>
      </c>
      <c r="J833" s="100">
        <v>12</v>
      </c>
    </row>
    <row r="834" spans="2:10" x14ac:dyDescent="0.15">
      <c r="B834" s="119">
        <v>831</v>
      </c>
      <c r="C834" s="128"/>
      <c r="D834" s="94"/>
      <c r="E834" s="94" t="s">
        <v>64</v>
      </c>
      <c r="F834" s="94" t="s">
        <v>64</v>
      </c>
      <c r="G834" s="94"/>
      <c r="H834" s="94"/>
      <c r="I834" s="94">
        <v>1899</v>
      </c>
      <c r="J834" s="94">
        <v>12</v>
      </c>
    </row>
    <row r="835" spans="2:10" x14ac:dyDescent="0.15">
      <c r="B835" s="119">
        <v>832</v>
      </c>
      <c r="C835" s="129"/>
      <c r="D835" s="100"/>
      <c r="E835" s="100" t="s">
        <v>64</v>
      </c>
      <c r="F835" s="100" t="s">
        <v>64</v>
      </c>
      <c r="G835" s="100"/>
      <c r="H835" s="100"/>
      <c r="I835" s="100">
        <v>1899</v>
      </c>
      <c r="J835" s="100">
        <v>12</v>
      </c>
    </row>
    <row r="836" spans="2:10" x14ac:dyDescent="0.15">
      <c r="B836" s="119">
        <v>833</v>
      </c>
      <c r="C836" s="128"/>
      <c r="D836" s="94"/>
      <c r="E836" s="94" t="s">
        <v>64</v>
      </c>
      <c r="F836" s="94" t="s">
        <v>64</v>
      </c>
      <c r="G836" s="94"/>
      <c r="H836" s="94"/>
      <c r="I836" s="94">
        <v>1899</v>
      </c>
      <c r="J836" s="94">
        <v>12</v>
      </c>
    </row>
    <row r="837" spans="2:10" x14ac:dyDescent="0.15">
      <c r="B837" s="119">
        <v>834</v>
      </c>
      <c r="C837" s="129"/>
      <c r="D837" s="100"/>
      <c r="E837" s="100" t="s">
        <v>64</v>
      </c>
      <c r="F837" s="100" t="s">
        <v>64</v>
      </c>
      <c r="G837" s="100"/>
      <c r="H837" s="100"/>
      <c r="I837" s="100">
        <v>1899</v>
      </c>
      <c r="J837" s="100">
        <v>12</v>
      </c>
    </row>
    <row r="838" spans="2:10" x14ac:dyDescent="0.15">
      <c r="B838" s="119">
        <v>835</v>
      </c>
      <c r="C838" s="128"/>
      <c r="D838" s="94"/>
      <c r="E838" s="94" t="s">
        <v>64</v>
      </c>
      <c r="F838" s="94" t="s">
        <v>64</v>
      </c>
      <c r="G838" s="94"/>
      <c r="H838" s="94"/>
      <c r="I838" s="94">
        <v>1899</v>
      </c>
      <c r="J838" s="94">
        <v>12</v>
      </c>
    </row>
    <row r="839" spans="2:10" x14ac:dyDescent="0.15">
      <c r="B839" s="119">
        <v>836</v>
      </c>
      <c r="C839" s="129"/>
      <c r="D839" s="100"/>
      <c r="E839" s="100" t="s">
        <v>64</v>
      </c>
      <c r="F839" s="100" t="s">
        <v>64</v>
      </c>
      <c r="G839" s="100"/>
      <c r="H839" s="100"/>
      <c r="I839" s="100">
        <v>1899</v>
      </c>
      <c r="J839" s="100">
        <v>12</v>
      </c>
    </row>
    <row r="840" spans="2:10" x14ac:dyDescent="0.15">
      <c r="B840" s="119">
        <v>837</v>
      </c>
      <c r="C840" s="128"/>
      <c r="D840" s="94"/>
      <c r="E840" s="94" t="s">
        <v>64</v>
      </c>
      <c r="F840" s="94" t="s">
        <v>64</v>
      </c>
      <c r="G840" s="94"/>
      <c r="H840" s="94"/>
      <c r="I840" s="94">
        <v>1899</v>
      </c>
      <c r="J840" s="94">
        <v>12</v>
      </c>
    </row>
    <row r="841" spans="2:10" x14ac:dyDescent="0.15">
      <c r="B841" s="119">
        <v>838</v>
      </c>
      <c r="C841" s="129"/>
      <c r="D841" s="100"/>
      <c r="E841" s="100" t="s">
        <v>64</v>
      </c>
      <c r="F841" s="100" t="s">
        <v>64</v>
      </c>
      <c r="G841" s="100"/>
      <c r="H841" s="100"/>
      <c r="I841" s="100">
        <v>1899</v>
      </c>
      <c r="J841" s="100">
        <v>12</v>
      </c>
    </row>
    <row r="842" spans="2:10" x14ac:dyDescent="0.15">
      <c r="B842" s="119">
        <v>839</v>
      </c>
      <c r="C842" s="128"/>
      <c r="D842" s="94"/>
      <c r="E842" s="94" t="s">
        <v>64</v>
      </c>
      <c r="F842" s="94" t="s">
        <v>64</v>
      </c>
      <c r="G842" s="94"/>
      <c r="H842" s="94"/>
      <c r="I842" s="94">
        <v>1899</v>
      </c>
      <c r="J842" s="94">
        <v>12</v>
      </c>
    </row>
    <row r="843" spans="2:10" x14ac:dyDescent="0.15">
      <c r="B843" s="119">
        <v>840</v>
      </c>
      <c r="C843" s="129"/>
      <c r="D843" s="100"/>
      <c r="E843" s="100" t="s">
        <v>64</v>
      </c>
      <c r="F843" s="100" t="s">
        <v>64</v>
      </c>
      <c r="G843" s="100"/>
      <c r="H843" s="100"/>
      <c r="I843" s="100">
        <v>1899</v>
      </c>
      <c r="J843" s="100">
        <v>12</v>
      </c>
    </row>
    <row r="844" spans="2:10" x14ac:dyDescent="0.15">
      <c r="B844" s="119">
        <v>841</v>
      </c>
      <c r="C844" s="128"/>
      <c r="D844" s="94"/>
      <c r="E844" s="94" t="s">
        <v>64</v>
      </c>
      <c r="F844" s="94" t="s">
        <v>64</v>
      </c>
      <c r="G844" s="94"/>
      <c r="H844" s="94"/>
      <c r="I844" s="94">
        <v>1899</v>
      </c>
      <c r="J844" s="94">
        <v>12</v>
      </c>
    </row>
    <row r="845" spans="2:10" x14ac:dyDescent="0.15">
      <c r="B845" s="119">
        <v>842</v>
      </c>
      <c r="C845" s="129"/>
      <c r="D845" s="100"/>
      <c r="E845" s="100" t="s">
        <v>64</v>
      </c>
      <c r="F845" s="100" t="s">
        <v>64</v>
      </c>
      <c r="G845" s="100"/>
      <c r="H845" s="100"/>
      <c r="I845" s="100">
        <v>1899</v>
      </c>
      <c r="J845" s="100">
        <v>12</v>
      </c>
    </row>
    <row r="846" spans="2:10" x14ac:dyDescent="0.15">
      <c r="B846" s="119">
        <v>843</v>
      </c>
      <c r="C846" s="128"/>
      <c r="D846" s="94"/>
      <c r="E846" s="94" t="s">
        <v>64</v>
      </c>
      <c r="F846" s="94" t="s">
        <v>64</v>
      </c>
      <c r="G846" s="94"/>
      <c r="H846" s="94"/>
      <c r="I846" s="94">
        <v>1899</v>
      </c>
      <c r="J846" s="94">
        <v>12</v>
      </c>
    </row>
    <row r="847" spans="2:10" x14ac:dyDescent="0.15">
      <c r="B847" s="119">
        <v>844</v>
      </c>
      <c r="C847" s="129"/>
      <c r="D847" s="100"/>
      <c r="E847" s="100" t="s">
        <v>64</v>
      </c>
      <c r="F847" s="100" t="s">
        <v>64</v>
      </c>
      <c r="G847" s="100"/>
      <c r="H847" s="100"/>
      <c r="I847" s="100">
        <v>1899</v>
      </c>
      <c r="J847" s="100">
        <v>12</v>
      </c>
    </row>
    <row r="848" spans="2:10" x14ac:dyDescent="0.15">
      <c r="B848" s="119">
        <v>845</v>
      </c>
      <c r="C848" s="128"/>
      <c r="D848" s="94"/>
      <c r="E848" s="94" t="s">
        <v>64</v>
      </c>
      <c r="F848" s="94" t="s">
        <v>64</v>
      </c>
      <c r="G848" s="94"/>
      <c r="H848" s="94"/>
      <c r="I848" s="94">
        <v>1899</v>
      </c>
      <c r="J848" s="94">
        <v>12</v>
      </c>
    </row>
    <row r="849" spans="2:10" x14ac:dyDescent="0.15">
      <c r="B849" s="119">
        <v>846</v>
      </c>
      <c r="C849" s="129"/>
      <c r="D849" s="100"/>
      <c r="E849" s="100" t="s">
        <v>64</v>
      </c>
      <c r="F849" s="100" t="s">
        <v>64</v>
      </c>
      <c r="G849" s="100"/>
      <c r="H849" s="100"/>
      <c r="I849" s="100">
        <v>1899</v>
      </c>
      <c r="J849" s="100">
        <v>12</v>
      </c>
    </row>
    <row r="850" spans="2:10" x14ac:dyDescent="0.15">
      <c r="B850" s="119">
        <v>847</v>
      </c>
      <c r="C850" s="128"/>
      <c r="D850" s="94"/>
      <c r="E850" s="94" t="s">
        <v>64</v>
      </c>
      <c r="F850" s="94" t="s">
        <v>64</v>
      </c>
      <c r="G850" s="94"/>
      <c r="H850" s="94"/>
      <c r="I850" s="94">
        <v>1899</v>
      </c>
      <c r="J850" s="94">
        <v>12</v>
      </c>
    </row>
    <row r="851" spans="2:10" x14ac:dyDescent="0.15">
      <c r="B851" s="119">
        <v>848</v>
      </c>
      <c r="C851" s="129"/>
      <c r="D851" s="100"/>
      <c r="E851" s="100" t="s">
        <v>64</v>
      </c>
      <c r="F851" s="100" t="s">
        <v>64</v>
      </c>
      <c r="G851" s="100"/>
      <c r="H851" s="100"/>
      <c r="I851" s="100">
        <v>1899</v>
      </c>
      <c r="J851" s="100">
        <v>12</v>
      </c>
    </row>
    <row r="852" spans="2:10" x14ac:dyDescent="0.15">
      <c r="B852" s="119">
        <v>849</v>
      </c>
      <c r="C852" s="128"/>
      <c r="D852" s="94"/>
      <c r="E852" s="94" t="s">
        <v>64</v>
      </c>
      <c r="F852" s="94" t="s">
        <v>64</v>
      </c>
      <c r="G852" s="94"/>
      <c r="H852" s="94"/>
      <c r="I852" s="94">
        <v>1899</v>
      </c>
      <c r="J852" s="94">
        <v>12</v>
      </c>
    </row>
    <row r="853" spans="2:10" x14ac:dyDescent="0.15">
      <c r="B853" s="119">
        <v>850</v>
      </c>
      <c r="C853" s="129"/>
      <c r="D853" s="100"/>
      <c r="E853" s="100" t="s">
        <v>64</v>
      </c>
      <c r="F853" s="100" t="s">
        <v>64</v>
      </c>
      <c r="G853" s="100"/>
      <c r="H853" s="100"/>
      <c r="I853" s="100">
        <v>1899</v>
      </c>
      <c r="J853" s="100">
        <v>12</v>
      </c>
    </row>
    <row r="854" spans="2:10" x14ac:dyDescent="0.15">
      <c r="B854" s="119">
        <v>851</v>
      </c>
      <c r="C854" s="128"/>
      <c r="D854" s="94"/>
      <c r="E854" s="94" t="s">
        <v>64</v>
      </c>
      <c r="F854" s="94" t="s">
        <v>64</v>
      </c>
      <c r="G854" s="94"/>
      <c r="H854" s="94"/>
      <c r="I854" s="94">
        <v>1899</v>
      </c>
      <c r="J854" s="94">
        <v>12</v>
      </c>
    </row>
    <row r="855" spans="2:10" x14ac:dyDescent="0.15">
      <c r="B855" s="119">
        <v>852</v>
      </c>
      <c r="C855" s="129"/>
      <c r="D855" s="100"/>
      <c r="E855" s="100" t="s">
        <v>64</v>
      </c>
      <c r="F855" s="100" t="s">
        <v>64</v>
      </c>
      <c r="G855" s="100"/>
      <c r="H855" s="100"/>
      <c r="I855" s="100">
        <v>1899</v>
      </c>
      <c r="J855" s="100">
        <v>12</v>
      </c>
    </row>
    <row r="856" spans="2:10" x14ac:dyDescent="0.15">
      <c r="B856" s="119">
        <v>853</v>
      </c>
      <c r="C856" s="128"/>
      <c r="D856" s="94"/>
      <c r="E856" s="94" t="s">
        <v>64</v>
      </c>
      <c r="F856" s="94" t="s">
        <v>64</v>
      </c>
      <c r="G856" s="94"/>
      <c r="H856" s="94"/>
      <c r="I856" s="94">
        <v>1899</v>
      </c>
      <c r="J856" s="94">
        <v>12</v>
      </c>
    </row>
    <row r="857" spans="2:10" x14ac:dyDescent="0.15">
      <c r="B857" s="119">
        <v>854</v>
      </c>
      <c r="C857" s="129"/>
      <c r="D857" s="100"/>
      <c r="E857" s="100" t="s">
        <v>64</v>
      </c>
      <c r="F857" s="100" t="s">
        <v>64</v>
      </c>
      <c r="G857" s="100"/>
      <c r="H857" s="100"/>
      <c r="I857" s="100">
        <v>1899</v>
      </c>
      <c r="J857" s="100">
        <v>12</v>
      </c>
    </row>
    <row r="858" spans="2:10" x14ac:dyDescent="0.15">
      <c r="B858" s="119">
        <v>855</v>
      </c>
      <c r="C858" s="128"/>
      <c r="D858" s="94"/>
      <c r="E858" s="94" t="s">
        <v>64</v>
      </c>
      <c r="F858" s="94" t="s">
        <v>64</v>
      </c>
      <c r="G858" s="94"/>
      <c r="H858" s="94"/>
      <c r="I858" s="94">
        <v>1899</v>
      </c>
      <c r="J858" s="94">
        <v>12</v>
      </c>
    </row>
    <row r="859" spans="2:10" x14ac:dyDescent="0.15">
      <c r="B859" s="119">
        <v>856</v>
      </c>
      <c r="C859" s="129"/>
      <c r="D859" s="100"/>
      <c r="E859" s="100" t="s">
        <v>64</v>
      </c>
      <c r="F859" s="100" t="s">
        <v>64</v>
      </c>
      <c r="G859" s="100"/>
      <c r="H859" s="100"/>
      <c r="I859" s="100">
        <v>1899</v>
      </c>
      <c r="J859" s="100">
        <v>12</v>
      </c>
    </row>
    <row r="860" spans="2:10" x14ac:dyDescent="0.15">
      <c r="B860" s="119">
        <v>857</v>
      </c>
      <c r="C860" s="128"/>
      <c r="D860" s="94"/>
      <c r="E860" s="94" t="s">
        <v>64</v>
      </c>
      <c r="F860" s="94" t="s">
        <v>64</v>
      </c>
      <c r="G860" s="94"/>
      <c r="H860" s="94"/>
      <c r="I860" s="94">
        <v>1899</v>
      </c>
      <c r="J860" s="94">
        <v>12</v>
      </c>
    </row>
    <row r="861" spans="2:10" x14ac:dyDescent="0.15">
      <c r="B861" s="119">
        <v>858</v>
      </c>
      <c r="C861" s="129"/>
      <c r="D861" s="100"/>
      <c r="E861" s="100" t="s">
        <v>64</v>
      </c>
      <c r="F861" s="100" t="s">
        <v>64</v>
      </c>
      <c r="G861" s="100"/>
      <c r="H861" s="100"/>
      <c r="I861" s="100">
        <v>1899</v>
      </c>
      <c r="J861" s="100">
        <v>12</v>
      </c>
    </row>
    <row r="862" spans="2:10" x14ac:dyDescent="0.15">
      <c r="B862" s="119">
        <v>859</v>
      </c>
      <c r="C862" s="128"/>
      <c r="D862" s="94"/>
      <c r="E862" s="94" t="s">
        <v>64</v>
      </c>
      <c r="F862" s="94" t="s">
        <v>64</v>
      </c>
      <c r="G862" s="94"/>
      <c r="H862" s="94"/>
      <c r="I862" s="94">
        <v>1899</v>
      </c>
      <c r="J862" s="94">
        <v>12</v>
      </c>
    </row>
    <row r="863" spans="2:10" x14ac:dyDescent="0.15">
      <c r="B863" s="119">
        <v>860</v>
      </c>
      <c r="C863" s="129"/>
      <c r="D863" s="100"/>
      <c r="E863" s="100" t="s">
        <v>64</v>
      </c>
      <c r="F863" s="100" t="s">
        <v>64</v>
      </c>
      <c r="G863" s="100"/>
      <c r="H863" s="100"/>
      <c r="I863" s="100">
        <v>1899</v>
      </c>
      <c r="J863" s="100">
        <v>12</v>
      </c>
    </row>
    <row r="864" spans="2:10" x14ac:dyDescent="0.15">
      <c r="B864" s="119">
        <v>861</v>
      </c>
      <c r="C864" s="128"/>
      <c r="D864" s="94"/>
      <c r="E864" s="94" t="s">
        <v>64</v>
      </c>
      <c r="F864" s="94" t="s">
        <v>64</v>
      </c>
      <c r="G864" s="94"/>
      <c r="H864" s="94"/>
      <c r="I864" s="94">
        <v>1899</v>
      </c>
      <c r="J864" s="94">
        <v>12</v>
      </c>
    </row>
    <row r="865" spans="2:10" x14ac:dyDescent="0.15">
      <c r="B865" s="119">
        <v>862</v>
      </c>
      <c r="C865" s="129"/>
      <c r="D865" s="100"/>
      <c r="E865" s="100" t="s">
        <v>64</v>
      </c>
      <c r="F865" s="100" t="s">
        <v>64</v>
      </c>
      <c r="G865" s="100"/>
      <c r="H865" s="100"/>
      <c r="I865" s="100">
        <v>1899</v>
      </c>
      <c r="J865" s="100">
        <v>12</v>
      </c>
    </row>
    <row r="866" spans="2:10" x14ac:dyDescent="0.15">
      <c r="B866" s="119">
        <v>863</v>
      </c>
      <c r="C866" s="128"/>
      <c r="D866" s="94"/>
      <c r="E866" s="94" t="s">
        <v>64</v>
      </c>
      <c r="F866" s="94" t="s">
        <v>64</v>
      </c>
      <c r="G866" s="94"/>
      <c r="H866" s="94"/>
      <c r="I866" s="94">
        <v>1899</v>
      </c>
      <c r="J866" s="94">
        <v>12</v>
      </c>
    </row>
    <row r="867" spans="2:10" x14ac:dyDescent="0.15">
      <c r="B867" s="119">
        <v>864</v>
      </c>
      <c r="C867" s="129"/>
      <c r="D867" s="100"/>
      <c r="E867" s="100" t="s">
        <v>64</v>
      </c>
      <c r="F867" s="100" t="s">
        <v>64</v>
      </c>
      <c r="G867" s="100"/>
      <c r="H867" s="100"/>
      <c r="I867" s="100">
        <v>1899</v>
      </c>
      <c r="J867" s="100">
        <v>12</v>
      </c>
    </row>
    <row r="868" spans="2:10" x14ac:dyDescent="0.15">
      <c r="B868" s="119">
        <v>865</v>
      </c>
      <c r="C868" s="128"/>
      <c r="D868" s="94"/>
      <c r="E868" s="94" t="s">
        <v>64</v>
      </c>
      <c r="F868" s="94" t="s">
        <v>64</v>
      </c>
      <c r="G868" s="94"/>
      <c r="H868" s="94"/>
      <c r="I868" s="94">
        <v>1899</v>
      </c>
      <c r="J868" s="94">
        <v>12</v>
      </c>
    </row>
    <row r="869" spans="2:10" x14ac:dyDescent="0.15">
      <c r="B869" s="119">
        <v>866</v>
      </c>
      <c r="C869" s="129"/>
      <c r="D869" s="100"/>
      <c r="E869" s="100" t="s">
        <v>64</v>
      </c>
      <c r="F869" s="100" t="s">
        <v>64</v>
      </c>
      <c r="G869" s="100"/>
      <c r="H869" s="100"/>
      <c r="I869" s="100">
        <v>1899</v>
      </c>
      <c r="J869" s="100">
        <v>12</v>
      </c>
    </row>
    <row r="870" spans="2:10" x14ac:dyDescent="0.15">
      <c r="B870" s="119">
        <v>867</v>
      </c>
      <c r="C870" s="128"/>
      <c r="D870" s="94"/>
      <c r="E870" s="94" t="s">
        <v>64</v>
      </c>
      <c r="F870" s="94" t="s">
        <v>64</v>
      </c>
      <c r="G870" s="94"/>
      <c r="H870" s="94"/>
      <c r="I870" s="94">
        <v>1899</v>
      </c>
      <c r="J870" s="94">
        <v>12</v>
      </c>
    </row>
    <row r="871" spans="2:10" x14ac:dyDescent="0.15">
      <c r="B871" s="119">
        <v>868</v>
      </c>
      <c r="C871" s="129"/>
      <c r="D871" s="100"/>
      <c r="E871" s="100" t="s">
        <v>64</v>
      </c>
      <c r="F871" s="100" t="s">
        <v>64</v>
      </c>
      <c r="G871" s="100"/>
      <c r="H871" s="100"/>
      <c r="I871" s="100">
        <v>1899</v>
      </c>
      <c r="J871" s="100">
        <v>12</v>
      </c>
    </row>
    <row r="872" spans="2:10" x14ac:dyDescent="0.15">
      <c r="B872" s="119">
        <v>869</v>
      </c>
      <c r="C872" s="128"/>
      <c r="D872" s="94"/>
      <c r="E872" s="94" t="s">
        <v>64</v>
      </c>
      <c r="F872" s="94" t="s">
        <v>64</v>
      </c>
      <c r="G872" s="94"/>
      <c r="H872" s="94"/>
      <c r="I872" s="94">
        <v>1899</v>
      </c>
      <c r="J872" s="94">
        <v>12</v>
      </c>
    </row>
    <row r="873" spans="2:10" x14ac:dyDescent="0.15">
      <c r="B873" s="119">
        <v>870</v>
      </c>
      <c r="C873" s="129"/>
      <c r="D873" s="100"/>
      <c r="E873" s="100" t="s">
        <v>64</v>
      </c>
      <c r="F873" s="100" t="s">
        <v>64</v>
      </c>
      <c r="G873" s="100"/>
      <c r="H873" s="100"/>
      <c r="I873" s="100">
        <v>1899</v>
      </c>
      <c r="J873" s="100">
        <v>12</v>
      </c>
    </row>
    <row r="874" spans="2:10" x14ac:dyDescent="0.15">
      <c r="B874" s="119">
        <v>871</v>
      </c>
      <c r="C874" s="128"/>
      <c r="D874" s="94"/>
      <c r="E874" s="94" t="s">
        <v>64</v>
      </c>
      <c r="F874" s="94" t="s">
        <v>64</v>
      </c>
      <c r="G874" s="94"/>
      <c r="H874" s="94"/>
      <c r="I874" s="94">
        <v>1899</v>
      </c>
      <c r="J874" s="94">
        <v>12</v>
      </c>
    </row>
    <row r="875" spans="2:10" x14ac:dyDescent="0.15">
      <c r="B875" s="119">
        <v>872</v>
      </c>
      <c r="C875" s="129"/>
      <c r="D875" s="100"/>
      <c r="E875" s="100" t="s">
        <v>64</v>
      </c>
      <c r="F875" s="100" t="s">
        <v>64</v>
      </c>
      <c r="G875" s="100"/>
      <c r="H875" s="100"/>
      <c r="I875" s="100">
        <v>1899</v>
      </c>
      <c r="J875" s="100">
        <v>12</v>
      </c>
    </row>
    <row r="876" spans="2:10" x14ac:dyDescent="0.15">
      <c r="B876" s="119">
        <v>873</v>
      </c>
      <c r="C876" s="128"/>
      <c r="D876" s="94"/>
      <c r="E876" s="94" t="s">
        <v>64</v>
      </c>
      <c r="F876" s="94" t="s">
        <v>64</v>
      </c>
      <c r="G876" s="94"/>
      <c r="H876" s="94"/>
      <c r="I876" s="94">
        <v>1899</v>
      </c>
      <c r="J876" s="94">
        <v>12</v>
      </c>
    </row>
    <row r="877" spans="2:10" x14ac:dyDescent="0.15">
      <c r="B877" s="119">
        <v>874</v>
      </c>
      <c r="C877" s="129"/>
      <c r="D877" s="100"/>
      <c r="E877" s="100" t="s">
        <v>64</v>
      </c>
      <c r="F877" s="100" t="s">
        <v>64</v>
      </c>
      <c r="G877" s="100"/>
      <c r="H877" s="100"/>
      <c r="I877" s="100">
        <v>1899</v>
      </c>
      <c r="J877" s="100">
        <v>12</v>
      </c>
    </row>
    <row r="878" spans="2:10" x14ac:dyDescent="0.15">
      <c r="B878" s="119">
        <v>875</v>
      </c>
      <c r="C878" s="128"/>
      <c r="D878" s="94"/>
      <c r="E878" s="94" t="s">
        <v>64</v>
      </c>
      <c r="F878" s="94" t="s">
        <v>64</v>
      </c>
      <c r="G878" s="94"/>
      <c r="H878" s="94"/>
      <c r="I878" s="94">
        <v>1899</v>
      </c>
      <c r="J878" s="94">
        <v>12</v>
      </c>
    </row>
    <row r="879" spans="2:10" x14ac:dyDescent="0.15">
      <c r="B879" s="119">
        <v>876</v>
      </c>
      <c r="C879" s="129"/>
      <c r="D879" s="100"/>
      <c r="E879" s="100" t="s">
        <v>64</v>
      </c>
      <c r="F879" s="100" t="s">
        <v>64</v>
      </c>
      <c r="G879" s="100"/>
      <c r="H879" s="100"/>
      <c r="I879" s="100">
        <v>1899</v>
      </c>
      <c r="J879" s="100">
        <v>12</v>
      </c>
    </row>
    <row r="880" spans="2:10" x14ac:dyDescent="0.15">
      <c r="B880" s="119">
        <v>877</v>
      </c>
      <c r="C880" s="128"/>
      <c r="D880" s="94"/>
      <c r="E880" s="94" t="s">
        <v>64</v>
      </c>
      <c r="F880" s="94" t="s">
        <v>64</v>
      </c>
      <c r="G880" s="94"/>
      <c r="H880" s="94"/>
      <c r="I880" s="94">
        <v>1899</v>
      </c>
      <c r="J880" s="94">
        <v>12</v>
      </c>
    </row>
    <row r="881" spans="2:10" x14ac:dyDescent="0.15">
      <c r="B881" s="119">
        <v>878</v>
      </c>
      <c r="C881" s="129"/>
      <c r="D881" s="100"/>
      <c r="E881" s="100" t="s">
        <v>64</v>
      </c>
      <c r="F881" s="100" t="s">
        <v>64</v>
      </c>
      <c r="G881" s="100"/>
      <c r="H881" s="100"/>
      <c r="I881" s="100">
        <v>1899</v>
      </c>
      <c r="J881" s="100">
        <v>12</v>
      </c>
    </row>
    <row r="882" spans="2:10" x14ac:dyDescent="0.15">
      <c r="B882" s="119">
        <v>879</v>
      </c>
      <c r="C882" s="128"/>
      <c r="D882" s="94"/>
      <c r="E882" s="94" t="s">
        <v>64</v>
      </c>
      <c r="F882" s="94" t="s">
        <v>64</v>
      </c>
      <c r="G882" s="94"/>
      <c r="H882" s="94"/>
      <c r="I882" s="94">
        <v>1899</v>
      </c>
      <c r="J882" s="94">
        <v>12</v>
      </c>
    </row>
    <row r="883" spans="2:10" x14ac:dyDescent="0.15">
      <c r="B883" s="119">
        <v>880</v>
      </c>
      <c r="C883" s="129"/>
      <c r="D883" s="100"/>
      <c r="E883" s="100" t="s">
        <v>64</v>
      </c>
      <c r="F883" s="100" t="s">
        <v>64</v>
      </c>
      <c r="G883" s="100"/>
      <c r="H883" s="100"/>
      <c r="I883" s="100">
        <v>1899</v>
      </c>
      <c r="J883" s="100">
        <v>12</v>
      </c>
    </row>
    <row r="884" spans="2:10" x14ac:dyDescent="0.15">
      <c r="B884" s="119">
        <v>881</v>
      </c>
      <c r="C884" s="128"/>
      <c r="D884" s="94"/>
      <c r="E884" s="94" t="s">
        <v>64</v>
      </c>
      <c r="F884" s="94" t="s">
        <v>64</v>
      </c>
      <c r="G884" s="94"/>
      <c r="H884" s="94"/>
      <c r="I884" s="94">
        <v>1899</v>
      </c>
      <c r="J884" s="94">
        <v>12</v>
      </c>
    </row>
    <row r="885" spans="2:10" x14ac:dyDescent="0.15">
      <c r="B885" s="119">
        <v>882</v>
      </c>
      <c r="C885" s="129"/>
      <c r="D885" s="100"/>
      <c r="E885" s="100" t="s">
        <v>64</v>
      </c>
      <c r="F885" s="100" t="s">
        <v>64</v>
      </c>
      <c r="G885" s="100"/>
      <c r="H885" s="100"/>
      <c r="I885" s="100">
        <v>1899</v>
      </c>
      <c r="J885" s="100">
        <v>12</v>
      </c>
    </row>
    <row r="886" spans="2:10" x14ac:dyDescent="0.15">
      <c r="B886" s="119">
        <v>883</v>
      </c>
      <c r="C886" s="128"/>
      <c r="D886" s="94"/>
      <c r="E886" s="94" t="s">
        <v>64</v>
      </c>
      <c r="F886" s="94" t="s">
        <v>64</v>
      </c>
      <c r="G886" s="94"/>
      <c r="H886" s="94"/>
      <c r="I886" s="94">
        <v>1899</v>
      </c>
      <c r="J886" s="94">
        <v>12</v>
      </c>
    </row>
    <row r="887" spans="2:10" x14ac:dyDescent="0.15">
      <c r="B887" s="119">
        <v>884</v>
      </c>
      <c r="C887" s="129"/>
      <c r="D887" s="100"/>
      <c r="E887" s="100" t="s">
        <v>64</v>
      </c>
      <c r="F887" s="100" t="s">
        <v>64</v>
      </c>
      <c r="G887" s="100"/>
      <c r="H887" s="100"/>
      <c r="I887" s="100">
        <v>1899</v>
      </c>
      <c r="J887" s="100">
        <v>12</v>
      </c>
    </row>
    <row r="888" spans="2:10" x14ac:dyDescent="0.15">
      <c r="B888" s="119">
        <v>885</v>
      </c>
      <c r="C888" s="128"/>
      <c r="D888" s="94"/>
      <c r="E888" s="94" t="s">
        <v>64</v>
      </c>
      <c r="F888" s="94" t="s">
        <v>64</v>
      </c>
      <c r="G888" s="94"/>
      <c r="H888" s="94"/>
      <c r="I888" s="94">
        <v>1899</v>
      </c>
      <c r="J888" s="94">
        <v>12</v>
      </c>
    </row>
    <row r="889" spans="2:10" x14ac:dyDescent="0.15">
      <c r="B889" s="119">
        <v>886</v>
      </c>
      <c r="C889" s="129"/>
      <c r="D889" s="100"/>
      <c r="E889" s="100" t="s">
        <v>64</v>
      </c>
      <c r="F889" s="100" t="s">
        <v>64</v>
      </c>
      <c r="G889" s="100"/>
      <c r="H889" s="100"/>
      <c r="I889" s="100">
        <v>1899</v>
      </c>
      <c r="J889" s="100">
        <v>12</v>
      </c>
    </row>
    <row r="890" spans="2:10" x14ac:dyDescent="0.15">
      <c r="B890" s="119">
        <v>887</v>
      </c>
      <c r="C890" s="128"/>
      <c r="D890" s="94"/>
      <c r="E890" s="94" t="s">
        <v>64</v>
      </c>
      <c r="F890" s="94" t="s">
        <v>64</v>
      </c>
      <c r="G890" s="94"/>
      <c r="H890" s="94"/>
      <c r="I890" s="94">
        <v>1899</v>
      </c>
      <c r="J890" s="94">
        <v>12</v>
      </c>
    </row>
    <row r="891" spans="2:10" x14ac:dyDescent="0.15">
      <c r="B891" s="119">
        <v>888</v>
      </c>
      <c r="C891" s="129"/>
      <c r="D891" s="100"/>
      <c r="E891" s="100" t="s">
        <v>64</v>
      </c>
      <c r="F891" s="100" t="s">
        <v>64</v>
      </c>
      <c r="G891" s="100"/>
      <c r="H891" s="100"/>
      <c r="I891" s="100">
        <v>1899</v>
      </c>
      <c r="J891" s="100">
        <v>12</v>
      </c>
    </row>
    <row r="892" spans="2:10" x14ac:dyDescent="0.15">
      <c r="B892" s="130">
        <v>889</v>
      </c>
      <c r="C892" s="131"/>
      <c r="D892" s="122"/>
      <c r="E892" s="122" t="s">
        <v>64</v>
      </c>
      <c r="F892" s="122" t="s">
        <v>64</v>
      </c>
      <c r="G892" s="122"/>
      <c r="H892" s="122"/>
      <c r="I892" s="122">
        <v>1899</v>
      </c>
      <c r="J892" s="122">
        <v>12</v>
      </c>
    </row>
    <row r="893" spans="2:10" x14ac:dyDescent="0.15">
      <c r="B893" s="130">
        <v>890</v>
      </c>
      <c r="C893" s="131"/>
      <c r="D893" s="122"/>
      <c r="E893" s="122" t="s">
        <v>64</v>
      </c>
      <c r="F893" s="122" t="s">
        <v>64</v>
      </c>
      <c r="G893" s="122"/>
      <c r="H893" s="122"/>
      <c r="I893" s="122">
        <v>1899</v>
      </c>
      <c r="J893" s="122">
        <v>12</v>
      </c>
    </row>
    <row r="894" spans="2:10" x14ac:dyDescent="0.15">
      <c r="B894" s="130">
        <v>891</v>
      </c>
      <c r="C894" s="131"/>
      <c r="D894" s="122"/>
      <c r="E894" s="122" t="s">
        <v>64</v>
      </c>
      <c r="F894" s="122" t="s">
        <v>64</v>
      </c>
      <c r="G894" s="122"/>
      <c r="H894" s="122"/>
      <c r="I894" s="122">
        <v>1899</v>
      </c>
      <c r="J894" s="122">
        <v>12</v>
      </c>
    </row>
    <row r="895" spans="2:10" x14ac:dyDescent="0.15">
      <c r="B895" s="130">
        <v>892</v>
      </c>
      <c r="C895" s="131"/>
      <c r="D895" s="122"/>
      <c r="E895" s="122" t="s">
        <v>64</v>
      </c>
      <c r="F895" s="122" t="s">
        <v>64</v>
      </c>
      <c r="G895" s="122"/>
      <c r="H895" s="122"/>
      <c r="I895" s="122">
        <v>1899</v>
      </c>
      <c r="J895" s="122">
        <v>12</v>
      </c>
    </row>
    <row r="896" spans="2:10" x14ac:dyDescent="0.15">
      <c r="B896" s="130">
        <v>893</v>
      </c>
      <c r="C896" s="131"/>
      <c r="D896" s="122"/>
      <c r="E896" s="122" t="s">
        <v>64</v>
      </c>
      <c r="F896" s="122" t="s">
        <v>64</v>
      </c>
      <c r="G896" s="122"/>
      <c r="H896" s="122"/>
      <c r="I896" s="122">
        <v>1899</v>
      </c>
      <c r="J896" s="122">
        <v>12</v>
      </c>
    </row>
    <row r="897" spans="2:10" x14ac:dyDescent="0.15">
      <c r="B897" s="130">
        <v>894</v>
      </c>
      <c r="C897" s="131"/>
      <c r="D897" s="122"/>
      <c r="E897" s="122" t="s">
        <v>64</v>
      </c>
      <c r="F897" s="122" t="s">
        <v>64</v>
      </c>
      <c r="G897" s="122"/>
      <c r="H897" s="122"/>
      <c r="I897" s="122">
        <v>1899</v>
      </c>
      <c r="J897" s="122">
        <v>12</v>
      </c>
    </row>
    <row r="898" spans="2:10" x14ac:dyDescent="0.15">
      <c r="B898" s="130">
        <v>895</v>
      </c>
      <c r="C898" s="131"/>
      <c r="D898" s="122"/>
      <c r="E898" s="122" t="s">
        <v>64</v>
      </c>
      <c r="F898" s="122" t="s">
        <v>64</v>
      </c>
      <c r="G898" s="122"/>
      <c r="H898" s="122"/>
      <c r="I898" s="122">
        <v>1899</v>
      </c>
      <c r="J898" s="122">
        <v>12</v>
      </c>
    </row>
    <row r="899" spans="2:10" x14ac:dyDescent="0.15">
      <c r="B899" s="130">
        <v>896</v>
      </c>
      <c r="C899" s="131"/>
      <c r="D899" s="122"/>
      <c r="E899" s="122" t="s">
        <v>64</v>
      </c>
      <c r="F899" s="122" t="s">
        <v>64</v>
      </c>
      <c r="G899" s="122"/>
      <c r="H899" s="122"/>
      <c r="I899" s="122">
        <v>1899</v>
      </c>
      <c r="J899" s="122">
        <v>12</v>
      </c>
    </row>
    <row r="900" spans="2:10" x14ac:dyDescent="0.15">
      <c r="B900" s="130">
        <v>897</v>
      </c>
      <c r="C900" s="131"/>
      <c r="D900" s="122"/>
      <c r="E900" s="122" t="s">
        <v>64</v>
      </c>
      <c r="F900" s="122" t="s">
        <v>64</v>
      </c>
      <c r="G900" s="122"/>
      <c r="H900" s="122"/>
      <c r="I900" s="122">
        <v>1899</v>
      </c>
      <c r="J900" s="122">
        <v>12</v>
      </c>
    </row>
    <row r="901" spans="2:10" x14ac:dyDescent="0.15">
      <c r="B901" s="130">
        <v>898</v>
      </c>
      <c r="C901" s="131"/>
      <c r="D901" s="122"/>
      <c r="E901" s="122" t="s">
        <v>64</v>
      </c>
      <c r="F901" s="122" t="s">
        <v>64</v>
      </c>
      <c r="G901" s="122"/>
      <c r="H901" s="122"/>
      <c r="I901" s="122">
        <v>1899</v>
      </c>
      <c r="J901" s="122">
        <v>12</v>
      </c>
    </row>
    <row r="902" spans="2:10" x14ac:dyDescent="0.15">
      <c r="B902" s="130">
        <v>899</v>
      </c>
      <c r="C902" s="131"/>
      <c r="D902" s="122"/>
      <c r="E902" s="122" t="s">
        <v>64</v>
      </c>
      <c r="F902" s="122" t="s">
        <v>64</v>
      </c>
      <c r="G902" s="122"/>
      <c r="H902" s="122"/>
      <c r="I902" s="122">
        <v>1899</v>
      </c>
      <c r="J902" s="122">
        <v>12</v>
      </c>
    </row>
    <row r="903" spans="2:10" x14ac:dyDescent="0.15">
      <c r="B903" s="130">
        <v>900</v>
      </c>
      <c r="C903" s="131"/>
      <c r="D903" s="122"/>
      <c r="E903" s="122" t="s">
        <v>64</v>
      </c>
      <c r="F903" s="122" t="s">
        <v>64</v>
      </c>
      <c r="G903" s="122"/>
      <c r="H903" s="122"/>
      <c r="I903" s="122">
        <v>1899</v>
      </c>
      <c r="J903" s="122">
        <v>12</v>
      </c>
    </row>
    <row r="904" spans="2:10" x14ac:dyDescent="0.15">
      <c r="B904" s="130">
        <v>901</v>
      </c>
      <c r="C904" s="131"/>
      <c r="D904" s="122"/>
      <c r="E904" s="122" t="s">
        <v>64</v>
      </c>
      <c r="F904" s="122" t="s">
        <v>64</v>
      </c>
      <c r="G904" s="122"/>
      <c r="H904" s="122"/>
      <c r="I904" s="122">
        <v>1899</v>
      </c>
      <c r="J904" s="122">
        <v>12</v>
      </c>
    </row>
    <row r="905" spans="2:10" x14ac:dyDescent="0.15">
      <c r="B905" s="130">
        <v>902</v>
      </c>
      <c r="C905" s="131"/>
      <c r="D905" s="122"/>
      <c r="E905" s="122" t="s">
        <v>64</v>
      </c>
      <c r="F905" s="122" t="s">
        <v>64</v>
      </c>
      <c r="G905" s="122"/>
      <c r="H905" s="122"/>
      <c r="I905" s="122">
        <v>1899</v>
      </c>
      <c r="J905" s="122">
        <v>12</v>
      </c>
    </row>
    <row r="906" spans="2:10" x14ac:dyDescent="0.15">
      <c r="B906" s="130">
        <v>903</v>
      </c>
      <c r="C906" s="131"/>
      <c r="D906" s="122"/>
      <c r="E906" s="122" t="s">
        <v>64</v>
      </c>
      <c r="F906" s="122" t="s">
        <v>64</v>
      </c>
      <c r="G906" s="122"/>
      <c r="H906" s="122"/>
      <c r="I906" s="122">
        <v>1899</v>
      </c>
      <c r="J906" s="122">
        <v>12</v>
      </c>
    </row>
    <row r="907" spans="2:10" x14ac:dyDescent="0.15">
      <c r="B907" s="130">
        <v>904</v>
      </c>
      <c r="C907" s="131"/>
      <c r="D907" s="122"/>
      <c r="E907" s="122" t="s">
        <v>64</v>
      </c>
      <c r="F907" s="122" t="s">
        <v>64</v>
      </c>
      <c r="G907" s="122"/>
      <c r="H907" s="122"/>
      <c r="I907" s="122">
        <v>1899</v>
      </c>
      <c r="J907" s="122">
        <v>12</v>
      </c>
    </row>
    <row r="908" spans="2:10" x14ac:dyDescent="0.15">
      <c r="B908" s="130">
        <v>905</v>
      </c>
      <c r="C908" s="131"/>
      <c r="D908" s="122"/>
      <c r="E908" s="122" t="s">
        <v>64</v>
      </c>
      <c r="F908" s="122" t="s">
        <v>64</v>
      </c>
      <c r="G908" s="122"/>
      <c r="H908" s="122"/>
      <c r="I908" s="122">
        <v>1899</v>
      </c>
      <c r="J908" s="122">
        <v>12</v>
      </c>
    </row>
    <row r="909" spans="2:10" x14ac:dyDescent="0.15">
      <c r="B909" s="130">
        <v>906</v>
      </c>
      <c r="C909" s="131"/>
      <c r="D909" s="122"/>
      <c r="E909" s="122" t="s">
        <v>64</v>
      </c>
      <c r="F909" s="122" t="s">
        <v>64</v>
      </c>
      <c r="G909" s="122"/>
      <c r="H909" s="122"/>
      <c r="I909" s="122">
        <v>1899</v>
      </c>
      <c r="J909" s="122">
        <v>12</v>
      </c>
    </row>
    <row r="910" spans="2:10" x14ac:dyDescent="0.15">
      <c r="B910" s="130">
        <v>907</v>
      </c>
      <c r="C910" s="131"/>
      <c r="D910" s="122"/>
      <c r="E910" s="122" t="s">
        <v>64</v>
      </c>
      <c r="F910" s="122" t="s">
        <v>64</v>
      </c>
      <c r="G910" s="122"/>
      <c r="H910" s="122"/>
      <c r="I910" s="122">
        <v>1899</v>
      </c>
      <c r="J910" s="122">
        <v>12</v>
      </c>
    </row>
    <row r="911" spans="2:10" x14ac:dyDescent="0.15">
      <c r="B911" s="130">
        <v>908</v>
      </c>
      <c r="C911" s="131"/>
      <c r="D911" s="122"/>
      <c r="E911" s="122" t="s">
        <v>64</v>
      </c>
      <c r="F911" s="122" t="s">
        <v>64</v>
      </c>
      <c r="G911" s="122"/>
      <c r="H911" s="122"/>
      <c r="I911" s="122">
        <v>1899</v>
      </c>
      <c r="J911" s="122">
        <v>12</v>
      </c>
    </row>
    <row r="912" spans="2:10" x14ac:dyDescent="0.15">
      <c r="B912" s="130">
        <v>909</v>
      </c>
      <c r="C912" s="131"/>
      <c r="D912" s="122"/>
      <c r="E912" s="122" t="s">
        <v>64</v>
      </c>
      <c r="F912" s="122" t="s">
        <v>64</v>
      </c>
      <c r="G912" s="122"/>
      <c r="H912" s="122"/>
      <c r="I912" s="122">
        <v>1899</v>
      </c>
      <c r="J912" s="122">
        <v>12</v>
      </c>
    </row>
    <row r="913" spans="2:10" x14ac:dyDescent="0.15">
      <c r="B913" s="130">
        <v>910</v>
      </c>
      <c r="C913" s="131"/>
      <c r="D913" s="122"/>
      <c r="E913" s="122" t="s">
        <v>64</v>
      </c>
      <c r="F913" s="122" t="s">
        <v>64</v>
      </c>
      <c r="G913" s="122"/>
      <c r="H913" s="122"/>
      <c r="I913" s="122">
        <v>1899</v>
      </c>
      <c r="J913" s="122">
        <v>12</v>
      </c>
    </row>
    <row r="914" spans="2:10" x14ac:dyDescent="0.15">
      <c r="B914" s="130">
        <v>911</v>
      </c>
      <c r="C914" s="131"/>
      <c r="D914" s="122"/>
      <c r="E914" s="122" t="s">
        <v>64</v>
      </c>
      <c r="F914" s="122" t="s">
        <v>64</v>
      </c>
      <c r="G914" s="122"/>
      <c r="H914" s="122"/>
      <c r="I914" s="122">
        <v>1899</v>
      </c>
      <c r="J914" s="122">
        <v>12</v>
      </c>
    </row>
    <row r="915" spans="2:10" x14ac:dyDescent="0.15">
      <c r="B915" s="130">
        <v>912</v>
      </c>
      <c r="C915" s="131"/>
      <c r="D915" s="122"/>
      <c r="E915" s="122" t="s">
        <v>64</v>
      </c>
      <c r="F915" s="122" t="s">
        <v>64</v>
      </c>
      <c r="G915" s="122"/>
      <c r="H915" s="122"/>
      <c r="I915" s="122">
        <v>1899</v>
      </c>
      <c r="J915" s="122">
        <v>12</v>
      </c>
    </row>
    <row r="916" spans="2:10" x14ac:dyDescent="0.15">
      <c r="B916" s="130">
        <v>913</v>
      </c>
      <c r="C916" s="131"/>
      <c r="D916" s="122"/>
      <c r="E916" s="122" t="s">
        <v>64</v>
      </c>
      <c r="F916" s="122" t="s">
        <v>64</v>
      </c>
      <c r="G916" s="122"/>
      <c r="H916" s="122"/>
      <c r="I916" s="122">
        <v>1899</v>
      </c>
      <c r="J916" s="122">
        <v>12</v>
      </c>
    </row>
    <row r="917" spans="2:10" x14ac:dyDescent="0.15">
      <c r="B917" s="130">
        <v>914</v>
      </c>
      <c r="C917" s="131"/>
      <c r="D917" s="122"/>
      <c r="E917" s="122" t="s">
        <v>64</v>
      </c>
      <c r="F917" s="122" t="s">
        <v>64</v>
      </c>
      <c r="G917" s="122"/>
      <c r="H917" s="122"/>
      <c r="I917" s="122">
        <v>1899</v>
      </c>
      <c r="J917" s="122">
        <v>12</v>
      </c>
    </row>
    <row r="918" spans="2:10" x14ac:dyDescent="0.15">
      <c r="B918" s="130">
        <v>915</v>
      </c>
      <c r="C918" s="131"/>
      <c r="D918" s="122"/>
      <c r="E918" s="122" t="s">
        <v>64</v>
      </c>
      <c r="F918" s="122" t="s">
        <v>64</v>
      </c>
      <c r="G918" s="122"/>
      <c r="H918" s="122"/>
      <c r="I918" s="122">
        <v>1899</v>
      </c>
      <c r="J918" s="122">
        <v>12</v>
      </c>
    </row>
    <row r="919" spans="2:10" x14ac:dyDescent="0.15">
      <c r="B919" s="130">
        <v>916</v>
      </c>
      <c r="C919" s="131"/>
      <c r="D919" s="122"/>
      <c r="E919" s="122" t="s">
        <v>64</v>
      </c>
      <c r="F919" s="122" t="s">
        <v>64</v>
      </c>
      <c r="G919" s="122"/>
      <c r="H919" s="122"/>
      <c r="I919" s="122">
        <v>1899</v>
      </c>
      <c r="J919" s="122">
        <v>12</v>
      </c>
    </row>
    <row r="920" spans="2:10" x14ac:dyDescent="0.15">
      <c r="B920" s="130">
        <v>917</v>
      </c>
      <c r="C920" s="131"/>
      <c r="D920" s="122"/>
      <c r="E920" s="122" t="s">
        <v>64</v>
      </c>
      <c r="F920" s="122" t="s">
        <v>64</v>
      </c>
      <c r="G920" s="122"/>
      <c r="H920" s="122"/>
      <c r="I920" s="122">
        <v>1899</v>
      </c>
      <c r="J920" s="122">
        <v>12</v>
      </c>
    </row>
    <row r="921" spans="2:10" x14ac:dyDescent="0.15">
      <c r="B921" s="130">
        <v>918</v>
      </c>
      <c r="C921" s="131"/>
      <c r="D921" s="122"/>
      <c r="E921" s="122" t="s">
        <v>64</v>
      </c>
      <c r="F921" s="122" t="s">
        <v>64</v>
      </c>
      <c r="G921" s="122"/>
      <c r="H921" s="122"/>
      <c r="I921" s="122">
        <v>1899</v>
      </c>
      <c r="J921" s="122">
        <v>12</v>
      </c>
    </row>
    <row r="922" spans="2:10" x14ac:dyDescent="0.15">
      <c r="B922" s="130">
        <v>919</v>
      </c>
      <c r="C922" s="131"/>
      <c r="D922" s="122"/>
      <c r="E922" s="122" t="s">
        <v>64</v>
      </c>
      <c r="F922" s="122" t="s">
        <v>64</v>
      </c>
      <c r="G922" s="122"/>
      <c r="H922" s="122"/>
      <c r="I922" s="122">
        <v>1899</v>
      </c>
      <c r="J922" s="122">
        <v>12</v>
      </c>
    </row>
    <row r="923" spans="2:10" x14ac:dyDescent="0.15">
      <c r="B923" s="130">
        <v>920</v>
      </c>
      <c r="C923" s="131"/>
      <c r="D923" s="122"/>
      <c r="E923" s="122" t="s">
        <v>64</v>
      </c>
      <c r="F923" s="122" t="s">
        <v>64</v>
      </c>
      <c r="G923" s="122"/>
      <c r="H923" s="122"/>
      <c r="I923" s="122">
        <v>1899</v>
      </c>
      <c r="J923" s="122">
        <v>12</v>
      </c>
    </row>
    <row r="924" spans="2:10" x14ac:dyDescent="0.15">
      <c r="B924" s="130">
        <v>921</v>
      </c>
      <c r="C924" s="131"/>
      <c r="D924" s="122"/>
      <c r="E924" s="122" t="s">
        <v>64</v>
      </c>
      <c r="F924" s="122" t="s">
        <v>64</v>
      </c>
      <c r="G924" s="122"/>
      <c r="H924" s="122"/>
      <c r="I924" s="122">
        <v>1899</v>
      </c>
      <c r="J924" s="122">
        <v>12</v>
      </c>
    </row>
    <row r="925" spans="2:10" x14ac:dyDescent="0.15">
      <c r="B925" s="130">
        <v>922</v>
      </c>
      <c r="C925" s="131"/>
      <c r="D925" s="122"/>
      <c r="E925" s="122" t="s">
        <v>64</v>
      </c>
      <c r="F925" s="122" t="s">
        <v>64</v>
      </c>
      <c r="G925" s="122"/>
      <c r="H925" s="122"/>
      <c r="I925" s="122">
        <v>1899</v>
      </c>
      <c r="J925" s="122">
        <v>12</v>
      </c>
    </row>
    <row r="926" spans="2:10" x14ac:dyDescent="0.15">
      <c r="B926" s="130">
        <v>923</v>
      </c>
      <c r="C926" s="131"/>
      <c r="D926" s="122"/>
      <c r="E926" s="122" t="s">
        <v>64</v>
      </c>
      <c r="F926" s="122" t="s">
        <v>64</v>
      </c>
      <c r="G926" s="122"/>
      <c r="H926" s="122"/>
      <c r="I926" s="122">
        <v>1899</v>
      </c>
      <c r="J926" s="122">
        <v>12</v>
      </c>
    </row>
    <row r="927" spans="2:10" x14ac:dyDescent="0.15">
      <c r="B927" s="130">
        <v>924</v>
      </c>
      <c r="C927" s="131"/>
      <c r="D927" s="122"/>
      <c r="E927" s="122" t="s">
        <v>64</v>
      </c>
      <c r="F927" s="122" t="s">
        <v>64</v>
      </c>
      <c r="G927" s="122"/>
      <c r="H927" s="122"/>
      <c r="I927" s="122">
        <v>1899</v>
      </c>
      <c r="J927" s="122">
        <v>12</v>
      </c>
    </row>
    <row r="928" spans="2:10" x14ac:dyDescent="0.15">
      <c r="B928" s="130">
        <v>925</v>
      </c>
      <c r="C928" s="131"/>
      <c r="D928" s="122"/>
      <c r="E928" s="122" t="s">
        <v>64</v>
      </c>
      <c r="F928" s="122" t="s">
        <v>64</v>
      </c>
      <c r="G928" s="122"/>
      <c r="H928" s="122"/>
      <c r="I928" s="122">
        <v>1899</v>
      </c>
      <c r="J928" s="122">
        <v>12</v>
      </c>
    </row>
    <row r="929" spans="2:10" x14ac:dyDescent="0.15">
      <c r="B929" s="130">
        <v>926</v>
      </c>
      <c r="C929" s="131"/>
      <c r="D929" s="122"/>
      <c r="E929" s="122" t="s">
        <v>64</v>
      </c>
      <c r="F929" s="122" t="s">
        <v>64</v>
      </c>
      <c r="G929" s="122"/>
      <c r="H929" s="122"/>
      <c r="I929" s="122">
        <v>1899</v>
      </c>
      <c r="J929" s="122">
        <v>12</v>
      </c>
    </row>
    <row r="930" spans="2:10" x14ac:dyDescent="0.15">
      <c r="B930" s="130">
        <v>927</v>
      </c>
      <c r="C930" s="131"/>
      <c r="D930" s="122"/>
      <c r="E930" s="122" t="s">
        <v>64</v>
      </c>
      <c r="F930" s="122" t="s">
        <v>64</v>
      </c>
      <c r="G930" s="122"/>
      <c r="H930" s="122"/>
      <c r="I930" s="122">
        <v>1899</v>
      </c>
      <c r="J930" s="122">
        <v>12</v>
      </c>
    </row>
    <row r="931" spans="2:10" x14ac:dyDescent="0.15">
      <c r="B931" s="130">
        <v>928</v>
      </c>
      <c r="C931" s="131"/>
      <c r="D931" s="122"/>
      <c r="E931" s="122" t="s">
        <v>64</v>
      </c>
      <c r="F931" s="122" t="s">
        <v>64</v>
      </c>
      <c r="G931" s="122"/>
      <c r="H931" s="122"/>
      <c r="I931" s="122">
        <v>1899</v>
      </c>
      <c r="J931" s="122">
        <v>12</v>
      </c>
    </row>
    <row r="932" spans="2:10" x14ac:dyDescent="0.15">
      <c r="B932" s="130">
        <v>929</v>
      </c>
      <c r="C932" s="131"/>
      <c r="D932" s="122"/>
      <c r="E932" s="122" t="s">
        <v>64</v>
      </c>
      <c r="F932" s="122" t="s">
        <v>64</v>
      </c>
      <c r="G932" s="122"/>
      <c r="H932" s="122"/>
      <c r="I932" s="122">
        <v>1899</v>
      </c>
      <c r="J932" s="122">
        <v>12</v>
      </c>
    </row>
    <row r="933" spans="2:10" x14ac:dyDescent="0.15">
      <c r="B933" s="130">
        <v>930</v>
      </c>
      <c r="C933" s="131"/>
      <c r="D933" s="122"/>
      <c r="E933" s="122" t="s">
        <v>64</v>
      </c>
      <c r="F933" s="122" t="s">
        <v>64</v>
      </c>
      <c r="G933" s="122"/>
      <c r="H933" s="122"/>
      <c r="I933" s="122">
        <v>1899</v>
      </c>
      <c r="J933" s="122">
        <v>12</v>
      </c>
    </row>
    <row r="934" spans="2:10" x14ac:dyDescent="0.15">
      <c r="B934" s="130">
        <v>931</v>
      </c>
      <c r="C934" s="131"/>
      <c r="D934" s="122"/>
      <c r="E934" s="122" t="s">
        <v>64</v>
      </c>
      <c r="F934" s="122" t="s">
        <v>64</v>
      </c>
      <c r="G934" s="122"/>
      <c r="H934" s="122"/>
      <c r="I934" s="122">
        <v>1899</v>
      </c>
      <c r="J934" s="122">
        <v>12</v>
      </c>
    </row>
    <row r="935" spans="2:10" x14ac:dyDescent="0.15">
      <c r="B935" s="130">
        <v>932</v>
      </c>
      <c r="C935" s="131"/>
      <c r="D935" s="122"/>
      <c r="E935" s="122" t="s">
        <v>64</v>
      </c>
      <c r="F935" s="122" t="s">
        <v>64</v>
      </c>
      <c r="G935" s="122"/>
      <c r="H935" s="122"/>
      <c r="I935" s="122">
        <v>1899</v>
      </c>
      <c r="J935" s="122">
        <v>12</v>
      </c>
    </row>
    <row r="936" spans="2:10" x14ac:dyDescent="0.15">
      <c r="B936" s="130">
        <v>933</v>
      </c>
      <c r="C936" s="131"/>
      <c r="D936" s="122"/>
      <c r="E936" s="122" t="s">
        <v>64</v>
      </c>
      <c r="F936" s="122" t="s">
        <v>64</v>
      </c>
      <c r="G936" s="122"/>
      <c r="H936" s="122"/>
      <c r="I936" s="122">
        <v>1899</v>
      </c>
      <c r="J936" s="122">
        <v>12</v>
      </c>
    </row>
    <row r="937" spans="2:10" x14ac:dyDescent="0.15">
      <c r="B937" s="130">
        <v>934</v>
      </c>
      <c r="C937" s="131"/>
      <c r="D937" s="122"/>
      <c r="E937" s="122" t="s">
        <v>64</v>
      </c>
      <c r="F937" s="122" t="s">
        <v>64</v>
      </c>
      <c r="G937" s="122"/>
      <c r="H937" s="122"/>
      <c r="I937" s="122">
        <v>1899</v>
      </c>
      <c r="J937" s="122">
        <v>12</v>
      </c>
    </row>
    <row r="938" spans="2:10" x14ac:dyDescent="0.15">
      <c r="B938" s="130">
        <v>935</v>
      </c>
      <c r="C938" s="131"/>
      <c r="D938" s="122"/>
      <c r="E938" s="122" t="s">
        <v>64</v>
      </c>
      <c r="F938" s="122" t="s">
        <v>64</v>
      </c>
      <c r="G938" s="122"/>
      <c r="H938" s="122"/>
      <c r="I938" s="122">
        <v>1899</v>
      </c>
      <c r="J938" s="122">
        <v>12</v>
      </c>
    </row>
    <row r="939" spans="2:10" x14ac:dyDescent="0.15">
      <c r="B939" s="130">
        <v>936</v>
      </c>
      <c r="C939" s="131"/>
      <c r="D939" s="122"/>
      <c r="E939" s="122" t="s">
        <v>64</v>
      </c>
      <c r="F939" s="122" t="s">
        <v>64</v>
      </c>
      <c r="G939" s="122"/>
      <c r="H939" s="122"/>
      <c r="I939" s="122">
        <v>1899</v>
      </c>
      <c r="J939" s="122">
        <v>12</v>
      </c>
    </row>
    <row r="940" spans="2:10" x14ac:dyDescent="0.15">
      <c r="B940" s="130">
        <v>937</v>
      </c>
      <c r="C940" s="131"/>
      <c r="D940" s="122"/>
      <c r="E940" s="122" t="s">
        <v>64</v>
      </c>
      <c r="F940" s="122" t="s">
        <v>64</v>
      </c>
      <c r="G940" s="122"/>
      <c r="H940" s="122"/>
      <c r="I940" s="122">
        <v>1899</v>
      </c>
      <c r="J940" s="122">
        <v>12</v>
      </c>
    </row>
    <row r="941" spans="2:10" x14ac:dyDescent="0.15">
      <c r="B941" s="130">
        <v>938</v>
      </c>
      <c r="C941" s="131"/>
      <c r="D941" s="122"/>
      <c r="E941" s="122" t="s">
        <v>64</v>
      </c>
      <c r="F941" s="122" t="s">
        <v>64</v>
      </c>
      <c r="G941" s="122"/>
      <c r="H941" s="122"/>
      <c r="I941" s="122">
        <v>1899</v>
      </c>
      <c r="J941" s="122">
        <v>12</v>
      </c>
    </row>
    <row r="942" spans="2:10" x14ac:dyDescent="0.15">
      <c r="B942" s="130">
        <v>939</v>
      </c>
      <c r="C942" s="131"/>
      <c r="D942" s="122"/>
      <c r="E942" s="122" t="s">
        <v>64</v>
      </c>
      <c r="F942" s="122" t="s">
        <v>64</v>
      </c>
      <c r="G942" s="122"/>
      <c r="H942" s="122"/>
      <c r="I942" s="122">
        <v>1899</v>
      </c>
      <c r="J942" s="122">
        <v>12</v>
      </c>
    </row>
    <row r="943" spans="2:10" x14ac:dyDescent="0.15">
      <c r="B943" s="130">
        <v>940</v>
      </c>
      <c r="C943" s="131"/>
      <c r="D943" s="122"/>
      <c r="E943" s="122" t="s">
        <v>64</v>
      </c>
      <c r="F943" s="122" t="s">
        <v>64</v>
      </c>
      <c r="G943" s="122"/>
      <c r="H943" s="122"/>
      <c r="I943" s="122">
        <v>1899</v>
      </c>
      <c r="J943" s="122">
        <v>12</v>
      </c>
    </row>
    <row r="944" spans="2:10" x14ac:dyDescent="0.15">
      <c r="B944" s="130">
        <v>941</v>
      </c>
      <c r="C944" s="131"/>
      <c r="D944" s="122"/>
      <c r="E944" s="122" t="s">
        <v>64</v>
      </c>
      <c r="F944" s="122" t="s">
        <v>64</v>
      </c>
      <c r="G944" s="122"/>
      <c r="H944" s="122"/>
      <c r="I944" s="122">
        <v>1899</v>
      </c>
      <c r="J944" s="122">
        <v>12</v>
      </c>
    </row>
    <row r="945" spans="2:10" x14ac:dyDescent="0.15">
      <c r="B945" s="130">
        <v>942</v>
      </c>
      <c r="C945" s="131"/>
      <c r="D945" s="122"/>
      <c r="E945" s="122" t="s">
        <v>64</v>
      </c>
      <c r="F945" s="122" t="s">
        <v>64</v>
      </c>
      <c r="G945" s="122"/>
      <c r="H945" s="122"/>
      <c r="I945" s="122">
        <v>1899</v>
      </c>
      <c r="J945" s="122">
        <v>12</v>
      </c>
    </row>
    <row r="946" spans="2:10" x14ac:dyDescent="0.15">
      <c r="B946" s="130">
        <v>943</v>
      </c>
      <c r="C946" s="131"/>
      <c r="D946" s="122"/>
      <c r="E946" s="122" t="s">
        <v>64</v>
      </c>
      <c r="F946" s="122" t="s">
        <v>64</v>
      </c>
      <c r="G946" s="122"/>
      <c r="H946" s="122"/>
      <c r="I946" s="122">
        <v>1899</v>
      </c>
      <c r="J946" s="122">
        <v>12</v>
      </c>
    </row>
    <row r="947" spans="2:10" x14ac:dyDescent="0.15">
      <c r="B947" s="130">
        <v>944</v>
      </c>
      <c r="C947" s="131"/>
      <c r="D947" s="122"/>
      <c r="E947" s="122" t="s">
        <v>64</v>
      </c>
      <c r="F947" s="122" t="s">
        <v>64</v>
      </c>
      <c r="G947" s="122"/>
      <c r="H947" s="122"/>
      <c r="I947" s="122">
        <v>1899</v>
      </c>
      <c r="J947" s="122">
        <v>12</v>
      </c>
    </row>
    <row r="948" spans="2:10" x14ac:dyDescent="0.15">
      <c r="B948" s="130">
        <v>945</v>
      </c>
      <c r="C948" s="131"/>
      <c r="D948" s="122"/>
      <c r="E948" s="122" t="s">
        <v>64</v>
      </c>
      <c r="F948" s="122" t="s">
        <v>64</v>
      </c>
      <c r="G948" s="122"/>
      <c r="H948" s="122"/>
      <c r="I948" s="122">
        <v>1899</v>
      </c>
      <c r="J948" s="122">
        <v>12</v>
      </c>
    </row>
    <row r="949" spans="2:10" x14ac:dyDescent="0.15">
      <c r="B949" s="130">
        <v>946</v>
      </c>
      <c r="C949" s="131"/>
      <c r="D949" s="122"/>
      <c r="E949" s="122" t="s">
        <v>64</v>
      </c>
      <c r="F949" s="122" t="s">
        <v>64</v>
      </c>
      <c r="G949" s="122"/>
      <c r="H949" s="122"/>
      <c r="I949" s="122">
        <v>1899</v>
      </c>
      <c r="J949" s="122">
        <v>12</v>
      </c>
    </row>
    <row r="950" spans="2:10" x14ac:dyDescent="0.15">
      <c r="B950" s="130">
        <v>947</v>
      </c>
      <c r="C950" s="131"/>
      <c r="D950" s="122"/>
      <c r="E950" s="122" t="s">
        <v>64</v>
      </c>
      <c r="F950" s="122" t="s">
        <v>64</v>
      </c>
      <c r="G950" s="122"/>
      <c r="H950" s="122"/>
      <c r="I950" s="122">
        <v>1899</v>
      </c>
      <c r="J950" s="122">
        <v>12</v>
      </c>
    </row>
    <row r="951" spans="2:10" x14ac:dyDescent="0.15">
      <c r="B951" s="130">
        <v>948</v>
      </c>
      <c r="C951" s="131"/>
      <c r="D951" s="122"/>
      <c r="E951" s="122" t="s">
        <v>64</v>
      </c>
      <c r="F951" s="122" t="s">
        <v>64</v>
      </c>
      <c r="G951" s="122"/>
      <c r="H951" s="122"/>
      <c r="I951" s="122">
        <v>1899</v>
      </c>
      <c r="J951" s="122">
        <v>12</v>
      </c>
    </row>
    <row r="952" spans="2:10" x14ac:dyDescent="0.15">
      <c r="B952" s="130">
        <v>949</v>
      </c>
      <c r="C952" s="131"/>
      <c r="D952" s="122"/>
      <c r="E952" s="122" t="s">
        <v>64</v>
      </c>
      <c r="F952" s="122" t="s">
        <v>64</v>
      </c>
      <c r="G952" s="122"/>
      <c r="H952" s="122"/>
      <c r="I952" s="122">
        <v>1899</v>
      </c>
      <c r="J952" s="122">
        <v>12</v>
      </c>
    </row>
    <row r="953" spans="2:10" x14ac:dyDescent="0.15">
      <c r="B953" s="130">
        <v>950</v>
      </c>
      <c r="C953" s="131"/>
      <c r="D953" s="122"/>
      <c r="E953" s="122" t="s">
        <v>64</v>
      </c>
      <c r="F953" s="122" t="s">
        <v>64</v>
      </c>
      <c r="G953" s="122"/>
      <c r="H953" s="122"/>
      <c r="I953" s="122">
        <v>1899</v>
      </c>
      <c r="J953" s="122">
        <v>12</v>
      </c>
    </row>
    <row r="954" spans="2:10" x14ac:dyDescent="0.15">
      <c r="B954" s="130">
        <v>951</v>
      </c>
      <c r="C954" s="131"/>
      <c r="D954" s="122"/>
      <c r="E954" s="122" t="s">
        <v>64</v>
      </c>
      <c r="F954" s="122" t="s">
        <v>64</v>
      </c>
      <c r="G954" s="122"/>
      <c r="H954" s="122"/>
      <c r="I954" s="122">
        <v>1899</v>
      </c>
      <c r="J954" s="122">
        <v>12</v>
      </c>
    </row>
    <row r="955" spans="2:10" x14ac:dyDescent="0.15">
      <c r="B955" s="130">
        <v>952</v>
      </c>
      <c r="C955" s="131"/>
      <c r="D955" s="122"/>
      <c r="E955" s="122" t="s">
        <v>64</v>
      </c>
      <c r="F955" s="122" t="s">
        <v>64</v>
      </c>
      <c r="G955" s="122"/>
      <c r="H955" s="122"/>
      <c r="I955" s="122">
        <v>1899</v>
      </c>
      <c r="J955" s="122">
        <v>12</v>
      </c>
    </row>
    <row r="956" spans="2:10" x14ac:dyDescent="0.15">
      <c r="B956" s="130">
        <v>953</v>
      </c>
      <c r="C956" s="131"/>
      <c r="D956" s="122"/>
      <c r="E956" s="122" t="s">
        <v>64</v>
      </c>
      <c r="F956" s="122" t="s">
        <v>64</v>
      </c>
      <c r="G956" s="122"/>
      <c r="H956" s="122"/>
      <c r="I956" s="122">
        <v>1899</v>
      </c>
      <c r="J956" s="122">
        <v>12</v>
      </c>
    </row>
    <row r="957" spans="2:10" x14ac:dyDescent="0.15">
      <c r="B957" s="130">
        <v>954</v>
      </c>
      <c r="C957" s="131"/>
      <c r="D957" s="122"/>
      <c r="E957" s="122" t="s">
        <v>64</v>
      </c>
      <c r="F957" s="122" t="s">
        <v>64</v>
      </c>
      <c r="G957" s="122"/>
      <c r="H957" s="122"/>
      <c r="I957" s="122">
        <v>1899</v>
      </c>
      <c r="J957" s="122">
        <v>12</v>
      </c>
    </row>
    <row r="958" spans="2:10" x14ac:dyDescent="0.15">
      <c r="B958" s="130">
        <v>955</v>
      </c>
      <c r="C958" s="131"/>
      <c r="D958" s="122"/>
      <c r="E958" s="122" t="s">
        <v>64</v>
      </c>
      <c r="F958" s="122" t="s">
        <v>64</v>
      </c>
      <c r="G958" s="122"/>
      <c r="H958" s="122"/>
      <c r="I958" s="122">
        <v>1899</v>
      </c>
      <c r="J958" s="122">
        <v>12</v>
      </c>
    </row>
    <row r="959" spans="2:10" x14ac:dyDescent="0.15">
      <c r="B959" s="130">
        <v>956</v>
      </c>
      <c r="C959" s="131"/>
      <c r="D959" s="122"/>
      <c r="E959" s="122" t="s">
        <v>64</v>
      </c>
      <c r="F959" s="122" t="s">
        <v>64</v>
      </c>
      <c r="G959" s="122"/>
      <c r="H959" s="122"/>
      <c r="I959" s="122">
        <v>1899</v>
      </c>
      <c r="J959" s="122">
        <v>12</v>
      </c>
    </row>
    <row r="960" spans="2:10" x14ac:dyDescent="0.15">
      <c r="B960" s="130">
        <v>957</v>
      </c>
      <c r="C960" s="131"/>
      <c r="D960" s="122"/>
      <c r="E960" s="122" t="s">
        <v>64</v>
      </c>
      <c r="F960" s="122" t="s">
        <v>64</v>
      </c>
      <c r="G960" s="122"/>
      <c r="H960" s="122"/>
      <c r="I960" s="122">
        <v>1899</v>
      </c>
      <c r="J960" s="122">
        <v>12</v>
      </c>
    </row>
    <row r="961" spans="2:10" x14ac:dyDescent="0.15">
      <c r="B961" s="130">
        <v>958</v>
      </c>
      <c r="C961" s="131"/>
      <c r="D961" s="122"/>
      <c r="E961" s="122" t="s">
        <v>64</v>
      </c>
      <c r="F961" s="122" t="s">
        <v>64</v>
      </c>
      <c r="G961" s="122"/>
      <c r="H961" s="122"/>
      <c r="I961" s="122">
        <v>1899</v>
      </c>
      <c r="J961" s="122">
        <v>12</v>
      </c>
    </row>
    <row r="962" spans="2:10" x14ac:dyDescent="0.15">
      <c r="B962" s="130">
        <v>959</v>
      </c>
      <c r="C962" s="131"/>
      <c r="D962" s="122"/>
      <c r="E962" s="122" t="s">
        <v>64</v>
      </c>
      <c r="F962" s="122" t="s">
        <v>64</v>
      </c>
      <c r="G962" s="122"/>
      <c r="H962" s="122"/>
      <c r="I962" s="122">
        <v>1899</v>
      </c>
      <c r="J962" s="122">
        <v>12</v>
      </c>
    </row>
    <row r="963" spans="2:10" x14ac:dyDescent="0.15">
      <c r="B963" s="130">
        <v>960</v>
      </c>
      <c r="C963" s="131"/>
      <c r="D963" s="122"/>
      <c r="E963" s="122" t="s">
        <v>64</v>
      </c>
      <c r="F963" s="122" t="s">
        <v>64</v>
      </c>
      <c r="G963" s="122"/>
      <c r="H963" s="122"/>
      <c r="I963" s="122">
        <v>1899</v>
      </c>
      <c r="J963" s="122">
        <v>12</v>
      </c>
    </row>
    <row r="964" spans="2:10" x14ac:dyDescent="0.15">
      <c r="B964" s="130">
        <v>961</v>
      </c>
      <c r="C964" s="131"/>
      <c r="D964" s="122"/>
      <c r="E964" s="122" t="s">
        <v>64</v>
      </c>
      <c r="F964" s="122" t="s">
        <v>64</v>
      </c>
      <c r="G964" s="122"/>
      <c r="H964" s="122"/>
      <c r="I964" s="122">
        <v>1899</v>
      </c>
      <c r="J964" s="122">
        <v>12</v>
      </c>
    </row>
    <row r="965" spans="2:10" x14ac:dyDescent="0.15">
      <c r="B965" s="130">
        <v>962</v>
      </c>
      <c r="C965" s="131"/>
      <c r="D965" s="122"/>
      <c r="E965" s="122" t="s">
        <v>64</v>
      </c>
      <c r="F965" s="122" t="s">
        <v>64</v>
      </c>
      <c r="G965" s="122"/>
      <c r="H965" s="122"/>
      <c r="I965" s="122">
        <v>1899</v>
      </c>
      <c r="J965" s="122">
        <v>12</v>
      </c>
    </row>
    <row r="966" spans="2:10" x14ac:dyDescent="0.15">
      <c r="B966" s="130">
        <v>963</v>
      </c>
      <c r="C966" s="131"/>
      <c r="D966" s="122"/>
      <c r="E966" s="122" t="s">
        <v>64</v>
      </c>
      <c r="F966" s="122" t="s">
        <v>64</v>
      </c>
      <c r="G966" s="122"/>
      <c r="H966" s="122"/>
      <c r="I966" s="122">
        <v>1899</v>
      </c>
      <c r="J966" s="122">
        <v>12</v>
      </c>
    </row>
    <row r="967" spans="2:10" x14ac:dyDescent="0.15">
      <c r="B967" s="130">
        <v>964</v>
      </c>
      <c r="C967" s="131"/>
      <c r="D967" s="122"/>
      <c r="E967" s="122" t="s">
        <v>64</v>
      </c>
      <c r="F967" s="122" t="s">
        <v>64</v>
      </c>
      <c r="G967" s="122"/>
      <c r="H967" s="122"/>
      <c r="I967" s="122">
        <v>1899</v>
      </c>
      <c r="J967" s="122">
        <v>12</v>
      </c>
    </row>
    <row r="968" spans="2:10" x14ac:dyDescent="0.15">
      <c r="B968" s="130">
        <v>965</v>
      </c>
      <c r="C968" s="131"/>
      <c r="D968" s="122"/>
      <c r="E968" s="122" t="s">
        <v>64</v>
      </c>
      <c r="F968" s="122" t="s">
        <v>64</v>
      </c>
      <c r="G968" s="122"/>
      <c r="H968" s="122"/>
      <c r="I968" s="122">
        <v>1899</v>
      </c>
      <c r="J968" s="122">
        <v>12</v>
      </c>
    </row>
    <row r="969" spans="2:10" x14ac:dyDescent="0.15">
      <c r="B969" s="130">
        <v>966</v>
      </c>
      <c r="C969" s="131"/>
      <c r="D969" s="122"/>
      <c r="E969" s="122" t="s">
        <v>64</v>
      </c>
      <c r="F969" s="122" t="s">
        <v>64</v>
      </c>
      <c r="G969" s="122"/>
      <c r="H969" s="122"/>
      <c r="I969" s="122">
        <v>1899</v>
      </c>
      <c r="J969" s="122">
        <v>12</v>
      </c>
    </row>
    <row r="970" spans="2:10" x14ac:dyDescent="0.15">
      <c r="B970" s="130">
        <v>967</v>
      </c>
      <c r="C970" s="131"/>
      <c r="D970" s="122"/>
      <c r="E970" s="122" t="s">
        <v>64</v>
      </c>
      <c r="F970" s="122" t="s">
        <v>64</v>
      </c>
      <c r="G970" s="122"/>
      <c r="H970" s="122"/>
      <c r="I970" s="122">
        <v>1899</v>
      </c>
      <c r="J970" s="122">
        <v>12</v>
      </c>
    </row>
    <row r="971" spans="2:10" x14ac:dyDescent="0.15">
      <c r="B971" s="130">
        <v>968</v>
      </c>
      <c r="C971" s="131"/>
      <c r="D971" s="122"/>
      <c r="E971" s="122" t="s">
        <v>64</v>
      </c>
      <c r="F971" s="122" t="s">
        <v>64</v>
      </c>
      <c r="G971" s="122"/>
      <c r="H971" s="122"/>
      <c r="I971" s="122">
        <v>1899</v>
      </c>
      <c r="J971" s="122">
        <v>12</v>
      </c>
    </row>
    <row r="972" spans="2:10" x14ac:dyDescent="0.15">
      <c r="B972" s="130">
        <v>969</v>
      </c>
      <c r="C972" s="131"/>
      <c r="D972" s="122"/>
      <c r="E972" s="122" t="s">
        <v>64</v>
      </c>
      <c r="F972" s="122" t="s">
        <v>64</v>
      </c>
      <c r="G972" s="122"/>
      <c r="H972" s="122"/>
      <c r="I972" s="122">
        <v>1899</v>
      </c>
      <c r="J972" s="122">
        <v>12</v>
      </c>
    </row>
    <row r="973" spans="2:10" x14ac:dyDescent="0.15">
      <c r="B973" s="130">
        <v>970</v>
      </c>
      <c r="C973" s="131"/>
      <c r="D973" s="122"/>
      <c r="E973" s="122" t="s">
        <v>64</v>
      </c>
      <c r="F973" s="122" t="s">
        <v>64</v>
      </c>
      <c r="G973" s="122"/>
      <c r="H973" s="122"/>
      <c r="I973" s="122">
        <v>1899</v>
      </c>
      <c r="J973" s="122">
        <v>12</v>
      </c>
    </row>
    <row r="974" spans="2:10" x14ac:dyDescent="0.15">
      <c r="B974" s="130">
        <v>971</v>
      </c>
      <c r="C974" s="131"/>
      <c r="D974" s="122"/>
      <c r="E974" s="122" t="s">
        <v>64</v>
      </c>
      <c r="F974" s="122" t="s">
        <v>64</v>
      </c>
      <c r="G974" s="122"/>
      <c r="H974" s="122"/>
      <c r="I974" s="122">
        <v>1899</v>
      </c>
      <c r="J974" s="122">
        <v>12</v>
      </c>
    </row>
    <row r="975" spans="2:10" x14ac:dyDescent="0.15">
      <c r="B975" s="130">
        <v>972</v>
      </c>
      <c r="C975" s="131"/>
      <c r="D975" s="122"/>
      <c r="E975" s="122" t="s">
        <v>64</v>
      </c>
      <c r="F975" s="122" t="s">
        <v>64</v>
      </c>
      <c r="G975" s="122"/>
      <c r="H975" s="122"/>
      <c r="I975" s="122">
        <v>1899</v>
      </c>
      <c r="J975" s="122">
        <v>12</v>
      </c>
    </row>
    <row r="976" spans="2:10" x14ac:dyDescent="0.15">
      <c r="B976" s="130">
        <v>973</v>
      </c>
      <c r="C976" s="131"/>
      <c r="D976" s="122"/>
      <c r="E976" s="122" t="s">
        <v>64</v>
      </c>
      <c r="F976" s="122" t="s">
        <v>64</v>
      </c>
      <c r="G976" s="122"/>
      <c r="H976" s="122"/>
      <c r="I976" s="122">
        <v>1899</v>
      </c>
      <c r="J976" s="122">
        <v>12</v>
      </c>
    </row>
    <row r="977" spans="2:10" x14ac:dyDescent="0.15">
      <c r="B977" s="130">
        <v>974</v>
      </c>
      <c r="C977" s="131"/>
      <c r="D977" s="122"/>
      <c r="E977" s="122" t="s">
        <v>64</v>
      </c>
      <c r="F977" s="122" t="s">
        <v>64</v>
      </c>
      <c r="G977" s="122"/>
      <c r="H977" s="122"/>
      <c r="I977" s="122">
        <v>1899</v>
      </c>
      <c r="J977" s="122">
        <v>12</v>
      </c>
    </row>
    <row r="978" spans="2:10" x14ac:dyDescent="0.15">
      <c r="B978" s="130">
        <v>975</v>
      </c>
      <c r="C978" s="131"/>
      <c r="D978" s="122"/>
      <c r="E978" s="122" t="s">
        <v>64</v>
      </c>
      <c r="F978" s="122" t="s">
        <v>64</v>
      </c>
      <c r="G978" s="122"/>
      <c r="H978" s="122"/>
      <c r="I978" s="122">
        <v>1899</v>
      </c>
      <c r="J978" s="122">
        <v>12</v>
      </c>
    </row>
    <row r="979" spans="2:10" x14ac:dyDescent="0.15">
      <c r="B979" s="130">
        <v>976</v>
      </c>
      <c r="C979" s="131"/>
      <c r="D979" s="122"/>
      <c r="E979" s="122" t="s">
        <v>64</v>
      </c>
      <c r="F979" s="122" t="s">
        <v>64</v>
      </c>
      <c r="G979" s="122"/>
      <c r="H979" s="122"/>
      <c r="I979" s="122">
        <v>1899</v>
      </c>
      <c r="J979" s="122">
        <v>12</v>
      </c>
    </row>
    <row r="980" spans="2:10" x14ac:dyDescent="0.15">
      <c r="B980" s="130">
        <v>977</v>
      </c>
      <c r="C980" s="131"/>
      <c r="D980" s="122"/>
      <c r="E980" s="122" t="s">
        <v>64</v>
      </c>
      <c r="F980" s="122" t="s">
        <v>64</v>
      </c>
      <c r="G980" s="122"/>
      <c r="H980" s="122"/>
      <c r="I980" s="122">
        <v>1899</v>
      </c>
      <c r="J980" s="122">
        <v>12</v>
      </c>
    </row>
    <row r="981" spans="2:10" x14ac:dyDescent="0.15">
      <c r="B981" s="130">
        <v>978</v>
      </c>
      <c r="C981" s="131"/>
      <c r="D981" s="122"/>
      <c r="E981" s="122" t="s">
        <v>64</v>
      </c>
      <c r="F981" s="122" t="s">
        <v>64</v>
      </c>
      <c r="G981" s="122"/>
      <c r="H981" s="122"/>
      <c r="I981" s="122">
        <v>1899</v>
      </c>
      <c r="J981" s="122">
        <v>12</v>
      </c>
    </row>
    <row r="982" spans="2:10" x14ac:dyDescent="0.15">
      <c r="B982" s="130">
        <v>979</v>
      </c>
      <c r="C982" s="131"/>
      <c r="D982" s="122"/>
      <c r="E982" s="122" t="s">
        <v>64</v>
      </c>
      <c r="F982" s="122" t="s">
        <v>64</v>
      </c>
      <c r="G982" s="122"/>
      <c r="H982" s="122"/>
      <c r="I982" s="122">
        <v>1899</v>
      </c>
      <c r="J982" s="122">
        <v>12</v>
      </c>
    </row>
    <row r="983" spans="2:10" x14ac:dyDescent="0.15">
      <c r="B983" s="130">
        <v>980</v>
      </c>
      <c r="C983" s="131"/>
      <c r="D983" s="122"/>
      <c r="E983" s="122" t="s">
        <v>64</v>
      </c>
      <c r="F983" s="122" t="s">
        <v>64</v>
      </c>
      <c r="G983" s="122"/>
      <c r="H983" s="122"/>
      <c r="I983" s="122">
        <v>1899</v>
      </c>
      <c r="J983" s="122">
        <v>12</v>
      </c>
    </row>
    <row r="984" spans="2:10" x14ac:dyDescent="0.15">
      <c r="B984" s="130">
        <v>981</v>
      </c>
      <c r="C984" s="131"/>
      <c r="D984" s="122"/>
      <c r="E984" s="122" t="s">
        <v>64</v>
      </c>
      <c r="F984" s="122" t="s">
        <v>64</v>
      </c>
      <c r="G984" s="122"/>
      <c r="H984" s="122"/>
      <c r="I984" s="122">
        <v>1899</v>
      </c>
      <c r="J984" s="122">
        <v>12</v>
      </c>
    </row>
    <row r="985" spans="2:10" x14ac:dyDescent="0.15">
      <c r="B985" s="130">
        <v>982</v>
      </c>
      <c r="C985" s="131"/>
      <c r="D985" s="122"/>
      <c r="E985" s="122" t="s">
        <v>64</v>
      </c>
      <c r="F985" s="122" t="s">
        <v>64</v>
      </c>
      <c r="G985" s="122"/>
      <c r="H985" s="122"/>
      <c r="I985" s="122">
        <v>1899</v>
      </c>
      <c r="J985" s="122">
        <v>12</v>
      </c>
    </row>
    <row r="986" spans="2:10" x14ac:dyDescent="0.15">
      <c r="B986" s="130">
        <v>983</v>
      </c>
      <c r="C986" s="131"/>
      <c r="D986" s="122"/>
      <c r="E986" s="122" t="s">
        <v>64</v>
      </c>
      <c r="F986" s="122" t="s">
        <v>64</v>
      </c>
      <c r="G986" s="122"/>
      <c r="H986" s="122"/>
      <c r="I986" s="122">
        <v>1899</v>
      </c>
      <c r="J986" s="122">
        <v>12</v>
      </c>
    </row>
    <row r="987" spans="2:10" x14ac:dyDescent="0.15">
      <c r="B987" s="130">
        <v>984</v>
      </c>
      <c r="C987" s="131"/>
      <c r="D987" s="122"/>
      <c r="E987" s="122" t="s">
        <v>64</v>
      </c>
      <c r="F987" s="122" t="s">
        <v>64</v>
      </c>
      <c r="G987" s="122"/>
      <c r="H987" s="122"/>
      <c r="I987" s="122">
        <v>1899</v>
      </c>
      <c r="J987" s="122">
        <v>12</v>
      </c>
    </row>
    <row r="988" spans="2:10" x14ac:dyDescent="0.15">
      <c r="B988" s="130">
        <v>985</v>
      </c>
      <c r="C988" s="131"/>
      <c r="D988" s="122"/>
      <c r="E988" s="122" t="s">
        <v>64</v>
      </c>
      <c r="F988" s="122" t="s">
        <v>64</v>
      </c>
      <c r="G988" s="122"/>
      <c r="H988" s="122"/>
      <c r="I988" s="122">
        <v>1899</v>
      </c>
      <c r="J988" s="122">
        <v>12</v>
      </c>
    </row>
    <row r="989" spans="2:10" x14ac:dyDescent="0.15">
      <c r="B989" s="130">
        <v>986</v>
      </c>
      <c r="C989" s="131"/>
      <c r="D989" s="122"/>
      <c r="E989" s="122" t="s">
        <v>64</v>
      </c>
      <c r="F989" s="122" t="s">
        <v>64</v>
      </c>
      <c r="G989" s="122"/>
      <c r="H989" s="122"/>
      <c r="I989" s="122">
        <v>1899</v>
      </c>
      <c r="J989" s="122">
        <v>12</v>
      </c>
    </row>
    <row r="990" spans="2:10" x14ac:dyDescent="0.15">
      <c r="B990" s="130">
        <v>987</v>
      </c>
      <c r="C990" s="131"/>
      <c r="D990" s="122"/>
      <c r="E990" s="122" t="s">
        <v>64</v>
      </c>
      <c r="F990" s="122" t="s">
        <v>64</v>
      </c>
      <c r="G990" s="122"/>
      <c r="H990" s="122"/>
      <c r="I990" s="122">
        <v>1899</v>
      </c>
      <c r="J990" s="122">
        <v>12</v>
      </c>
    </row>
    <row r="991" spans="2:10" x14ac:dyDescent="0.15">
      <c r="B991" s="130">
        <v>988</v>
      </c>
      <c r="C991" s="131"/>
      <c r="D991" s="122"/>
      <c r="E991" s="122" t="s">
        <v>64</v>
      </c>
      <c r="F991" s="122" t="s">
        <v>64</v>
      </c>
      <c r="G991" s="122"/>
      <c r="H991" s="122"/>
      <c r="I991" s="122">
        <v>1899</v>
      </c>
      <c r="J991" s="122">
        <v>12</v>
      </c>
    </row>
    <row r="992" spans="2:10" x14ac:dyDescent="0.15">
      <c r="B992" s="130">
        <v>989</v>
      </c>
      <c r="C992" s="131"/>
      <c r="D992" s="122"/>
      <c r="E992" s="122" t="s">
        <v>64</v>
      </c>
      <c r="F992" s="122" t="s">
        <v>64</v>
      </c>
      <c r="G992" s="122"/>
      <c r="H992" s="122"/>
      <c r="I992" s="122">
        <v>1899</v>
      </c>
      <c r="J992" s="122">
        <v>12</v>
      </c>
    </row>
    <row r="993" spans="2:10" x14ac:dyDescent="0.15">
      <c r="B993" s="130">
        <v>990</v>
      </c>
      <c r="C993" s="131"/>
      <c r="D993" s="122"/>
      <c r="E993" s="122" t="s">
        <v>64</v>
      </c>
      <c r="F993" s="122" t="s">
        <v>64</v>
      </c>
      <c r="G993" s="122"/>
      <c r="H993" s="122"/>
      <c r="I993" s="122">
        <v>1899</v>
      </c>
      <c r="J993" s="122">
        <v>12</v>
      </c>
    </row>
    <row r="994" spans="2:10" x14ac:dyDescent="0.15">
      <c r="B994" s="130">
        <v>991</v>
      </c>
      <c r="C994" s="131"/>
      <c r="D994" s="122"/>
      <c r="E994" s="122" t="s">
        <v>64</v>
      </c>
      <c r="F994" s="122" t="s">
        <v>64</v>
      </c>
      <c r="G994" s="122"/>
      <c r="H994" s="122"/>
      <c r="I994" s="122">
        <v>1899</v>
      </c>
      <c r="J994" s="122">
        <v>12</v>
      </c>
    </row>
    <row r="995" spans="2:10" x14ac:dyDescent="0.15">
      <c r="B995" s="130">
        <v>992</v>
      </c>
      <c r="C995" s="131"/>
      <c r="D995" s="122"/>
      <c r="E995" s="122" t="s">
        <v>64</v>
      </c>
      <c r="F995" s="122" t="s">
        <v>64</v>
      </c>
      <c r="G995" s="122"/>
      <c r="H995" s="122"/>
      <c r="I995" s="122">
        <v>1899</v>
      </c>
      <c r="J995" s="122">
        <v>12</v>
      </c>
    </row>
    <row r="996" spans="2:10" x14ac:dyDescent="0.15">
      <c r="B996" s="130">
        <v>993</v>
      </c>
      <c r="C996" s="131"/>
      <c r="D996" s="122"/>
      <c r="E996" s="122" t="s">
        <v>64</v>
      </c>
      <c r="F996" s="122" t="s">
        <v>64</v>
      </c>
      <c r="G996" s="122"/>
      <c r="H996" s="122"/>
      <c r="I996" s="122">
        <v>1899</v>
      </c>
      <c r="J996" s="122">
        <v>12</v>
      </c>
    </row>
    <row r="997" spans="2:10" x14ac:dyDescent="0.15">
      <c r="B997" s="130">
        <v>994</v>
      </c>
      <c r="C997" s="131"/>
      <c r="D997" s="122"/>
      <c r="E997" s="122" t="s">
        <v>64</v>
      </c>
      <c r="F997" s="122" t="s">
        <v>64</v>
      </c>
      <c r="G997" s="122"/>
      <c r="H997" s="122"/>
      <c r="I997" s="122">
        <v>1899</v>
      </c>
      <c r="J997" s="122">
        <v>12</v>
      </c>
    </row>
    <row r="998" spans="2:10" x14ac:dyDescent="0.15">
      <c r="B998" s="130">
        <v>995</v>
      </c>
      <c r="C998" s="131"/>
      <c r="D998" s="122"/>
      <c r="E998" s="122" t="s">
        <v>64</v>
      </c>
      <c r="F998" s="122" t="s">
        <v>64</v>
      </c>
      <c r="G998" s="122"/>
      <c r="H998" s="122"/>
      <c r="I998" s="122">
        <v>1899</v>
      </c>
      <c r="J998" s="122">
        <v>12</v>
      </c>
    </row>
    <row r="999" spans="2:10" x14ac:dyDescent="0.15">
      <c r="B999" s="130">
        <v>996</v>
      </c>
      <c r="C999" s="131"/>
      <c r="D999" s="122"/>
      <c r="E999" s="122" t="s">
        <v>64</v>
      </c>
      <c r="F999" s="122" t="s">
        <v>64</v>
      </c>
      <c r="G999" s="122"/>
      <c r="H999" s="122"/>
      <c r="I999" s="122">
        <v>1899</v>
      </c>
      <c r="J999" s="122">
        <v>12</v>
      </c>
    </row>
    <row r="1000" spans="2:10" x14ac:dyDescent="0.15">
      <c r="B1000" s="130">
        <v>997</v>
      </c>
      <c r="C1000" s="131"/>
      <c r="D1000" s="122"/>
      <c r="E1000" s="122" t="s">
        <v>64</v>
      </c>
      <c r="F1000" s="122" t="s">
        <v>64</v>
      </c>
      <c r="G1000" s="122"/>
      <c r="H1000" s="122"/>
      <c r="I1000" s="122">
        <v>1899</v>
      </c>
      <c r="J1000" s="122">
        <v>12</v>
      </c>
    </row>
    <row r="1001" spans="2:10" x14ac:dyDescent="0.15">
      <c r="B1001" s="130">
        <v>998</v>
      </c>
      <c r="C1001" s="131"/>
      <c r="D1001" s="122"/>
      <c r="E1001" s="122" t="s">
        <v>64</v>
      </c>
      <c r="F1001" s="122" t="s">
        <v>64</v>
      </c>
      <c r="G1001" s="122"/>
      <c r="H1001" s="122"/>
      <c r="I1001" s="122">
        <v>1899</v>
      </c>
      <c r="J1001" s="122">
        <v>12</v>
      </c>
    </row>
    <row r="1002" spans="2:10" x14ac:dyDescent="0.15">
      <c r="B1002" s="130">
        <v>999</v>
      </c>
      <c r="C1002" s="131"/>
      <c r="D1002" s="122"/>
      <c r="E1002" s="122" t="s">
        <v>64</v>
      </c>
      <c r="F1002" s="122" t="s">
        <v>64</v>
      </c>
      <c r="G1002" s="122"/>
      <c r="H1002" s="122"/>
      <c r="I1002" s="122">
        <v>1899</v>
      </c>
      <c r="J1002" s="122">
        <v>12</v>
      </c>
    </row>
    <row r="1003" spans="2:10" x14ac:dyDescent="0.15">
      <c r="B1003" s="130">
        <v>1000</v>
      </c>
      <c r="C1003" s="131"/>
      <c r="D1003" s="122"/>
      <c r="E1003" s="122" t="s">
        <v>64</v>
      </c>
      <c r="F1003" s="122" t="s">
        <v>64</v>
      </c>
      <c r="G1003" s="122"/>
      <c r="H1003" s="122"/>
      <c r="I1003" s="122">
        <v>1899</v>
      </c>
      <c r="J1003" s="122">
        <v>12</v>
      </c>
    </row>
    <row r="1004" spans="2:10" x14ac:dyDescent="0.15">
      <c r="B1004" s="159" t="s">
        <v>75</v>
      </c>
      <c r="C1004" s="160"/>
      <c r="D1004" s="161"/>
      <c r="E1004" s="161"/>
      <c r="F1004" s="161"/>
      <c r="G1004" s="161"/>
      <c r="H1004" s="161"/>
      <c r="I1004" s="161"/>
      <c r="J1004" s="161"/>
    </row>
    <row r="1005" spans="2:10" x14ac:dyDescent="0.15">
      <c r="B1005" s="115"/>
      <c r="C1005" s="125"/>
      <c r="D1005" s="116"/>
      <c r="E1005" s="116"/>
      <c r="F1005" s="116"/>
      <c r="G1005" s="116"/>
      <c r="H1005" s="116"/>
    </row>
  </sheetData>
  <mergeCells count="1">
    <mergeCell ref="B1004:J1004"/>
  </mergeCells>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showInputMessage="1" showErrorMessage="1" xr:uid="{00000000-0002-0000-0300-000000000000}">
          <x14:formula1>
            <xm:f>烤漆色號編碼!$A$2:$A$27</xm:f>
          </x14:formula1>
          <xm:sqref>D4:D47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6"/>
  <sheetViews>
    <sheetView workbookViewId="0">
      <pane ySplit="1" topLeftCell="A2" activePane="bottomLeft" state="frozen"/>
      <selection pane="bottomLeft" activeCell="A5" sqref="A5"/>
    </sheetView>
  </sheetViews>
  <sheetFormatPr defaultColWidth="10.05078125" defaultRowHeight="13.5" x14ac:dyDescent="0.15"/>
  <cols>
    <col min="1" max="1" width="12.2578125" style="132" customWidth="1"/>
    <col min="2" max="2" width="6.984375" style="132" customWidth="1"/>
    <col min="3" max="3" width="16.3046875" style="132" customWidth="1"/>
    <col min="4" max="4" width="4.90234375" style="132" customWidth="1"/>
    <col min="5" max="5" width="10.05078125" style="133" bestFit="1" customWidth="1"/>
    <col min="6" max="16384" width="10.05078125" style="133"/>
  </cols>
  <sheetData>
    <row r="1" spans="1:8" s="132" customFormat="1" ht="14.25" x14ac:dyDescent="0.15">
      <c r="A1" s="134" t="s">
        <v>76</v>
      </c>
      <c r="B1" s="134" t="s">
        <v>9</v>
      </c>
      <c r="C1" s="134" t="s">
        <v>57</v>
      </c>
      <c r="D1" s="134" t="s">
        <v>77</v>
      </c>
    </row>
    <row r="2" spans="1:8" ht="14.25" x14ac:dyDescent="0.15">
      <c r="A2" s="135" t="s">
        <v>19</v>
      </c>
      <c r="B2" s="136" t="s">
        <v>78</v>
      </c>
      <c r="C2" s="137" t="s">
        <v>79</v>
      </c>
      <c r="D2" s="138" t="s">
        <v>80</v>
      </c>
      <c r="E2" s="139" t="s">
        <v>55</v>
      </c>
      <c r="F2" s="151"/>
      <c r="G2" s="151"/>
      <c r="H2" s="151"/>
    </row>
    <row r="3" spans="1:8" ht="14.25" x14ac:dyDescent="0.15">
      <c r="A3" s="135" t="s">
        <v>81</v>
      </c>
      <c r="B3" s="136" t="s">
        <v>82</v>
      </c>
      <c r="C3" s="137" t="s">
        <v>83</v>
      </c>
      <c r="D3" s="138" t="s">
        <v>80</v>
      </c>
      <c r="E3" s="151"/>
      <c r="F3" s="151"/>
      <c r="G3" s="151"/>
      <c r="H3" s="151"/>
    </row>
    <row r="4" spans="1:8" ht="14.25" x14ac:dyDescent="0.15">
      <c r="A4" s="135" t="s">
        <v>27</v>
      </c>
      <c r="B4" s="136" t="s">
        <v>84</v>
      </c>
      <c r="C4" s="137" t="s">
        <v>85</v>
      </c>
      <c r="D4" s="138" t="s">
        <v>80</v>
      </c>
      <c r="E4" s="140" t="s">
        <v>3</v>
      </c>
      <c r="F4" s="151"/>
      <c r="G4" s="151"/>
      <c r="H4" s="151"/>
    </row>
    <row r="5" spans="1:8" ht="14.25" x14ac:dyDescent="0.15">
      <c r="A5" s="135" t="s">
        <v>43</v>
      </c>
      <c r="B5" s="136" t="s">
        <v>84</v>
      </c>
      <c r="C5" s="137" t="s">
        <v>85</v>
      </c>
      <c r="D5" s="138" t="s">
        <v>80</v>
      </c>
      <c r="E5" s="140"/>
      <c r="F5" s="151"/>
      <c r="G5" s="151"/>
      <c r="H5" s="151"/>
    </row>
    <row r="6" spans="1:8" ht="14.25" x14ac:dyDescent="0.15">
      <c r="A6" s="135" t="s">
        <v>86</v>
      </c>
      <c r="B6" s="136" t="s">
        <v>87</v>
      </c>
      <c r="C6" s="137" t="s">
        <v>88</v>
      </c>
      <c r="D6" s="138" t="s">
        <v>89</v>
      </c>
      <c r="E6" s="151"/>
      <c r="F6" s="151"/>
      <c r="G6" s="151"/>
      <c r="H6" s="151"/>
    </row>
    <row r="7" spans="1:8" ht="14.25" x14ac:dyDescent="0.15">
      <c r="A7" s="135" t="s">
        <v>22</v>
      </c>
      <c r="B7" s="136" t="s">
        <v>90</v>
      </c>
      <c r="C7" s="137" t="s">
        <v>91</v>
      </c>
      <c r="D7" s="138" t="s">
        <v>92</v>
      </c>
      <c r="E7" s="140" t="s">
        <v>4</v>
      </c>
      <c r="F7" s="151"/>
      <c r="G7" s="151"/>
      <c r="H7" s="151"/>
    </row>
    <row r="8" spans="1:8" ht="14.25" x14ac:dyDescent="0.15">
      <c r="A8" s="135" t="s">
        <v>33</v>
      </c>
      <c r="B8" s="136" t="s">
        <v>93</v>
      </c>
      <c r="C8" s="137" t="s">
        <v>94</v>
      </c>
      <c r="D8" s="138" t="s">
        <v>89</v>
      </c>
      <c r="E8" s="151"/>
      <c r="F8" s="151"/>
      <c r="G8" s="151"/>
      <c r="H8" s="151"/>
    </row>
    <row r="9" spans="1:8" ht="14.25" x14ac:dyDescent="0.15">
      <c r="A9" s="135" t="s">
        <v>95</v>
      </c>
      <c r="B9" s="136" t="s">
        <v>96</v>
      </c>
      <c r="C9" s="137" t="s">
        <v>97</v>
      </c>
      <c r="D9" s="138" t="s">
        <v>92</v>
      </c>
      <c r="E9" s="140" t="s">
        <v>5</v>
      </c>
      <c r="F9" s="151"/>
      <c r="G9" s="151"/>
      <c r="H9" s="151"/>
    </row>
    <row r="10" spans="1:8" ht="14.25" x14ac:dyDescent="0.15">
      <c r="A10" s="135" t="s">
        <v>31</v>
      </c>
      <c r="B10" s="136" t="s">
        <v>98</v>
      </c>
      <c r="C10" s="137" t="s">
        <v>99</v>
      </c>
      <c r="D10" s="138" t="s">
        <v>89</v>
      </c>
      <c r="E10" s="151"/>
      <c r="F10" s="151"/>
      <c r="G10" s="151"/>
      <c r="H10" s="151"/>
    </row>
    <row r="11" spans="1:8" ht="14.25" x14ac:dyDescent="0.15">
      <c r="A11" s="135" t="s">
        <v>26</v>
      </c>
      <c r="B11" s="136" t="s">
        <v>100</v>
      </c>
      <c r="C11" s="137" t="s">
        <v>101</v>
      </c>
      <c r="D11" s="138" t="s">
        <v>102</v>
      </c>
      <c r="E11" s="151"/>
      <c r="F11" s="151"/>
      <c r="G11" s="151"/>
      <c r="H11" s="151"/>
    </row>
    <row r="12" spans="1:8" ht="14.25" x14ac:dyDescent="0.15">
      <c r="A12" s="135" t="s">
        <v>25</v>
      </c>
      <c r="B12" s="136" t="s">
        <v>103</v>
      </c>
      <c r="C12" s="137" t="s">
        <v>104</v>
      </c>
      <c r="D12" s="138" t="s">
        <v>80</v>
      </c>
      <c r="E12" s="151"/>
      <c r="F12" s="151"/>
      <c r="G12" s="151"/>
      <c r="H12" s="151"/>
    </row>
    <row r="13" spans="1:8" ht="14.25" x14ac:dyDescent="0.15">
      <c r="A13" s="135" t="s">
        <v>105</v>
      </c>
      <c r="B13" s="136" t="s">
        <v>106</v>
      </c>
      <c r="C13" s="137" t="s">
        <v>107</v>
      </c>
      <c r="D13" s="138" t="s">
        <v>92</v>
      </c>
      <c r="E13" s="151"/>
      <c r="F13" s="151"/>
      <c r="G13" s="151"/>
      <c r="H13" s="151"/>
    </row>
    <row r="14" spans="1:8" ht="14.25" x14ac:dyDescent="0.15">
      <c r="A14" s="135" t="s">
        <v>108</v>
      </c>
      <c r="B14" s="136" t="s">
        <v>109</v>
      </c>
      <c r="C14" s="137" t="s">
        <v>110</v>
      </c>
      <c r="D14" s="138" t="s">
        <v>89</v>
      </c>
      <c r="E14" s="151"/>
      <c r="F14" s="151"/>
      <c r="G14" s="151"/>
      <c r="H14" s="151"/>
    </row>
    <row r="15" spans="1:8" ht="14.25" x14ac:dyDescent="0.15">
      <c r="A15" s="135" t="s">
        <v>111</v>
      </c>
      <c r="B15" s="136" t="s">
        <v>112</v>
      </c>
      <c r="C15" s="137" t="s">
        <v>113</v>
      </c>
      <c r="D15" s="138" t="s">
        <v>80</v>
      </c>
      <c r="E15" s="151"/>
      <c r="F15" s="151"/>
      <c r="G15" s="151"/>
      <c r="H15" s="151"/>
    </row>
    <row r="16" spans="1:8" ht="14.25" x14ac:dyDescent="0.15">
      <c r="A16" s="135" t="s">
        <v>114</v>
      </c>
      <c r="B16" s="136" t="s">
        <v>115</v>
      </c>
      <c r="C16" s="137" t="s">
        <v>116</v>
      </c>
      <c r="D16" s="138" t="s">
        <v>80</v>
      </c>
      <c r="E16" s="151"/>
      <c r="F16" s="151"/>
      <c r="G16" s="151"/>
      <c r="H16" s="151"/>
    </row>
    <row r="17" spans="1:8" ht="14.25" x14ac:dyDescent="0.15">
      <c r="A17" s="135" t="s">
        <v>117</v>
      </c>
      <c r="B17" s="136" t="s">
        <v>118</v>
      </c>
      <c r="C17" s="137" t="s">
        <v>119</v>
      </c>
      <c r="D17" s="138" t="s">
        <v>102</v>
      </c>
      <c r="E17" s="151"/>
      <c r="F17" s="151"/>
      <c r="G17" s="151"/>
      <c r="H17" s="151"/>
    </row>
    <row r="18" spans="1:8" ht="14.25" x14ac:dyDescent="0.15">
      <c r="A18" s="135" t="s">
        <v>30</v>
      </c>
      <c r="B18" s="136" t="s">
        <v>120</v>
      </c>
      <c r="C18" s="137" t="s">
        <v>121</v>
      </c>
      <c r="D18" s="138" t="s">
        <v>80</v>
      </c>
      <c r="E18" s="151"/>
      <c r="F18" s="151"/>
      <c r="G18" s="151"/>
      <c r="H18" s="151"/>
    </row>
    <row r="19" spans="1:8" ht="14.25" x14ac:dyDescent="0.15">
      <c r="A19" s="135" t="s">
        <v>122</v>
      </c>
      <c r="B19" s="136" t="s">
        <v>123</v>
      </c>
      <c r="C19" s="137" t="s">
        <v>124</v>
      </c>
      <c r="D19" s="138" t="s">
        <v>80</v>
      </c>
      <c r="E19" s="151"/>
      <c r="F19" s="151"/>
      <c r="G19" s="151"/>
      <c r="H19" s="151"/>
    </row>
    <row r="20" spans="1:8" ht="14.25" x14ac:dyDescent="0.15">
      <c r="A20" s="135" t="s">
        <v>125</v>
      </c>
      <c r="B20" s="136" t="s">
        <v>126</v>
      </c>
      <c r="C20" s="137" t="s">
        <v>127</v>
      </c>
      <c r="D20" s="138" t="s">
        <v>80</v>
      </c>
      <c r="E20" s="151"/>
      <c r="F20" s="151"/>
      <c r="G20" s="151"/>
      <c r="H20" s="151"/>
    </row>
    <row r="21" spans="1:8" ht="14.25" x14ac:dyDescent="0.15">
      <c r="A21" s="135" t="s">
        <v>128</v>
      </c>
      <c r="B21" s="136" t="s">
        <v>129</v>
      </c>
      <c r="C21" s="137" t="s">
        <v>130</v>
      </c>
      <c r="D21" s="138" t="s">
        <v>80</v>
      </c>
      <c r="E21" s="151"/>
      <c r="F21" s="151"/>
      <c r="G21" s="151"/>
      <c r="H21" s="151"/>
    </row>
    <row r="22" spans="1:8" ht="14.25" x14ac:dyDescent="0.15">
      <c r="A22" s="135" t="s">
        <v>131</v>
      </c>
      <c r="B22" s="136" t="s">
        <v>132</v>
      </c>
      <c r="C22" s="137" t="s">
        <v>133</v>
      </c>
      <c r="D22" s="138" t="s">
        <v>92</v>
      </c>
      <c r="E22" s="151"/>
      <c r="F22" s="151"/>
      <c r="G22" s="151"/>
      <c r="H22" s="151"/>
    </row>
    <row r="23" spans="1:8" ht="14.25" x14ac:dyDescent="0.15">
      <c r="A23" s="135" t="s">
        <v>134</v>
      </c>
      <c r="B23" s="136" t="s">
        <v>132</v>
      </c>
      <c r="C23" s="137" t="s">
        <v>133</v>
      </c>
      <c r="D23" s="138" t="s">
        <v>92</v>
      </c>
      <c r="E23" s="151"/>
      <c r="F23" s="151"/>
      <c r="G23" s="151"/>
      <c r="H23" s="151"/>
    </row>
    <row r="24" spans="1:8" ht="14.25" x14ac:dyDescent="0.15">
      <c r="A24" s="135" t="s">
        <v>135</v>
      </c>
      <c r="B24" s="136" t="s">
        <v>136</v>
      </c>
      <c r="C24" s="137" t="s">
        <v>137</v>
      </c>
      <c r="D24" s="138" t="s">
        <v>92</v>
      </c>
      <c r="E24" s="151"/>
      <c r="F24" s="151"/>
      <c r="G24" s="151"/>
      <c r="H24" s="151"/>
    </row>
    <row r="25" spans="1:8" ht="14.25" x14ac:dyDescent="0.15">
      <c r="A25" s="135" t="s">
        <v>138</v>
      </c>
      <c r="B25" s="136" t="s">
        <v>139</v>
      </c>
      <c r="C25" s="137" t="s">
        <v>140</v>
      </c>
      <c r="D25" s="138" t="s">
        <v>89</v>
      </c>
      <c r="E25" s="151"/>
      <c r="F25" s="151"/>
      <c r="G25" s="151"/>
      <c r="H25" s="151"/>
    </row>
    <row r="26" spans="1:8" ht="14.25" x14ac:dyDescent="0.15">
      <c r="A26" s="135" t="s">
        <v>141</v>
      </c>
      <c r="B26" s="136" t="s">
        <v>142</v>
      </c>
      <c r="C26" s="137" t="s">
        <v>143</v>
      </c>
      <c r="D26" s="138" t="s">
        <v>89</v>
      </c>
      <c r="E26" s="151"/>
      <c r="F26" s="151"/>
      <c r="G26" s="151"/>
      <c r="H26" s="151"/>
    </row>
    <row r="27" spans="1:8" ht="14.25" x14ac:dyDescent="0.15">
      <c r="A27" s="135" t="s">
        <v>144</v>
      </c>
      <c r="B27" s="136" t="s">
        <v>145</v>
      </c>
      <c r="C27" s="137" t="s">
        <v>146</v>
      </c>
      <c r="D27" s="138" t="s">
        <v>89</v>
      </c>
      <c r="E27" s="151"/>
      <c r="F27" s="151"/>
      <c r="G27" s="151"/>
      <c r="H27" s="151"/>
    </row>
    <row r="28" spans="1:8" ht="14.25" x14ac:dyDescent="0.15">
      <c r="A28" s="135" t="s">
        <v>38</v>
      </c>
      <c r="B28" s="136" t="s">
        <v>147</v>
      </c>
      <c r="C28" s="137" t="s">
        <v>148</v>
      </c>
      <c r="D28" s="138" t="s">
        <v>89</v>
      </c>
      <c r="E28" s="151"/>
      <c r="F28" s="151"/>
      <c r="G28" s="151"/>
      <c r="H28" s="151"/>
    </row>
    <row r="29" spans="1:8" ht="14.25" x14ac:dyDescent="0.15">
      <c r="A29" s="135" t="s">
        <v>149</v>
      </c>
      <c r="B29" s="136" t="s">
        <v>150</v>
      </c>
      <c r="C29" s="137" t="s">
        <v>151</v>
      </c>
      <c r="D29" s="138" t="s">
        <v>80</v>
      </c>
      <c r="E29" s="151"/>
      <c r="F29" s="151"/>
      <c r="G29" s="151"/>
      <c r="H29" s="151"/>
    </row>
    <row r="30" spans="1:8" ht="14.25" x14ac:dyDescent="0.15">
      <c r="A30" s="135" t="s">
        <v>152</v>
      </c>
      <c r="B30" s="136" t="s">
        <v>87</v>
      </c>
      <c r="C30" s="137" t="s">
        <v>88</v>
      </c>
      <c r="D30" s="138" t="s">
        <v>80</v>
      </c>
      <c r="E30" s="151"/>
      <c r="F30" s="151"/>
      <c r="G30" s="151"/>
      <c r="H30" s="151"/>
    </row>
    <row r="31" spans="1:8" x14ac:dyDescent="0.15">
      <c r="A31" s="135" t="s">
        <v>153</v>
      </c>
      <c r="B31" s="136" t="s">
        <v>132</v>
      </c>
      <c r="C31" s="135" t="s">
        <v>154</v>
      </c>
      <c r="D31" s="136" t="s">
        <v>155</v>
      </c>
      <c r="E31" s="151"/>
      <c r="F31" s="151"/>
      <c r="G31" s="151"/>
      <c r="H31" s="151"/>
    </row>
    <row r="32" spans="1:8" x14ac:dyDescent="0.15">
      <c r="A32" s="135"/>
      <c r="B32" s="136"/>
      <c r="C32" s="135"/>
      <c r="D32" s="136"/>
      <c r="E32" s="151"/>
      <c r="F32" s="151"/>
      <c r="G32" s="151"/>
      <c r="H32" s="151"/>
    </row>
    <row r="33" spans="1:8" x14ac:dyDescent="0.15">
      <c r="A33" s="135"/>
      <c r="B33" s="136"/>
      <c r="C33" s="135"/>
      <c r="D33" s="136"/>
      <c r="E33" s="151"/>
      <c r="F33" s="151"/>
      <c r="G33" s="151"/>
      <c r="H33" s="151"/>
    </row>
    <row r="34" spans="1:8" x14ac:dyDescent="0.15">
      <c r="A34" s="135"/>
      <c r="B34" s="136"/>
      <c r="C34" s="135"/>
      <c r="D34" s="136"/>
      <c r="E34" s="151"/>
      <c r="F34" s="151"/>
      <c r="G34" s="151"/>
      <c r="H34" s="151"/>
    </row>
    <row r="35" spans="1:8" x14ac:dyDescent="0.15">
      <c r="A35" s="135"/>
      <c r="B35" s="136"/>
      <c r="C35" s="135"/>
      <c r="D35" s="136"/>
      <c r="E35" s="151"/>
      <c r="F35" s="151"/>
      <c r="G35" s="151"/>
      <c r="H35" s="151"/>
    </row>
    <row r="36" spans="1:8" x14ac:dyDescent="0.15">
      <c r="A36" s="135"/>
      <c r="B36" s="136"/>
      <c r="C36" s="135"/>
      <c r="D36" s="136"/>
      <c r="E36" s="151"/>
      <c r="F36" s="151"/>
      <c r="G36" s="151"/>
      <c r="H36" s="151"/>
    </row>
  </sheetData>
  <hyperlinks>
    <hyperlink ref="E2" location="每日用粉紀錄表!A1" display="紀錄表" xr:uid="{00000000-0004-0000-0400-000000000000}"/>
    <hyperlink ref="E4" location="當前庫存!D2" display="當前庫存" xr:uid="{00000000-0004-0000-0400-000001000000}"/>
    <hyperlink ref="E7" location="期初庫存!F2" display="期初庫存" xr:uid="{00000000-0004-0000-0400-000002000000}"/>
    <hyperlink ref="E9" location="採購入庫!G2" display="採購入庫" xr:uid="{00000000-0004-0000-0400-000003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H30"/>
  <sheetViews>
    <sheetView workbookViewId="0">
      <selection activeCell="C4" sqref="C4"/>
    </sheetView>
  </sheetViews>
  <sheetFormatPr defaultColWidth="10.05078125" defaultRowHeight="13.5" x14ac:dyDescent="0.15"/>
  <cols>
    <col min="1" max="1" width="3.67578125" style="141" customWidth="1"/>
    <col min="2" max="2" width="7.84375" style="141" customWidth="1"/>
    <col min="3" max="3" width="10.05078125" style="141" bestFit="1" customWidth="1"/>
    <col min="4" max="4" width="11.3984375" style="141" bestFit="1" customWidth="1"/>
    <col min="5" max="5" width="10.05078125" style="141" bestFit="1" customWidth="1"/>
    <col min="6" max="16384" width="10.05078125" style="141"/>
  </cols>
  <sheetData>
    <row r="2" spans="2:8" x14ac:dyDescent="0.15">
      <c r="B2" s="89" t="s">
        <v>156</v>
      </c>
      <c r="C2" s="89" t="s">
        <v>157</v>
      </c>
      <c r="D2" s="89" t="s">
        <v>158</v>
      </c>
      <c r="E2" s="89" t="s">
        <v>24</v>
      </c>
      <c r="F2" s="151"/>
      <c r="G2" s="151"/>
      <c r="H2" s="151"/>
    </row>
    <row r="3" spans="2:8" x14ac:dyDescent="0.15">
      <c r="B3" s="89" t="s">
        <v>159</v>
      </c>
      <c r="C3" s="96">
        <v>10</v>
      </c>
      <c r="D3" s="152">
        <f t="shared" ref="D3:D30" si="0">C3/27</f>
        <v>0.37037037037037035</v>
      </c>
      <c r="E3" s="153">
        <f t="shared" ref="E3:E30" si="1">C3/20.8</f>
        <v>0.48076923076923073</v>
      </c>
      <c r="F3" s="151"/>
      <c r="G3" s="151"/>
      <c r="H3" s="151"/>
    </row>
    <row r="4" spans="2:8" x14ac:dyDescent="0.15">
      <c r="B4" s="89" t="s">
        <v>79</v>
      </c>
      <c r="C4" s="102">
        <v>27</v>
      </c>
      <c r="D4" s="154">
        <f t="shared" si="0"/>
        <v>1</v>
      </c>
      <c r="E4" s="155">
        <f t="shared" si="1"/>
        <v>1.2980769230769231</v>
      </c>
      <c r="F4" s="151"/>
      <c r="G4" s="151"/>
      <c r="H4" s="151"/>
    </row>
    <row r="5" spans="2:8" x14ac:dyDescent="0.15">
      <c r="B5" s="89"/>
      <c r="C5" s="96"/>
      <c r="D5" s="152">
        <f t="shared" si="0"/>
        <v>0</v>
      </c>
      <c r="E5" s="153">
        <f t="shared" si="1"/>
        <v>0</v>
      </c>
      <c r="F5" s="151"/>
      <c r="G5" s="151"/>
      <c r="H5" s="151"/>
    </row>
    <row r="6" spans="2:8" x14ac:dyDescent="0.15">
      <c r="B6" s="89"/>
      <c r="C6" s="102"/>
      <c r="D6" s="154">
        <f t="shared" si="0"/>
        <v>0</v>
      </c>
      <c r="E6" s="155">
        <f t="shared" si="1"/>
        <v>0</v>
      </c>
      <c r="F6" s="151"/>
      <c r="G6" s="151"/>
      <c r="H6" s="151"/>
    </row>
    <row r="7" spans="2:8" x14ac:dyDescent="0.15">
      <c r="B7" s="89"/>
      <c r="C7" s="96"/>
      <c r="D7" s="152">
        <f t="shared" si="0"/>
        <v>0</v>
      </c>
      <c r="E7" s="153">
        <f t="shared" si="1"/>
        <v>0</v>
      </c>
      <c r="F7" s="151"/>
      <c r="G7" s="151"/>
      <c r="H7" s="151"/>
    </row>
    <row r="8" spans="2:8" x14ac:dyDescent="0.15">
      <c r="B8" s="89"/>
      <c r="C8" s="102"/>
      <c r="D8" s="154">
        <f t="shared" si="0"/>
        <v>0</v>
      </c>
      <c r="E8" s="155">
        <f t="shared" si="1"/>
        <v>0</v>
      </c>
      <c r="F8" s="151"/>
      <c r="G8" s="151"/>
      <c r="H8" s="151"/>
    </row>
    <row r="9" spans="2:8" x14ac:dyDescent="0.15">
      <c r="B9" s="89"/>
      <c r="C9" s="96"/>
      <c r="D9" s="152">
        <f t="shared" si="0"/>
        <v>0</v>
      </c>
      <c r="E9" s="153">
        <f t="shared" si="1"/>
        <v>0</v>
      </c>
      <c r="F9" s="151"/>
      <c r="G9" s="151"/>
      <c r="H9" s="151"/>
    </row>
    <row r="10" spans="2:8" x14ac:dyDescent="0.15">
      <c r="B10" s="89"/>
      <c r="C10" s="102"/>
      <c r="D10" s="154">
        <f t="shared" si="0"/>
        <v>0</v>
      </c>
      <c r="E10" s="155">
        <f t="shared" si="1"/>
        <v>0</v>
      </c>
      <c r="F10" s="151"/>
      <c r="G10" s="151"/>
      <c r="H10" s="151"/>
    </row>
    <row r="11" spans="2:8" x14ac:dyDescent="0.15">
      <c r="B11" s="89"/>
      <c r="C11" s="96"/>
      <c r="D11" s="152">
        <f t="shared" si="0"/>
        <v>0</v>
      </c>
      <c r="E11" s="153">
        <f t="shared" si="1"/>
        <v>0</v>
      </c>
      <c r="F11" s="151"/>
      <c r="G11" s="151"/>
      <c r="H11" s="151"/>
    </row>
    <row r="12" spans="2:8" x14ac:dyDescent="0.15">
      <c r="B12" s="89"/>
      <c r="C12" s="102"/>
      <c r="D12" s="154">
        <f t="shared" si="0"/>
        <v>0</v>
      </c>
      <c r="E12" s="155">
        <f t="shared" si="1"/>
        <v>0</v>
      </c>
      <c r="F12" s="151"/>
      <c r="G12" s="151"/>
      <c r="H12" s="151"/>
    </row>
    <row r="13" spans="2:8" x14ac:dyDescent="0.15">
      <c r="B13" s="89"/>
      <c r="C13" s="96"/>
      <c r="D13" s="152">
        <f t="shared" si="0"/>
        <v>0</v>
      </c>
      <c r="E13" s="153">
        <f t="shared" si="1"/>
        <v>0</v>
      </c>
      <c r="F13" s="151"/>
      <c r="G13" s="151"/>
      <c r="H13" s="151"/>
    </row>
    <row r="14" spans="2:8" x14ac:dyDescent="0.15">
      <c r="B14" s="89"/>
      <c r="C14" s="102"/>
      <c r="D14" s="154">
        <f t="shared" si="0"/>
        <v>0</v>
      </c>
      <c r="E14" s="155">
        <f t="shared" si="1"/>
        <v>0</v>
      </c>
      <c r="F14" s="151"/>
      <c r="G14" s="151"/>
      <c r="H14" s="151"/>
    </row>
    <row r="15" spans="2:8" x14ac:dyDescent="0.15">
      <c r="B15" s="89"/>
      <c r="C15" s="96"/>
      <c r="D15" s="152">
        <f t="shared" si="0"/>
        <v>0</v>
      </c>
      <c r="E15" s="153">
        <f t="shared" si="1"/>
        <v>0</v>
      </c>
      <c r="F15" s="151"/>
      <c r="G15" s="151"/>
      <c r="H15" s="151"/>
    </row>
    <row r="16" spans="2:8" x14ac:dyDescent="0.15">
      <c r="B16" s="89"/>
      <c r="C16" s="102"/>
      <c r="D16" s="154">
        <f t="shared" si="0"/>
        <v>0</v>
      </c>
      <c r="E16" s="155">
        <f t="shared" si="1"/>
        <v>0</v>
      </c>
      <c r="F16" s="151"/>
      <c r="G16" s="151"/>
      <c r="H16" s="151"/>
    </row>
    <row r="17" spans="2:8" x14ac:dyDescent="0.15">
      <c r="B17" s="89"/>
      <c r="C17" s="96"/>
      <c r="D17" s="152">
        <f t="shared" si="0"/>
        <v>0</v>
      </c>
      <c r="E17" s="153">
        <f t="shared" si="1"/>
        <v>0</v>
      </c>
      <c r="F17" s="151"/>
      <c r="G17" s="151"/>
      <c r="H17" s="151"/>
    </row>
    <row r="18" spans="2:8" x14ac:dyDescent="0.15">
      <c r="B18" s="89"/>
      <c r="C18" s="102"/>
      <c r="D18" s="154">
        <f t="shared" si="0"/>
        <v>0</v>
      </c>
      <c r="E18" s="155">
        <f t="shared" si="1"/>
        <v>0</v>
      </c>
      <c r="F18" s="151"/>
      <c r="G18" s="151"/>
      <c r="H18" s="151"/>
    </row>
    <row r="19" spans="2:8" x14ac:dyDescent="0.15">
      <c r="B19" s="89"/>
      <c r="C19" s="96"/>
      <c r="D19" s="152">
        <f t="shared" si="0"/>
        <v>0</v>
      </c>
      <c r="E19" s="153">
        <f t="shared" si="1"/>
        <v>0</v>
      </c>
      <c r="F19" s="151"/>
      <c r="G19" s="151"/>
      <c r="H19" s="151"/>
    </row>
    <row r="20" spans="2:8" x14ac:dyDescent="0.15">
      <c r="B20" s="89"/>
      <c r="C20" s="102"/>
      <c r="D20" s="154">
        <f t="shared" si="0"/>
        <v>0</v>
      </c>
      <c r="E20" s="155">
        <f t="shared" si="1"/>
        <v>0</v>
      </c>
      <c r="F20" s="151"/>
      <c r="G20" s="151"/>
      <c r="H20" s="151"/>
    </row>
    <row r="21" spans="2:8" x14ac:dyDescent="0.15">
      <c r="B21" s="89"/>
      <c r="C21" s="96"/>
      <c r="D21" s="152">
        <f t="shared" si="0"/>
        <v>0</v>
      </c>
      <c r="E21" s="153">
        <f t="shared" si="1"/>
        <v>0</v>
      </c>
      <c r="F21" s="151"/>
      <c r="G21" s="151"/>
      <c r="H21" s="151"/>
    </row>
    <row r="22" spans="2:8" x14ac:dyDescent="0.15">
      <c r="B22" s="89"/>
      <c r="C22" s="102"/>
      <c r="D22" s="154">
        <f t="shared" si="0"/>
        <v>0</v>
      </c>
      <c r="E22" s="155">
        <f t="shared" si="1"/>
        <v>0</v>
      </c>
      <c r="F22" s="151"/>
      <c r="G22" s="151"/>
      <c r="H22" s="151"/>
    </row>
    <row r="23" spans="2:8" x14ac:dyDescent="0.15">
      <c r="B23" s="89"/>
      <c r="C23" s="96"/>
      <c r="D23" s="152">
        <f t="shared" si="0"/>
        <v>0</v>
      </c>
      <c r="E23" s="153">
        <f t="shared" si="1"/>
        <v>0</v>
      </c>
      <c r="F23" s="151"/>
      <c r="G23" s="151"/>
      <c r="H23" s="151"/>
    </row>
    <row r="24" spans="2:8" x14ac:dyDescent="0.15">
      <c r="B24" s="89"/>
      <c r="C24" s="102"/>
      <c r="D24" s="154">
        <f t="shared" si="0"/>
        <v>0</v>
      </c>
      <c r="E24" s="155">
        <f t="shared" si="1"/>
        <v>0</v>
      </c>
      <c r="F24" s="151"/>
      <c r="G24" s="151"/>
      <c r="H24" s="151"/>
    </row>
    <row r="25" spans="2:8" x14ac:dyDescent="0.15">
      <c r="B25" s="89"/>
      <c r="C25" s="96"/>
      <c r="D25" s="152">
        <f t="shared" si="0"/>
        <v>0</v>
      </c>
      <c r="E25" s="153">
        <f t="shared" si="1"/>
        <v>0</v>
      </c>
      <c r="F25" s="151"/>
      <c r="G25" s="151"/>
      <c r="H25" s="151"/>
    </row>
    <row r="26" spans="2:8" x14ac:dyDescent="0.15">
      <c r="B26" s="89"/>
      <c r="C26" s="102"/>
      <c r="D26" s="154">
        <f t="shared" si="0"/>
        <v>0</v>
      </c>
      <c r="E26" s="155">
        <f t="shared" si="1"/>
        <v>0</v>
      </c>
      <c r="F26" s="151"/>
      <c r="G26" s="151"/>
      <c r="H26" s="151"/>
    </row>
    <row r="27" spans="2:8" x14ac:dyDescent="0.15">
      <c r="B27" s="89"/>
      <c r="C27" s="96"/>
      <c r="D27" s="152">
        <f t="shared" si="0"/>
        <v>0</v>
      </c>
      <c r="E27" s="153">
        <f t="shared" si="1"/>
        <v>0</v>
      </c>
      <c r="F27" s="151"/>
      <c r="G27" s="151"/>
      <c r="H27" s="151"/>
    </row>
    <row r="28" spans="2:8" x14ac:dyDescent="0.15">
      <c r="B28" s="89"/>
      <c r="C28" s="102"/>
      <c r="D28" s="154">
        <f t="shared" si="0"/>
        <v>0</v>
      </c>
      <c r="E28" s="155">
        <f t="shared" si="1"/>
        <v>0</v>
      </c>
      <c r="F28" s="151"/>
      <c r="G28" s="151"/>
      <c r="H28" s="151"/>
    </row>
    <row r="29" spans="2:8" x14ac:dyDescent="0.15">
      <c r="B29" s="89"/>
      <c r="C29" s="96"/>
      <c r="D29" s="152">
        <f t="shared" si="0"/>
        <v>0</v>
      </c>
      <c r="E29" s="153">
        <f t="shared" si="1"/>
        <v>0</v>
      </c>
      <c r="F29" s="151"/>
      <c r="G29" s="151"/>
      <c r="H29" s="151"/>
    </row>
    <row r="30" spans="2:8" x14ac:dyDescent="0.15">
      <c r="B30" s="89"/>
      <c r="C30" s="102"/>
      <c r="D30" s="154">
        <f t="shared" si="0"/>
        <v>0</v>
      </c>
      <c r="E30" s="155">
        <f t="shared" si="1"/>
        <v>0</v>
      </c>
      <c r="F30" s="151"/>
      <c r="G30" s="151"/>
      <c r="H30" s="15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6</vt:i4>
      </vt:variant>
      <vt:variant>
        <vt:lpstr>具名範圍</vt:lpstr>
      </vt:variant>
      <vt:variant>
        <vt:i4>2</vt:i4>
      </vt:variant>
    </vt:vector>
  </HeadingPairs>
  <TitlesOfParts>
    <vt:vector size="8" baseType="lpstr">
      <vt:lpstr>每日用粉紀錄表</vt:lpstr>
      <vt:lpstr>當前庫存</vt:lpstr>
      <vt:lpstr>期初庫存</vt:lpstr>
      <vt:lpstr>採購入庫</vt:lpstr>
      <vt:lpstr>烤漆色號編碼</vt:lpstr>
      <vt:lpstr>Sheet1</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2023-05-18T19:36:07Z</dcterms:created>
  <dcterms:modified xsi:type="dcterms:W3CDTF">2024-04-08T16:35:49Z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3a3f9a9f755243d7a907dd4533e52ab4</vt:lpwstr>
  </property>
</Properties>
</file>